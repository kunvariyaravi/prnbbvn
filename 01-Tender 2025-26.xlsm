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showObjects="none" codeName="ThisWorkbook" hidePivotFieldList="1"/>
  <mc:AlternateContent xmlns:mc="http://schemas.openxmlformats.org/markup-compatibility/2006">
    <mc:Choice Requires="x15">
      <x15ac:absPath xmlns:x15ac="http://schemas.microsoft.com/office/spreadsheetml/2010/11/ac" url="D:\01-Tender Table\01-Marster File\01_2025-26\"/>
    </mc:Choice>
  </mc:AlternateContent>
  <xr:revisionPtr revIDLastSave="0" documentId="13_ncr:1_{D0C1F697-717E-4144-9B72-E35842DB24EF}" xr6:coauthVersionLast="47" xr6:coauthVersionMax="47" xr10:uidLastSave="{00000000-0000-0000-0000-000000000000}"/>
  <bookViews>
    <workbookView xWindow="-110" yWindow="-110" windowWidth="19420" windowHeight="10300" activeTab="1" xr2:uid="{2461809B-7CC8-4CC2-A918-2A1ACF19AA2A}"/>
  </bookViews>
  <sheets>
    <sheet name="Agency List" sheetId="12" r:id="rId1"/>
    <sheet name="Tender" sheetId="13" r:id="rId2"/>
    <sheet name="Notice wise" sheetId="11" r:id="rId3"/>
    <sheet name="Agency wise" sheetId="14" r:id="rId4"/>
    <sheet name="Sub Division wise" sheetId="16" r:id="rId5"/>
  </sheets>
  <functionGroups builtInGroupCount="19"/>
  <definedNames>
    <definedName name="_xlnm._FilterDatabase" localSheetId="0" hidden="1">'Agency List'!$A$1:$D$1</definedName>
    <definedName name="_xlnm._FilterDatabase" localSheetId="1" hidden="1">Tender!$A$1:$BU$657</definedName>
    <definedName name="_xlnm.Print_Area" localSheetId="1">Tender!$A$1:$BS$30</definedName>
    <definedName name="_xlnm.Print_Titles" localSheetId="1">Tender!$1:$1</definedName>
  </definedNames>
  <calcPr calcId="191029"/>
  <pivotCaches>
    <pivotCache cacheId="0" r:id="rId6"/>
    <pivotCache cacheId="1" r:id="rId7"/>
    <pivotCache cacheId="2"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478" i="13" l="1"/>
  <c r="Z479" i="13"/>
  <c r="Z480" i="13"/>
  <c r="Z481" i="13"/>
  <c r="Z482" i="13"/>
  <c r="Z483" i="13"/>
  <c r="Z484" i="13"/>
  <c r="Z485" i="13"/>
  <c r="Z486" i="13"/>
  <c r="Z487" i="13"/>
  <c r="Z488" i="13"/>
  <c r="Z489" i="13"/>
  <c r="Z490" i="13"/>
  <c r="Z491" i="13"/>
  <c r="Z492" i="13"/>
  <c r="Z493" i="13"/>
  <c r="Z494" i="13"/>
  <c r="Z495" i="13"/>
  <c r="Z496" i="13"/>
  <c r="Z497" i="13"/>
  <c r="Z498" i="13"/>
  <c r="Z499" i="13"/>
  <c r="Z500" i="13"/>
  <c r="Z501" i="13"/>
  <c r="Z502" i="13"/>
  <c r="Z503" i="13"/>
  <c r="Z504" i="13"/>
  <c r="Z505" i="13"/>
  <c r="Z506" i="13"/>
  <c r="Z507" i="13"/>
  <c r="Z508" i="13"/>
  <c r="Z509" i="13"/>
  <c r="Z510" i="13"/>
  <c r="Z511" i="13"/>
  <c r="Z512" i="13"/>
  <c r="Z513" i="13"/>
  <c r="Z514" i="13"/>
  <c r="Z515" i="13"/>
  <c r="Z516" i="13"/>
  <c r="Z517" i="13"/>
  <c r="Z518" i="13"/>
  <c r="Z519" i="13"/>
  <c r="Z520" i="13"/>
  <c r="Z521" i="13"/>
  <c r="Z522" i="13"/>
  <c r="Z523" i="13"/>
  <c r="Z524" i="13"/>
  <c r="Z525" i="13"/>
  <c r="Z526" i="13"/>
  <c r="Z527" i="13"/>
  <c r="Z528" i="13"/>
  <c r="Z529" i="13"/>
  <c r="Z530" i="13"/>
  <c r="Z531" i="13"/>
  <c r="Z532" i="13"/>
  <c r="Z533" i="13"/>
  <c r="Z534" i="13"/>
  <c r="Z535" i="13"/>
  <c r="Z536" i="13"/>
  <c r="Z537" i="13"/>
  <c r="Z538" i="13"/>
  <c r="Z539" i="13"/>
  <c r="Z540" i="13"/>
  <c r="Z541" i="13"/>
  <c r="Z542" i="13"/>
  <c r="Z543" i="13"/>
  <c r="Z544" i="13"/>
  <c r="Z545" i="13"/>
  <c r="Z546" i="13"/>
  <c r="Z547" i="13"/>
  <c r="Z548" i="13"/>
  <c r="Z549" i="13"/>
  <c r="Z550" i="13"/>
  <c r="Z551" i="13"/>
  <c r="Z552" i="13"/>
  <c r="Z553" i="13"/>
  <c r="Z554" i="13"/>
  <c r="Z555" i="13"/>
  <c r="Z556" i="13"/>
  <c r="Z557" i="13"/>
  <c r="Z558" i="13"/>
  <c r="Z559" i="13"/>
  <c r="Z560" i="13"/>
  <c r="Z561" i="13"/>
  <c r="Z562" i="13"/>
  <c r="Z563" i="13"/>
  <c r="Z564" i="13"/>
  <c r="Z565" i="13"/>
  <c r="Z566" i="13"/>
  <c r="Z567" i="13"/>
  <c r="Z568" i="13"/>
  <c r="Z569" i="13"/>
  <c r="Z570" i="13"/>
  <c r="Z571" i="13"/>
  <c r="Z572" i="13"/>
  <c r="Z573" i="13"/>
  <c r="Z574" i="13"/>
  <c r="Z575" i="13"/>
  <c r="Z576" i="13"/>
  <c r="Z577" i="13"/>
  <c r="Z578" i="13"/>
  <c r="Z579" i="13"/>
  <c r="Z580" i="13"/>
  <c r="Z581" i="13"/>
  <c r="Z582" i="13"/>
  <c r="Z583" i="13"/>
  <c r="Z584" i="13"/>
  <c r="Z585" i="13"/>
  <c r="Z586" i="13"/>
  <c r="Z587" i="13"/>
  <c r="Z588" i="13"/>
  <c r="Z589" i="13"/>
  <c r="Z590" i="13"/>
  <c r="Z591" i="13"/>
  <c r="Z592" i="13"/>
  <c r="Z593" i="13"/>
  <c r="Z594" i="13"/>
  <c r="Z595" i="13"/>
  <c r="Z596" i="13"/>
  <c r="Z597" i="13"/>
  <c r="Z598" i="13"/>
  <c r="Z599" i="13"/>
  <c r="Z600" i="13"/>
  <c r="Z601" i="13"/>
  <c r="Z602" i="13"/>
  <c r="Z603" i="13"/>
  <c r="Z604" i="13"/>
  <c r="Z605" i="13"/>
  <c r="Z606" i="13"/>
  <c r="Z607" i="13"/>
  <c r="Z608" i="13"/>
  <c r="Z609" i="13"/>
  <c r="Z610" i="13"/>
  <c r="Z611" i="13"/>
  <c r="Z612" i="13"/>
  <c r="Z613" i="13"/>
  <c r="Z614" i="13"/>
  <c r="Z615" i="13"/>
  <c r="Z616" i="13"/>
  <c r="Z617" i="13"/>
  <c r="Z618" i="13"/>
  <c r="Z619" i="13"/>
  <c r="Z620" i="13"/>
  <c r="Z621" i="13"/>
  <c r="Z622" i="13"/>
  <c r="Z623" i="13"/>
  <c r="Z624" i="13"/>
  <c r="Z625" i="13"/>
  <c r="Z626" i="13"/>
  <c r="Z627" i="13"/>
  <c r="Z628" i="13"/>
  <c r="Z629" i="13"/>
  <c r="Z630" i="13"/>
  <c r="Z631" i="13"/>
  <c r="Z632" i="13"/>
  <c r="Z633" i="13"/>
  <c r="Z634" i="13"/>
  <c r="Z635" i="13"/>
  <c r="Z636" i="13"/>
  <c r="Z637" i="13"/>
  <c r="Z638" i="13"/>
  <c r="Z639" i="13"/>
  <c r="Z640" i="13"/>
  <c r="Z641" i="13"/>
  <c r="Z642" i="13"/>
  <c r="Z643" i="13"/>
  <c r="Z644" i="13"/>
  <c r="Z645" i="13"/>
  <c r="Z646" i="13"/>
  <c r="Z647" i="13"/>
  <c r="Z648" i="13"/>
  <c r="Z649" i="13"/>
  <c r="Z650" i="13"/>
  <c r="Z651" i="13"/>
  <c r="Z652" i="13"/>
  <c r="Z653" i="13"/>
  <c r="Z654" i="13"/>
  <c r="Z655" i="13"/>
  <c r="Z656" i="13"/>
  <c r="Z657" i="13"/>
  <c r="X478" i="13"/>
  <c r="X479" i="13"/>
  <c r="X480" i="13"/>
  <c r="X481" i="13"/>
  <c r="X482" i="13"/>
  <c r="X483" i="13"/>
  <c r="X484" i="13"/>
  <c r="X485" i="13"/>
  <c r="X486" i="13"/>
  <c r="X487" i="13"/>
  <c r="X488" i="13"/>
  <c r="X489" i="13"/>
  <c r="X490" i="13"/>
  <c r="X491" i="13"/>
  <c r="X492" i="13"/>
  <c r="X493" i="13"/>
  <c r="X494" i="13"/>
  <c r="X495" i="13"/>
  <c r="X496" i="13"/>
  <c r="X497" i="13"/>
  <c r="X498" i="13"/>
  <c r="X499" i="13"/>
  <c r="X500" i="13"/>
  <c r="X501" i="13"/>
  <c r="X502" i="13"/>
  <c r="X503" i="13"/>
  <c r="X504" i="13"/>
  <c r="X505" i="13"/>
  <c r="X506" i="13"/>
  <c r="X507" i="13"/>
  <c r="X508" i="13"/>
  <c r="X509" i="13"/>
  <c r="X510" i="13"/>
  <c r="X511" i="13"/>
  <c r="X512" i="13"/>
  <c r="X513" i="13"/>
  <c r="X514" i="13"/>
  <c r="X515" i="13"/>
  <c r="X516" i="13"/>
  <c r="X517" i="13"/>
  <c r="X518" i="13"/>
  <c r="X519" i="13"/>
  <c r="X520" i="13"/>
  <c r="X521" i="13"/>
  <c r="X522" i="13"/>
  <c r="X523" i="13"/>
  <c r="X524" i="13"/>
  <c r="X525" i="13"/>
  <c r="X526" i="13"/>
  <c r="X527" i="13"/>
  <c r="X528" i="13"/>
  <c r="X529" i="13"/>
  <c r="X530" i="13"/>
  <c r="X531" i="13"/>
  <c r="X532" i="13"/>
  <c r="X533" i="13"/>
  <c r="X534" i="13"/>
  <c r="X535" i="13"/>
  <c r="X536" i="13"/>
  <c r="X537" i="13"/>
  <c r="X538" i="13"/>
  <c r="X539" i="13"/>
  <c r="X540" i="13"/>
  <c r="X541" i="13"/>
  <c r="X542" i="13"/>
  <c r="X543" i="13"/>
  <c r="X544" i="13"/>
  <c r="X545" i="13"/>
  <c r="X546" i="13"/>
  <c r="X547" i="13"/>
  <c r="X548" i="13"/>
  <c r="X549" i="13"/>
  <c r="X550" i="13"/>
  <c r="X551" i="13"/>
  <c r="X552" i="13"/>
  <c r="X553" i="13"/>
  <c r="X554" i="13"/>
  <c r="X555" i="13"/>
  <c r="X556" i="13"/>
  <c r="X557" i="13"/>
  <c r="X558" i="13"/>
  <c r="X559" i="13"/>
  <c r="X560" i="13"/>
  <c r="X561" i="13"/>
  <c r="X562" i="13"/>
  <c r="X563" i="13"/>
  <c r="X564" i="13"/>
  <c r="X565" i="13"/>
  <c r="X566" i="13"/>
  <c r="X567" i="13"/>
  <c r="X568" i="13"/>
  <c r="X569" i="13"/>
  <c r="X570" i="13"/>
  <c r="X571" i="13"/>
  <c r="X572" i="13"/>
  <c r="X573" i="13"/>
  <c r="X574" i="13"/>
  <c r="X575" i="13"/>
  <c r="X576" i="13"/>
  <c r="X577" i="13"/>
  <c r="X578" i="13"/>
  <c r="X579" i="13"/>
  <c r="X580" i="13"/>
  <c r="X581" i="13"/>
  <c r="X582" i="13"/>
  <c r="X583" i="13"/>
  <c r="X584" i="13"/>
  <c r="X585" i="13"/>
  <c r="X586" i="13"/>
  <c r="X587" i="13"/>
  <c r="X588" i="13"/>
  <c r="X589" i="13"/>
  <c r="X590" i="13"/>
  <c r="X591" i="13"/>
  <c r="X592" i="13"/>
  <c r="X593" i="13"/>
  <c r="X594" i="13"/>
  <c r="X595" i="13"/>
  <c r="X596" i="13"/>
  <c r="X597" i="13"/>
  <c r="X598" i="13"/>
  <c r="X599" i="13"/>
  <c r="X600" i="13"/>
  <c r="X601" i="13"/>
  <c r="X602" i="13"/>
  <c r="X603" i="13"/>
  <c r="X604" i="13"/>
  <c r="X605" i="13"/>
  <c r="X606" i="13"/>
  <c r="X607" i="13"/>
  <c r="X608" i="13"/>
  <c r="X609" i="13"/>
  <c r="X610" i="13"/>
  <c r="X611" i="13"/>
  <c r="X612" i="13"/>
  <c r="X613" i="13"/>
  <c r="X614" i="13"/>
  <c r="X615" i="13"/>
  <c r="X616" i="13"/>
  <c r="X617" i="13"/>
  <c r="X618" i="13"/>
  <c r="X619" i="13"/>
  <c r="X620" i="13"/>
  <c r="X621" i="13"/>
  <c r="X622" i="13"/>
  <c r="X623" i="13"/>
  <c r="X624" i="13"/>
  <c r="X625" i="13"/>
  <c r="X626" i="13"/>
  <c r="X627" i="13"/>
  <c r="X628" i="13"/>
  <c r="X629" i="13"/>
  <c r="X630" i="13"/>
  <c r="X631" i="13"/>
  <c r="X632" i="13"/>
  <c r="X633" i="13"/>
  <c r="X634" i="13"/>
  <c r="X635" i="13"/>
  <c r="X636" i="13"/>
  <c r="X637" i="13"/>
  <c r="X638" i="13"/>
  <c r="X639" i="13"/>
  <c r="X640" i="13"/>
  <c r="X641" i="13"/>
  <c r="X642" i="13"/>
  <c r="X643" i="13"/>
  <c r="X644" i="13"/>
  <c r="X645" i="13"/>
  <c r="X646" i="13"/>
  <c r="X647" i="13"/>
  <c r="X648" i="13"/>
  <c r="X649" i="13"/>
  <c r="X650" i="13"/>
  <c r="X651" i="13"/>
  <c r="X652" i="13"/>
  <c r="X653" i="13"/>
  <c r="X654" i="13"/>
  <c r="X655" i="13"/>
  <c r="X656" i="13"/>
  <c r="X657" i="13"/>
  <c r="X463" i="13"/>
  <c r="X464" i="13"/>
  <c r="X465" i="13"/>
  <c r="X466" i="13"/>
  <c r="X467" i="13"/>
  <c r="X468" i="13"/>
  <c r="X469" i="13"/>
  <c r="X470" i="13"/>
  <c r="X471" i="13"/>
  <c r="X472" i="13"/>
  <c r="X473" i="13"/>
  <c r="X474" i="13"/>
  <c r="X475" i="13"/>
  <c r="X476" i="13"/>
  <c r="X461" i="13"/>
  <c r="X451" i="13"/>
  <c r="X452" i="13"/>
  <c r="X453" i="13"/>
  <c r="X454" i="13"/>
  <c r="X455" i="13"/>
  <c r="X456" i="13"/>
  <c r="X457" i="13"/>
  <c r="X458" i="13"/>
  <c r="X373" i="13"/>
  <c r="X374" i="13"/>
  <c r="X375" i="13"/>
  <c r="X376" i="13"/>
  <c r="X377" i="13"/>
  <c r="X378" i="13"/>
  <c r="X379" i="13"/>
  <c r="X380" i="13"/>
  <c r="X381" i="13"/>
  <c r="X382" i="13"/>
  <c r="X383" i="13"/>
  <c r="X384" i="13"/>
  <c r="X385" i="13"/>
  <c r="X386" i="13"/>
  <c r="X387" i="13"/>
  <c r="X388" i="13"/>
  <c r="X389" i="13"/>
  <c r="X390" i="13"/>
  <c r="X391" i="13"/>
  <c r="X392" i="13"/>
  <c r="X393" i="13"/>
  <c r="X394" i="13"/>
  <c r="X395" i="13"/>
  <c r="X396" i="13"/>
  <c r="X397" i="13"/>
  <c r="X398" i="13"/>
  <c r="X399" i="13"/>
  <c r="X400" i="13"/>
  <c r="X401" i="13"/>
  <c r="X402" i="13"/>
  <c r="X403" i="13"/>
  <c r="X404" i="13"/>
  <c r="X405" i="13"/>
  <c r="X406" i="13"/>
  <c r="X407" i="13"/>
  <c r="X408" i="13"/>
  <c r="X409" i="13"/>
  <c r="X410" i="13"/>
  <c r="X411" i="13"/>
  <c r="X412" i="13"/>
  <c r="X413" i="13"/>
  <c r="X414" i="13"/>
  <c r="X415" i="13"/>
  <c r="X416" i="13"/>
  <c r="X417" i="13"/>
  <c r="X418" i="13"/>
  <c r="X419" i="13"/>
  <c r="X420" i="13"/>
  <c r="X421" i="13"/>
  <c r="X422" i="13"/>
  <c r="X423" i="13"/>
  <c r="X424" i="13"/>
  <c r="X425" i="13"/>
  <c r="X426" i="13"/>
  <c r="X427" i="13"/>
  <c r="X428" i="13"/>
  <c r="X429" i="13"/>
  <c r="X430" i="13"/>
  <c r="X431" i="13"/>
  <c r="X432" i="13"/>
  <c r="X433" i="13"/>
  <c r="X434" i="13"/>
  <c r="X435" i="13"/>
  <c r="X436" i="13"/>
  <c r="X437" i="13"/>
  <c r="X438" i="13"/>
  <c r="X439" i="13"/>
  <c r="X440" i="13"/>
  <c r="X441" i="13"/>
  <c r="X442" i="13"/>
  <c r="X443" i="13"/>
  <c r="X444" i="13"/>
  <c r="X445" i="13"/>
  <c r="X446" i="13"/>
  <c r="X447" i="13"/>
  <c r="X448" i="13"/>
  <c r="X449" i="13"/>
  <c r="X450" i="13"/>
  <c r="I489" i="13" a="1"/>
  <c r="I489" i="13" s="1"/>
  <c r="Q427" i="13"/>
  <c r="Q428" i="13"/>
  <c r="Q429" i="13"/>
  <c r="Q430" i="13"/>
  <c r="Q431" i="13"/>
  <c r="Q432" i="13"/>
  <c r="Q433" i="13"/>
  <c r="Q434" i="13"/>
  <c r="Q435" i="13"/>
  <c r="Q436" i="13"/>
  <c r="Q437" i="13"/>
  <c r="Q438" i="13"/>
  <c r="Q439" i="13"/>
  <c r="Q440" i="13"/>
  <c r="Q441" i="13"/>
  <c r="Q442" i="13"/>
  <c r="Q443" i="13"/>
  <c r="Q444" i="13"/>
  <c r="Q445" i="13"/>
  <c r="Q446" i="13"/>
  <c r="Q447" i="13"/>
  <c r="Q448" i="13"/>
  <c r="Q449" i="13"/>
  <c r="Q450" i="13"/>
  <c r="Q451" i="13"/>
  <c r="Q452" i="13"/>
  <c r="Q453" i="13"/>
  <c r="Q454" i="13"/>
  <c r="Q455" i="13"/>
  <c r="Q456" i="13"/>
  <c r="Q457" i="13"/>
  <c r="Q458" i="13"/>
  <c r="Q459" i="13"/>
  <c r="Q460" i="13"/>
  <c r="Q461" i="13"/>
  <c r="Q462" i="13"/>
  <c r="Q463" i="13"/>
  <c r="Q464" i="13"/>
  <c r="Q465" i="13"/>
  <c r="Q466" i="13"/>
  <c r="Q467" i="13"/>
  <c r="Q468" i="13"/>
  <c r="Q469" i="13"/>
  <c r="Q470" i="13"/>
  <c r="Q471" i="13"/>
  <c r="Q472" i="13"/>
  <c r="Q473" i="13"/>
  <c r="Q474" i="13"/>
  <c r="Q475" i="13"/>
  <c r="Q476" i="13"/>
  <c r="Q477" i="13"/>
  <c r="Q478" i="13"/>
  <c r="Q479" i="13"/>
  <c r="Q480" i="13"/>
  <c r="Q481" i="13"/>
  <c r="Q482" i="13"/>
  <c r="Q483" i="13"/>
  <c r="Q484" i="13"/>
  <c r="Q485" i="13"/>
  <c r="Q486" i="13"/>
  <c r="Q487" i="13"/>
  <c r="Q488" i="13"/>
  <c r="Q489" i="13"/>
  <c r="Q490" i="13"/>
  <c r="Q491" i="13"/>
  <c r="Q492" i="13"/>
  <c r="Q493" i="13"/>
  <c r="Q494" i="13"/>
  <c r="Q495" i="13"/>
  <c r="Q496" i="13"/>
  <c r="Q497" i="13"/>
  <c r="Q498" i="13"/>
  <c r="Q499" i="13"/>
  <c r="Q500" i="13"/>
  <c r="Q501" i="13"/>
  <c r="Q502" i="13"/>
  <c r="Q503" i="13"/>
  <c r="Q504" i="13"/>
  <c r="Q505" i="13"/>
  <c r="Q506" i="13"/>
  <c r="Q507" i="13"/>
  <c r="Q508" i="13"/>
  <c r="Q509" i="13"/>
  <c r="Q510" i="13"/>
  <c r="Q511" i="13"/>
  <c r="Q512" i="13"/>
  <c r="Q513" i="13"/>
  <c r="Q514" i="13"/>
  <c r="Q515" i="13"/>
  <c r="Q516" i="13"/>
  <c r="Q517" i="13"/>
  <c r="Q518" i="13"/>
  <c r="Q519" i="13"/>
  <c r="Q520" i="13"/>
  <c r="Q521" i="13"/>
  <c r="Q522" i="13"/>
  <c r="Q523" i="13"/>
  <c r="Q524" i="13"/>
  <c r="Q525" i="13"/>
  <c r="Q526" i="13"/>
  <c r="Q527" i="13"/>
  <c r="Q528" i="13"/>
  <c r="Q529" i="13"/>
  <c r="Q530" i="13"/>
  <c r="Q531" i="13"/>
  <c r="Q532" i="13"/>
  <c r="Q533" i="13"/>
  <c r="Q534" i="13"/>
  <c r="Q535" i="13"/>
  <c r="Q536" i="13"/>
  <c r="Q537" i="13"/>
  <c r="Q538" i="13"/>
  <c r="Q539" i="13"/>
  <c r="Q540" i="13"/>
  <c r="Q541" i="13"/>
  <c r="Q542" i="13"/>
  <c r="Q543" i="13"/>
  <c r="Q544" i="13"/>
  <c r="Q545" i="13"/>
  <c r="Q546" i="13"/>
  <c r="Q547" i="13"/>
  <c r="Q548" i="13"/>
  <c r="Q549" i="13"/>
  <c r="Q550" i="13"/>
  <c r="Q551" i="13"/>
  <c r="Q552" i="13"/>
  <c r="Q553" i="13"/>
  <c r="Q554" i="13"/>
  <c r="Q555" i="13"/>
  <c r="Q556" i="13"/>
  <c r="Q557" i="13"/>
  <c r="Q558" i="13"/>
  <c r="Q559" i="13"/>
  <c r="Q560" i="13"/>
  <c r="Q561" i="13"/>
  <c r="Q562" i="13"/>
  <c r="Q563" i="13"/>
  <c r="Q564" i="13"/>
  <c r="Q565" i="13"/>
  <c r="Q566" i="13"/>
  <c r="Q567" i="13"/>
  <c r="Q568" i="13"/>
  <c r="Q569" i="13"/>
  <c r="Q570" i="13"/>
  <c r="Q571" i="13"/>
  <c r="Q572" i="13"/>
  <c r="Q573" i="13"/>
  <c r="Q574" i="13"/>
  <c r="Q575" i="13"/>
  <c r="Q576" i="13"/>
  <c r="Q577" i="13"/>
  <c r="Q578" i="13"/>
  <c r="Q579" i="13"/>
  <c r="Q580" i="13"/>
  <c r="Q581" i="13"/>
  <c r="Q582" i="13"/>
  <c r="Q583" i="13"/>
  <c r="Q584" i="13"/>
  <c r="Q585" i="13"/>
  <c r="Q586" i="13"/>
  <c r="Q587" i="13"/>
  <c r="Q588" i="13"/>
  <c r="Q589" i="13"/>
  <c r="Q590" i="13"/>
  <c r="Q591" i="13"/>
  <c r="Q592" i="13"/>
  <c r="Q593" i="13"/>
  <c r="Q594" i="13"/>
  <c r="Q595" i="13"/>
  <c r="Q596" i="13"/>
  <c r="Q597" i="13"/>
  <c r="Q598" i="13"/>
  <c r="Q599" i="13"/>
  <c r="Q600" i="13"/>
  <c r="Q601" i="13"/>
  <c r="Q602" i="13"/>
  <c r="Q603" i="13"/>
  <c r="Q604" i="13"/>
  <c r="Q605" i="13"/>
  <c r="Q606" i="13"/>
  <c r="Q607" i="13"/>
  <c r="Q608" i="13"/>
  <c r="Q609" i="13"/>
  <c r="Q610" i="13"/>
  <c r="Q611" i="13"/>
  <c r="Q612" i="13"/>
  <c r="Q613" i="13"/>
  <c r="Q614" i="13"/>
  <c r="Q615" i="13"/>
  <c r="Q616" i="13"/>
  <c r="Q617" i="13"/>
  <c r="Q618" i="13"/>
  <c r="Q619" i="13"/>
  <c r="Q620" i="13"/>
  <c r="Q621" i="13"/>
  <c r="Q622" i="13"/>
  <c r="Q623" i="13"/>
  <c r="Q624" i="13"/>
  <c r="Q625" i="13"/>
  <c r="Q626" i="13"/>
  <c r="Q627" i="13"/>
  <c r="Q628" i="13"/>
  <c r="Q629" i="13"/>
  <c r="Q630" i="13"/>
  <c r="Q631" i="13"/>
  <c r="Q632" i="13"/>
  <c r="Q633" i="13"/>
  <c r="Q634" i="13"/>
  <c r="Q635" i="13"/>
  <c r="Q636" i="13"/>
  <c r="Q637" i="13"/>
  <c r="Q638" i="13"/>
  <c r="Q639" i="13"/>
  <c r="Q640" i="13"/>
  <c r="Q641" i="13"/>
  <c r="Q642" i="13"/>
  <c r="Q643" i="13"/>
  <c r="Q644" i="13"/>
  <c r="Q645" i="13"/>
  <c r="Q646" i="13"/>
  <c r="Q647" i="13"/>
  <c r="Q648" i="13"/>
  <c r="Q649" i="13"/>
  <c r="Q650" i="13"/>
  <c r="Q651" i="13"/>
  <c r="Q652" i="13"/>
  <c r="Q653" i="13"/>
  <c r="Q654" i="13"/>
  <c r="Q655" i="13"/>
  <c r="Q656" i="13"/>
  <c r="Q657" i="13"/>
  <c r="Z465" i="13"/>
  <c r="X462" i="13"/>
  <c r="X460" i="13"/>
  <c r="X459" i="13"/>
  <c r="Z451" i="13"/>
  <c r="Z452" i="13"/>
  <c r="Z453" i="13"/>
  <c r="Z454" i="13"/>
  <c r="Z455" i="13"/>
  <c r="Z456" i="13"/>
  <c r="Z457" i="13"/>
  <c r="Z458" i="13"/>
  <c r="Z459" i="13"/>
  <c r="Z460" i="13"/>
  <c r="Z461" i="13"/>
  <c r="Z462" i="13"/>
  <c r="Z463" i="13"/>
  <c r="Z464" i="13"/>
  <c r="Z466" i="13"/>
  <c r="Z467" i="13"/>
  <c r="Z468" i="13"/>
  <c r="Z469" i="13"/>
  <c r="Z470" i="13"/>
  <c r="Z471" i="13"/>
  <c r="Z472" i="13"/>
  <c r="Z473" i="13"/>
  <c r="Z474" i="13"/>
  <c r="Z475" i="13"/>
  <c r="Z476" i="13"/>
  <c r="Z477" i="13"/>
  <c r="X477" i="13"/>
  <c r="BT656" i="13"/>
  <c r="BT655" i="13"/>
  <c r="BT654" i="13"/>
  <c r="BT653" i="13"/>
  <c r="BT652" i="13"/>
  <c r="BT651" i="13"/>
  <c r="BT650" i="13"/>
  <c r="BT649" i="13"/>
  <c r="BT648" i="13"/>
  <c r="BT647" i="13"/>
  <c r="BT646" i="13"/>
  <c r="BT645" i="13"/>
  <c r="BT644" i="13"/>
  <c r="BT643" i="13"/>
  <c r="BT642" i="13"/>
  <c r="BT641" i="13"/>
  <c r="BT640" i="13"/>
  <c r="BT639" i="13"/>
  <c r="BT638" i="13"/>
  <c r="BT637" i="13"/>
  <c r="BT636" i="13"/>
  <c r="BT635" i="13"/>
  <c r="BT634" i="13"/>
  <c r="BT633" i="13"/>
  <c r="BT632" i="13"/>
  <c r="BT631" i="13"/>
  <c r="BT630" i="13"/>
  <c r="BT629" i="13"/>
  <c r="BT628" i="13"/>
  <c r="BT627" i="13"/>
  <c r="BT626" i="13"/>
  <c r="BT625" i="13"/>
  <c r="BT624" i="13"/>
  <c r="BT623" i="13"/>
  <c r="BT622" i="13"/>
  <c r="BT621" i="13"/>
  <c r="BT620" i="13"/>
  <c r="BT619" i="13"/>
  <c r="BT618" i="13"/>
  <c r="BT617" i="13"/>
  <c r="BT616" i="13"/>
  <c r="BT615" i="13"/>
  <c r="BT614" i="13"/>
  <c r="BT613" i="13"/>
  <c r="BT612" i="13"/>
  <c r="BT611" i="13"/>
  <c r="BT610" i="13"/>
  <c r="BT609" i="13"/>
  <c r="BT608" i="13"/>
  <c r="BT607" i="13"/>
  <c r="BT606" i="13"/>
  <c r="BT605" i="13"/>
  <c r="BT604" i="13"/>
  <c r="BT603" i="13"/>
  <c r="BT602" i="13"/>
  <c r="BT601" i="13"/>
  <c r="BT600" i="13"/>
  <c r="BT599" i="13"/>
  <c r="BT598" i="13"/>
  <c r="BT597" i="13"/>
  <c r="BT596" i="13"/>
  <c r="BT595" i="13"/>
  <c r="BT594" i="13"/>
  <c r="BT593" i="13"/>
  <c r="BT592" i="13"/>
  <c r="BT591" i="13"/>
  <c r="BT590" i="13"/>
  <c r="BT589" i="13"/>
  <c r="BT588" i="13"/>
  <c r="BT587" i="13"/>
  <c r="BT586" i="13"/>
  <c r="BT585" i="13"/>
  <c r="BT584" i="13"/>
  <c r="BT583" i="13"/>
  <c r="BT582" i="13"/>
  <c r="BT581" i="13"/>
  <c r="BT580" i="13"/>
  <c r="BT579" i="13"/>
  <c r="BT578" i="13"/>
  <c r="BT577" i="13"/>
  <c r="BT576" i="13"/>
  <c r="BT575" i="13"/>
  <c r="BT574" i="13"/>
  <c r="BT573" i="13"/>
  <c r="BT572" i="13"/>
  <c r="BT571" i="13"/>
  <c r="BT570" i="13"/>
  <c r="BT569" i="13"/>
  <c r="BT568" i="13"/>
  <c r="BT567" i="13"/>
  <c r="BT566" i="13"/>
  <c r="BT565" i="13"/>
  <c r="BT564" i="13"/>
  <c r="BT563" i="13"/>
  <c r="BT562" i="13"/>
  <c r="BT561" i="13"/>
  <c r="BT560" i="13"/>
  <c r="BT559" i="13"/>
  <c r="BT558" i="13"/>
  <c r="BT557" i="13"/>
  <c r="BT556" i="13"/>
  <c r="BT555" i="13"/>
  <c r="BT554" i="13"/>
  <c r="BT553" i="13"/>
  <c r="BT552" i="13"/>
  <c r="BT551" i="13"/>
  <c r="BT550" i="13"/>
  <c r="BT549" i="13"/>
  <c r="BT548" i="13"/>
  <c r="BT547" i="13"/>
  <c r="BT546" i="13"/>
  <c r="BT545" i="13"/>
  <c r="BT544" i="13"/>
  <c r="BT543" i="13"/>
  <c r="BT542" i="13"/>
  <c r="BT541" i="13"/>
  <c r="BT540" i="13"/>
  <c r="BT539" i="13"/>
  <c r="BT538" i="13"/>
  <c r="BT537" i="13"/>
  <c r="BT536" i="13"/>
  <c r="BT535" i="13"/>
  <c r="BT534" i="13"/>
  <c r="BT533" i="13"/>
  <c r="BT532" i="13"/>
  <c r="BT531" i="13"/>
  <c r="BT530" i="13"/>
  <c r="BT529" i="13"/>
  <c r="BT528" i="13"/>
  <c r="BT527" i="13"/>
  <c r="BT526" i="13"/>
  <c r="BT525" i="13"/>
  <c r="BT524" i="13"/>
  <c r="BT523" i="13"/>
  <c r="BT522" i="13"/>
  <c r="BT521" i="13"/>
  <c r="BT520" i="13"/>
  <c r="BT519" i="13"/>
  <c r="BT518" i="13"/>
  <c r="BT517" i="13"/>
  <c r="BT516" i="13"/>
  <c r="BT515" i="13"/>
  <c r="BT514" i="13"/>
  <c r="BT513" i="13"/>
  <c r="BT512" i="13"/>
  <c r="BT511" i="13"/>
  <c r="BT510" i="13"/>
  <c r="BT509" i="13"/>
  <c r="BT508" i="13"/>
  <c r="BT507" i="13"/>
  <c r="BT506" i="13"/>
  <c r="BT505" i="13"/>
  <c r="BT504" i="13"/>
  <c r="BT503" i="13"/>
  <c r="BT502" i="13"/>
  <c r="BT501" i="13"/>
  <c r="BT500" i="13"/>
  <c r="BT499" i="13"/>
  <c r="BT498" i="13"/>
  <c r="BT497" i="13"/>
  <c r="BT496" i="13"/>
  <c r="BT495" i="13"/>
  <c r="BT494" i="13"/>
  <c r="BT493" i="13"/>
  <c r="BT492" i="13"/>
  <c r="BT491" i="13"/>
  <c r="BT490" i="13"/>
  <c r="BT489" i="13"/>
  <c r="BT488" i="13"/>
  <c r="BT487" i="13"/>
  <c r="BT486" i="13"/>
  <c r="BT485" i="13"/>
  <c r="BT484" i="13"/>
  <c r="BT483" i="13"/>
  <c r="BT482" i="13"/>
  <c r="BT481" i="13"/>
  <c r="BT480" i="13"/>
  <c r="BT479" i="13"/>
  <c r="BT408" i="13"/>
  <c r="BT407" i="13"/>
  <c r="BT404" i="13"/>
  <c r="BT403" i="13"/>
  <c r="BT401" i="13"/>
  <c r="BT392" i="13"/>
  <c r="BT391" i="13"/>
  <c r="BT387" i="13"/>
  <c r="BT386" i="13"/>
  <c r="BT378" i="13"/>
  <c r="BT377" i="13"/>
  <c r="BT376" i="13"/>
  <c r="BT375" i="13"/>
  <c r="BT374" i="13"/>
  <c r="BT373" i="13"/>
  <c r="BT371" i="13"/>
  <c r="BT370" i="13"/>
  <c r="BT367" i="13"/>
  <c r="BT364" i="13"/>
  <c r="BT363" i="13"/>
  <c r="BT362" i="13"/>
  <c r="BT361" i="13"/>
  <c r="BT360" i="13"/>
  <c r="BT359" i="13"/>
  <c r="BT358" i="13"/>
  <c r="BT357" i="13"/>
  <c r="BT356" i="13"/>
  <c r="BT355" i="13"/>
  <c r="BT354" i="13"/>
  <c r="BT351" i="13"/>
  <c r="BT350" i="13"/>
  <c r="BT348" i="13"/>
  <c r="BT347" i="13"/>
  <c r="BT344" i="13"/>
  <c r="BT342" i="13"/>
  <c r="BT263" i="13"/>
  <c r="BT262" i="13"/>
  <c r="BT261" i="13"/>
  <c r="BT260" i="13"/>
  <c r="BT259" i="13"/>
  <c r="BT258" i="13"/>
  <c r="BT257" i="13"/>
  <c r="BT256" i="13"/>
  <c r="BT255" i="13"/>
  <c r="BT254" i="13"/>
  <c r="BT253" i="13"/>
  <c r="BT252" i="13"/>
  <c r="BT251" i="13"/>
  <c r="BT250" i="13"/>
  <c r="BT249"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T4" i="13"/>
  <c r="BT3" i="13"/>
  <c r="BT2" i="13"/>
  <c r="V422" i="13" l="1"/>
  <c r="V423" i="13"/>
  <c r="V424" i="13"/>
  <c r="V425" i="13"/>
  <c r="V426" i="13"/>
  <c r="V427" i="13"/>
  <c r="V428" i="13"/>
  <c r="V429" i="13"/>
  <c r="V430" i="13"/>
  <c r="V431" i="13"/>
  <c r="V432" i="13"/>
  <c r="V433" i="13"/>
  <c r="V434" i="13"/>
  <c r="V435" i="13"/>
  <c r="V436" i="13"/>
  <c r="V437" i="13"/>
  <c r="V438" i="13"/>
  <c r="V439" i="13"/>
  <c r="V440" i="13"/>
  <c r="V441" i="13"/>
  <c r="V442" i="13"/>
  <c r="V443" i="13"/>
  <c r="V444" i="13"/>
  <c r="V445" i="13"/>
  <c r="V446" i="13"/>
  <c r="V447" i="13"/>
  <c r="V448" i="13"/>
  <c r="V449" i="13"/>
  <c r="V450" i="13"/>
  <c r="V451" i="13"/>
  <c r="V452" i="13"/>
  <c r="V453" i="13"/>
  <c r="V454" i="13"/>
  <c r="V455" i="13"/>
  <c r="V456" i="13"/>
  <c r="V457" i="13"/>
  <c r="V458" i="13"/>
  <c r="V459" i="13"/>
  <c r="V460" i="13"/>
  <c r="V461" i="13"/>
  <c r="V462" i="13"/>
  <c r="V463" i="13"/>
  <c r="V464" i="13"/>
  <c r="V465" i="13"/>
  <c r="V466" i="13"/>
  <c r="V467" i="13"/>
  <c r="V468" i="13"/>
  <c r="V469" i="13"/>
  <c r="V470" i="13"/>
  <c r="V471" i="13"/>
  <c r="V472" i="13"/>
  <c r="V473" i="13"/>
  <c r="V474" i="13"/>
  <c r="V475" i="13"/>
  <c r="V476" i="13"/>
  <c r="V477" i="13"/>
  <c r="V478" i="13"/>
  <c r="V479" i="13"/>
  <c r="V480" i="13"/>
  <c r="V481" i="13"/>
  <c r="V482" i="13"/>
  <c r="V483" i="13"/>
  <c r="V484" i="13"/>
  <c r="V485" i="13"/>
  <c r="V486" i="13"/>
  <c r="V487" i="13"/>
  <c r="V488" i="13"/>
  <c r="V489" i="13"/>
  <c r="V490" i="13"/>
  <c r="V491" i="13"/>
  <c r="V492" i="13"/>
  <c r="V493" i="13"/>
  <c r="V494" i="13"/>
  <c r="V495" i="13"/>
  <c r="V496" i="13"/>
  <c r="V497" i="13"/>
  <c r="V498" i="13"/>
  <c r="V499" i="13"/>
  <c r="V500" i="13"/>
  <c r="V501" i="13"/>
  <c r="V502" i="13"/>
  <c r="V503" i="13"/>
  <c r="V504" i="13"/>
  <c r="V505" i="13"/>
  <c r="V506" i="13"/>
  <c r="V507" i="13"/>
  <c r="V508" i="13"/>
  <c r="V509" i="13"/>
  <c r="V510" i="13"/>
  <c r="V511" i="13"/>
  <c r="V512" i="13"/>
  <c r="V513" i="13"/>
  <c r="V514" i="13"/>
  <c r="V515" i="13"/>
  <c r="V516" i="13"/>
  <c r="V517" i="13"/>
  <c r="V518" i="13"/>
  <c r="V519" i="13"/>
  <c r="V520" i="13"/>
  <c r="V521" i="13"/>
  <c r="V522" i="13"/>
  <c r="V523" i="13"/>
  <c r="V524" i="13"/>
  <c r="V525" i="13"/>
  <c r="V526" i="13"/>
  <c r="V527" i="13"/>
  <c r="V528" i="13"/>
  <c r="V529" i="13"/>
  <c r="V530" i="13"/>
  <c r="V531" i="13"/>
  <c r="V532" i="13"/>
  <c r="V533" i="13"/>
  <c r="V534" i="13"/>
  <c r="V535" i="13"/>
  <c r="V536" i="13"/>
  <c r="V537" i="13"/>
  <c r="V538" i="13"/>
  <c r="V539" i="13"/>
  <c r="V540" i="13"/>
  <c r="V541" i="13"/>
  <c r="V542" i="13"/>
  <c r="V543" i="13"/>
  <c r="V544" i="13"/>
  <c r="V545" i="13"/>
  <c r="V546" i="13"/>
  <c r="V547" i="13"/>
  <c r="V548" i="13"/>
  <c r="V549" i="13"/>
  <c r="V550" i="13"/>
  <c r="V551" i="13"/>
  <c r="V552" i="13"/>
  <c r="V553" i="13"/>
  <c r="V554" i="13"/>
  <c r="V555" i="13"/>
  <c r="V556" i="13"/>
  <c r="V557" i="13"/>
  <c r="V558" i="13"/>
  <c r="V559" i="13"/>
  <c r="V560" i="13"/>
  <c r="V561" i="13"/>
  <c r="V562" i="13"/>
  <c r="V563" i="13"/>
  <c r="V564" i="13"/>
  <c r="V565" i="13"/>
  <c r="V566" i="13"/>
  <c r="V567" i="13"/>
  <c r="V568" i="13"/>
  <c r="V569" i="13"/>
  <c r="V570" i="13"/>
  <c r="V571" i="13"/>
  <c r="V572" i="13"/>
  <c r="V573" i="13"/>
  <c r="V574" i="13"/>
  <c r="V575" i="13"/>
  <c r="V576" i="13"/>
  <c r="V577" i="13"/>
  <c r="V578" i="13"/>
  <c r="V579" i="13"/>
  <c r="V580" i="13"/>
  <c r="V581" i="13"/>
  <c r="V582" i="13"/>
  <c r="V583" i="13"/>
  <c r="V584" i="13"/>
  <c r="V585" i="13"/>
  <c r="V586" i="13"/>
  <c r="V587" i="13"/>
  <c r="V588" i="13"/>
  <c r="V589" i="13"/>
  <c r="V590" i="13"/>
  <c r="V591" i="13"/>
  <c r="V592" i="13"/>
  <c r="V593" i="13"/>
  <c r="V594" i="13"/>
  <c r="V595" i="13"/>
  <c r="V596" i="13"/>
  <c r="V597" i="13"/>
  <c r="V598" i="13"/>
  <c r="V599" i="13"/>
  <c r="V600" i="13"/>
  <c r="V601" i="13"/>
  <c r="V602" i="13"/>
  <c r="V603" i="13"/>
  <c r="V604" i="13"/>
  <c r="V605" i="13"/>
  <c r="V606" i="13"/>
  <c r="V607" i="13"/>
  <c r="V608" i="13"/>
  <c r="V609" i="13"/>
  <c r="V610" i="13"/>
  <c r="V611" i="13"/>
  <c r="V612" i="13"/>
  <c r="V613" i="13"/>
  <c r="V614" i="13"/>
  <c r="V615" i="13"/>
  <c r="V616" i="13"/>
  <c r="V617" i="13"/>
  <c r="V618" i="13"/>
  <c r="V619" i="13"/>
  <c r="V620" i="13"/>
  <c r="V621" i="13"/>
  <c r="V622" i="13"/>
  <c r="V623" i="13"/>
  <c r="V624" i="13"/>
  <c r="V625" i="13"/>
  <c r="V626" i="13"/>
  <c r="V627" i="13"/>
  <c r="V628" i="13"/>
  <c r="V629" i="13"/>
  <c r="V630" i="13"/>
  <c r="V631" i="13"/>
  <c r="V632" i="13"/>
  <c r="V633" i="13"/>
  <c r="V634" i="13"/>
  <c r="V635" i="13"/>
  <c r="V636" i="13"/>
  <c r="V637" i="13"/>
  <c r="V638" i="13"/>
  <c r="V639" i="13"/>
  <c r="V640" i="13"/>
  <c r="V641" i="13"/>
  <c r="V642" i="13"/>
  <c r="V643" i="13"/>
  <c r="V644" i="13"/>
  <c r="V645" i="13"/>
  <c r="V646" i="13"/>
  <c r="V647" i="13"/>
  <c r="V648" i="13"/>
  <c r="V649" i="13"/>
  <c r="V650" i="13"/>
  <c r="V651" i="13"/>
  <c r="V652" i="13"/>
  <c r="V653" i="13"/>
  <c r="V654" i="13"/>
  <c r="V655" i="13"/>
  <c r="V656" i="13"/>
  <c r="V657" i="13"/>
  <c r="Z450" i="13"/>
  <c r="Z449" i="13"/>
  <c r="Z448" i="13"/>
  <c r="Z447" i="13"/>
  <c r="Z446" i="13"/>
  <c r="Z445" i="13"/>
  <c r="Z444" i="13"/>
  <c r="Z443" i="13"/>
  <c r="Z442" i="13"/>
  <c r="Z441" i="13"/>
  <c r="Z440" i="13"/>
  <c r="Z439" i="13"/>
  <c r="Z438" i="13"/>
  <c r="Z437" i="13"/>
  <c r="Z436" i="13"/>
  <c r="Z435" i="13"/>
  <c r="Z434" i="13"/>
  <c r="Z433" i="13"/>
  <c r="Z432" i="13"/>
  <c r="Z431" i="13"/>
  <c r="Z430" i="13"/>
  <c r="Z429" i="13"/>
  <c r="Z428" i="13"/>
  <c r="Z427" i="13"/>
  <c r="Z426" i="13"/>
  <c r="Z425" i="13"/>
  <c r="I407" i="13" a="1"/>
  <c r="I407" i="13" s="1"/>
  <c r="I409" i="13" a="1"/>
  <c r="I409" i="13" s="1"/>
  <c r="I410" i="13" a="1"/>
  <c r="I410" i="13" s="1"/>
  <c r="I411" i="13" a="1"/>
  <c r="I411" i="13" s="1"/>
  <c r="I412" i="13" a="1"/>
  <c r="I412" i="13" s="1"/>
  <c r="I413" i="13" a="1"/>
  <c r="I413" i="13" s="1"/>
  <c r="I414" i="13" a="1"/>
  <c r="I414" i="13" s="1"/>
  <c r="I415" i="13" a="1"/>
  <c r="I415" i="13" s="1"/>
  <c r="I416" i="13" a="1"/>
  <c r="I416" i="13" s="1"/>
  <c r="I417" i="13" a="1"/>
  <c r="I417" i="13" s="1"/>
  <c r="I418" i="13" a="1"/>
  <c r="I418" i="13" s="1"/>
  <c r="I419" i="13" a="1"/>
  <c r="I419" i="13" s="1"/>
  <c r="I420" i="13" a="1"/>
  <c r="I420" i="13" s="1"/>
  <c r="I421" i="13" a="1"/>
  <c r="I421" i="13" s="1"/>
  <c r="I422" i="13" a="1"/>
  <c r="I422" i="13" s="1"/>
  <c r="I423" i="13" a="1"/>
  <c r="I423" i="13" s="1"/>
  <c r="I424" i="13" a="1"/>
  <c r="I424" i="13" s="1"/>
  <c r="I425" i="13" a="1"/>
  <c r="I425" i="13" s="1"/>
  <c r="I426" i="13" a="1"/>
  <c r="I426" i="13" s="1"/>
  <c r="I427" i="13" a="1"/>
  <c r="I427" i="13" s="1"/>
  <c r="I428" i="13" a="1"/>
  <c r="I428" i="13" s="1"/>
  <c r="I429" i="13" a="1"/>
  <c r="I429" i="13" s="1"/>
  <c r="I430" i="13" a="1"/>
  <c r="I430" i="13" s="1"/>
  <c r="I431" i="13" a="1"/>
  <c r="I431" i="13" s="1"/>
  <c r="I432" i="13" a="1"/>
  <c r="I432" i="13" s="1"/>
  <c r="I433" i="13" a="1"/>
  <c r="I433" i="13" s="1"/>
  <c r="I434" i="13" a="1"/>
  <c r="I434" i="13" s="1"/>
  <c r="I435" i="13" a="1"/>
  <c r="I435" i="13" s="1"/>
  <c r="I436" i="13" a="1"/>
  <c r="I436" i="13" s="1"/>
  <c r="I437" i="13" a="1"/>
  <c r="I437" i="13" s="1"/>
  <c r="I438" i="13" a="1"/>
  <c r="I438" i="13" s="1"/>
  <c r="I439" i="13" a="1"/>
  <c r="I439" i="13" s="1"/>
  <c r="I440" i="13" a="1"/>
  <c r="I440" i="13" s="1"/>
  <c r="I441" i="13" a="1"/>
  <c r="I441" i="13" s="1"/>
  <c r="I442" i="13" a="1"/>
  <c r="I442" i="13" s="1"/>
  <c r="I443" i="13" a="1"/>
  <c r="I443" i="13" s="1"/>
  <c r="I444" i="13" a="1"/>
  <c r="I444" i="13" s="1"/>
  <c r="I445" i="13" a="1"/>
  <c r="I445" i="13" s="1"/>
  <c r="I446" i="13" a="1"/>
  <c r="I446" i="13" s="1"/>
  <c r="I447" i="13" a="1"/>
  <c r="I447" i="13" s="1"/>
  <c r="I448" i="13" a="1"/>
  <c r="I448" i="13" s="1"/>
  <c r="I449" i="13" a="1"/>
  <c r="I449" i="13" s="1"/>
  <c r="I450" i="13" a="1"/>
  <c r="I450" i="13" s="1"/>
  <c r="I451" i="13" a="1"/>
  <c r="I451" i="13" s="1"/>
  <c r="I452" i="13" a="1"/>
  <c r="I452" i="13" s="1"/>
  <c r="I453" i="13" a="1"/>
  <c r="I453" i="13" s="1"/>
  <c r="I454" i="13" a="1"/>
  <c r="I454" i="13" s="1"/>
  <c r="I455" i="13" a="1"/>
  <c r="I455" i="13" s="1"/>
  <c r="I456" i="13" a="1"/>
  <c r="I456" i="13" s="1"/>
  <c r="I457" i="13" a="1"/>
  <c r="I457" i="13" s="1"/>
  <c r="I458" i="13" a="1"/>
  <c r="I458" i="13" s="1"/>
  <c r="I459" i="13" a="1"/>
  <c r="I459" i="13" s="1"/>
  <c r="I460" i="13" a="1"/>
  <c r="I460" i="13" s="1"/>
  <c r="I461" i="13" a="1"/>
  <c r="I461" i="13" s="1"/>
  <c r="I462" i="13" a="1"/>
  <c r="I462" i="13" s="1"/>
  <c r="I463" i="13" a="1"/>
  <c r="I463" i="13" s="1"/>
  <c r="I464" i="13" a="1"/>
  <c r="I464" i="13" s="1"/>
  <c r="I465" i="13" a="1"/>
  <c r="I465" i="13" s="1"/>
  <c r="I466" i="13" a="1"/>
  <c r="I466" i="13" s="1"/>
  <c r="I467" i="13" a="1"/>
  <c r="I467" i="13" s="1"/>
  <c r="I468" i="13" a="1"/>
  <c r="I468" i="13" s="1"/>
  <c r="I469" i="13" a="1"/>
  <c r="I469" i="13" s="1"/>
  <c r="I470" i="13" a="1"/>
  <c r="I470" i="13" s="1"/>
  <c r="I471" i="13" a="1"/>
  <c r="I471" i="13" s="1"/>
  <c r="I472" i="13" a="1"/>
  <c r="I472" i="13" s="1"/>
  <c r="I473" i="13" a="1"/>
  <c r="I473" i="13" s="1"/>
  <c r="I474" i="13" a="1"/>
  <c r="I474" i="13" s="1"/>
  <c r="I475" i="13" a="1"/>
  <c r="I475" i="13" s="1"/>
  <c r="I476" i="13" a="1"/>
  <c r="I476" i="13" s="1"/>
  <c r="I477" i="13" a="1"/>
  <c r="I477" i="13" s="1"/>
  <c r="I478" i="13" a="1"/>
  <c r="I478" i="13" s="1"/>
  <c r="I479" i="13" a="1"/>
  <c r="I479" i="13" s="1"/>
  <c r="I480" i="13" a="1"/>
  <c r="I480" i="13" s="1"/>
  <c r="I481" i="13" a="1"/>
  <c r="I481" i="13" s="1"/>
  <c r="I482" i="13" a="1"/>
  <c r="I482" i="13" s="1"/>
  <c r="I483" i="13" a="1"/>
  <c r="I483" i="13" s="1"/>
  <c r="I484" i="13" a="1"/>
  <c r="I484" i="13" s="1"/>
  <c r="I485" i="13" a="1"/>
  <c r="I485" i="13" s="1"/>
  <c r="I486" i="13" a="1"/>
  <c r="I486" i="13" s="1"/>
  <c r="I487" i="13" a="1"/>
  <c r="I487" i="13" s="1"/>
  <c r="I488" i="13" a="1"/>
  <c r="I488" i="13" s="1"/>
  <c r="I490" i="13" a="1"/>
  <c r="I490" i="13" s="1"/>
  <c r="I491" i="13" a="1"/>
  <c r="I491" i="13" s="1"/>
  <c r="I492" i="13" a="1"/>
  <c r="I492" i="13" s="1"/>
  <c r="I493" i="13" a="1"/>
  <c r="I493" i="13" s="1"/>
  <c r="I494" i="13" a="1"/>
  <c r="I494" i="13" s="1"/>
  <c r="I495" i="13" a="1"/>
  <c r="I495" i="13" s="1"/>
  <c r="I496" i="13" a="1"/>
  <c r="I496" i="13" s="1"/>
  <c r="I497" i="13" a="1"/>
  <c r="I497" i="13" s="1"/>
  <c r="I498" i="13" a="1"/>
  <c r="I498" i="13" s="1"/>
  <c r="I499" i="13" a="1"/>
  <c r="I499" i="13" s="1"/>
  <c r="I500" i="13" a="1"/>
  <c r="I500" i="13" s="1"/>
  <c r="I501" i="13" a="1"/>
  <c r="I501" i="13" s="1"/>
  <c r="I502" i="13" a="1"/>
  <c r="I502" i="13" s="1"/>
  <c r="I503" i="13" a="1"/>
  <c r="I503" i="13" s="1"/>
  <c r="I504" i="13" a="1"/>
  <c r="I504" i="13" s="1"/>
  <c r="I505" i="13" a="1"/>
  <c r="I505" i="13" s="1"/>
  <c r="I506" i="13" a="1"/>
  <c r="I506" i="13" s="1"/>
  <c r="I507" i="13" a="1"/>
  <c r="I507" i="13" s="1"/>
  <c r="I508" i="13" a="1"/>
  <c r="I508" i="13" s="1"/>
  <c r="I509" i="13" a="1"/>
  <c r="I509" i="13" s="1"/>
  <c r="I510" i="13" a="1"/>
  <c r="I510" i="13" s="1"/>
  <c r="I511" i="13" a="1"/>
  <c r="I511" i="13" s="1"/>
  <c r="I512" i="13" a="1"/>
  <c r="I512" i="13" s="1"/>
  <c r="I513" i="13" a="1"/>
  <c r="I513" i="13" s="1"/>
  <c r="I514" i="13" a="1"/>
  <c r="I514" i="13" s="1"/>
  <c r="I515" i="13" a="1"/>
  <c r="I515" i="13" s="1"/>
  <c r="I516" i="13" a="1"/>
  <c r="I516" i="13" s="1"/>
  <c r="I517" i="13" a="1"/>
  <c r="I517" i="13" s="1"/>
  <c r="I518" i="13" a="1"/>
  <c r="I518" i="13" s="1"/>
  <c r="I519" i="13" a="1"/>
  <c r="I519" i="13" s="1"/>
  <c r="I520" i="13" a="1"/>
  <c r="I520" i="13" s="1"/>
  <c r="I521" i="13" a="1"/>
  <c r="I521" i="13" s="1"/>
  <c r="I522" i="13" a="1"/>
  <c r="I522" i="13" s="1"/>
  <c r="I523" i="13" a="1"/>
  <c r="I523" i="13" s="1"/>
  <c r="I524" i="13" a="1"/>
  <c r="I524" i="13" s="1"/>
  <c r="I525" i="13" a="1"/>
  <c r="I525" i="13" s="1"/>
  <c r="I526" i="13" a="1"/>
  <c r="I526" i="13" s="1"/>
  <c r="I527" i="13" a="1"/>
  <c r="I527" i="13" s="1"/>
  <c r="I528" i="13" a="1"/>
  <c r="I528" i="13" s="1"/>
  <c r="I529" i="13" a="1"/>
  <c r="I529" i="13" s="1"/>
  <c r="I530" i="13" a="1"/>
  <c r="I530" i="13" s="1"/>
  <c r="I531" i="13" a="1"/>
  <c r="I531" i="13" s="1"/>
  <c r="I532" i="13" a="1"/>
  <c r="I532" i="13" s="1"/>
  <c r="I533" i="13" a="1"/>
  <c r="I533" i="13" s="1"/>
  <c r="I534" i="13" a="1"/>
  <c r="I534" i="13" s="1"/>
  <c r="I535" i="13" a="1"/>
  <c r="I535" i="13" s="1"/>
  <c r="I536" i="13" a="1"/>
  <c r="I536" i="13" s="1"/>
  <c r="I537" i="13" a="1"/>
  <c r="I537" i="13" s="1"/>
  <c r="I538" i="13" a="1"/>
  <c r="I538" i="13" s="1"/>
  <c r="I539" i="13" a="1"/>
  <c r="I539" i="13" s="1"/>
  <c r="I540" i="13" a="1"/>
  <c r="I540" i="13" s="1"/>
  <c r="I541" i="13" a="1"/>
  <c r="I541" i="13" s="1"/>
  <c r="I542" i="13" a="1"/>
  <c r="I542" i="13" s="1"/>
  <c r="I543" i="13" a="1"/>
  <c r="I543" i="13" s="1"/>
  <c r="I544" i="13" a="1"/>
  <c r="I544" i="13" s="1"/>
  <c r="I545" i="13" a="1"/>
  <c r="I545" i="13" s="1"/>
  <c r="I546" i="13" a="1"/>
  <c r="I546" i="13" s="1"/>
  <c r="I547" i="13" a="1"/>
  <c r="I547" i="13" s="1"/>
  <c r="I548" i="13" a="1"/>
  <c r="I548" i="13" s="1"/>
  <c r="I549" i="13" a="1"/>
  <c r="I549" i="13" s="1"/>
  <c r="I550" i="13" a="1"/>
  <c r="I550" i="13" s="1"/>
  <c r="I551" i="13" a="1"/>
  <c r="I551" i="13" s="1"/>
  <c r="I552" i="13" a="1"/>
  <c r="I552" i="13" s="1"/>
  <c r="I553" i="13" a="1"/>
  <c r="I553" i="13" s="1"/>
  <c r="I554" i="13" a="1"/>
  <c r="I554" i="13" s="1"/>
  <c r="I555" i="13" a="1"/>
  <c r="I555" i="13" s="1"/>
  <c r="I556" i="13" a="1"/>
  <c r="I556" i="13" s="1"/>
  <c r="I557" i="13" a="1"/>
  <c r="I557" i="13" s="1"/>
  <c r="I558" i="13" a="1"/>
  <c r="I558" i="13" s="1"/>
  <c r="I559" i="13" a="1"/>
  <c r="I559" i="13" s="1"/>
  <c r="I560" i="13" a="1"/>
  <c r="I560" i="13" s="1"/>
  <c r="I561" i="13" a="1"/>
  <c r="I561" i="13" s="1"/>
  <c r="I562" i="13" a="1"/>
  <c r="I562" i="13" s="1"/>
  <c r="I563" i="13" a="1"/>
  <c r="I563" i="13" s="1"/>
  <c r="I564" i="13" a="1"/>
  <c r="I564" i="13" s="1"/>
  <c r="I565" i="13" a="1"/>
  <c r="I565" i="13" s="1"/>
  <c r="I566" i="13" a="1"/>
  <c r="I566" i="13" s="1"/>
  <c r="I567" i="13" a="1"/>
  <c r="I567" i="13" s="1"/>
  <c r="I568" i="13" a="1"/>
  <c r="I568" i="13" s="1"/>
  <c r="I569" i="13" a="1"/>
  <c r="I569" i="13" s="1"/>
  <c r="I570" i="13" a="1"/>
  <c r="I570" i="13" s="1"/>
  <c r="I571" i="13" a="1"/>
  <c r="I571" i="13" s="1"/>
  <c r="I572" i="13" a="1"/>
  <c r="I572" i="13" s="1"/>
  <c r="I573" i="13" a="1"/>
  <c r="I573" i="13" s="1"/>
  <c r="I574" i="13" a="1"/>
  <c r="I574" i="13" s="1"/>
  <c r="I575" i="13" a="1"/>
  <c r="I575" i="13" s="1"/>
  <c r="I576" i="13" a="1"/>
  <c r="I576" i="13" s="1"/>
  <c r="I577" i="13" a="1"/>
  <c r="I577" i="13" s="1"/>
  <c r="I578" i="13" a="1"/>
  <c r="I578" i="13" s="1"/>
  <c r="I579" i="13" a="1"/>
  <c r="I579" i="13" s="1"/>
  <c r="I580" i="13" a="1"/>
  <c r="I580" i="13" s="1"/>
  <c r="I581" i="13" a="1"/>
  <c r="I581" i="13" s="1"/>
  <c r="I582" i="13" a="1"/>
  <c r="I582" i="13" s="1"/>
  <c r="I583" i="13" a="1"/>
  <c r="I583" i="13" s="1"/>
  <c r="I584" i="13" a="1"/>
  <c r="I584" i="13" s="1"/>
  <c r="I585" i="13" a="1"/>
  <c r="I585" i="13" s="1"/>
  <c r="I586" i="13" a="1"/>
  <c r="I586" i="13" s="1"/>
  <c r="I587" i="13" a="1"/>
  <c r="I587" i="13" s="1"/>
  <c r="I588" i="13" a="1"/>
  <c r="I588" i="13" s="1"/>
  <c r="I589" i="13" a="1"/>
  <c r="I589" i="13" s="1"/>
  <c r="I590" i="13" a="1"/>
  <c r="I590" i="13" s="1"/>
  <c r="I591" i="13" a="1"/>
  <c r="I591" i="13" s="1"/>
  <c r="I592" i="13" a="1"/>
  <c r="I592" i="13" s="1"/>
  <c r="I593" i="13" a="1"/>
  <c r="I593" i="13" s="1"/>
  <c r="I594" i="13" a="1"/>
  <c r="I594" i="13" s="1"/>
  <c r="I595" i="13" a="1"/>
  <c r="I595" i="13" s="1"/>
  <c r="I596" i="13" a="1"/>
  <c r="I596" i="13" s="1"/>
  <c r="I597" i="13" a="1"/>
  <c r="I597" i="13" s="1"/>
  <c r="I598" i="13" a="1"/>
  <c r="I598" i="13" s="1"/>
  <c r="I599" i="13" a="1"/>
  <c r="I599" i="13" s="1"/>
  <c r="I600" i="13" a="1"/>
  <c r="I600" i="13" s="1"/>
  <c r="I601" i="13" a="1"/>
  <c r="I601" i="13" s="1"/>
  <c r="I602" i="13" a="1"/>
  <c r="I602" i="13" s="1"/>
  <c r="I603" i="13" a="1"/>
  <c r="I603" i="13" s="1"/>
  <c r="I604" i="13" a="1"/>
  <c r="I604" i="13" s="1"/>
  <c r="I605" i="13" a="1"/>
  <c r="I605" i="13" s="1"/>
  <c r="I606" i="13" a="1"/>
  <c r="I606" i="13" s="1"/>
  <c r="I607" i="13" a="1"/>
  <c r="I607" i="13" s="1"/>
  <c r="I608" i="13" a="1"/>
  <c r="I608" i="13" s="1"/>
  <c r="I609" i="13" a="1"/>
  <c r="I609" i="13" s="1"/>
  <c r="I610" i="13" a="1"/>
  <c r="I610" i="13" s="1"/>
  <c r="I611" i="13" a="1"/>
  <c r="I611" i="13" s="1"/>
  <c r="I612" i="13" a="1"/>
  <c r="I612" i="13" s="1"/>
  <c r="I613" i="13" a="1"/>
  <c r="I613" i="13" s="1"/>
  <c r="I614" i="13" a="1"/>
  <c r="I614" i="13" s="1"/>
  <c r="I615" i="13" a="1"/>
  <c r="I615" i="13" s="1"/>
  <c r="I616" i="13" a="1"/>
  <c r="I616" i="13" s="1"/>
  <c r="I617" i="13" a="1"/>
  <c r="I617" i="13" s="1"/>
  <c r="I618" i="13" a="1"/>
  <c r="I618" i="13" s="1"/>
  <c r="I619" i="13" a="1"/>
  <c r="I619" i="13" s="1"/>
  <c r="I620" i="13" a="1"/>
  <c r="I620" i="13" s="1"/>
  <c r="I621" i="13" a="1"/>
  <c r="I621" i="13" s="1"/>
  <c r="I622" i="13" a="1"/>
  <c r="I622" i="13" s="1"/>
  <c r="I623" i="13" a="1"/>
  <c r="I623" i="13" s="1"/>
  <c r="I624" i="13" a="1"/>
  <c r="I624" i="13" s="1"/>
  <c r="I625" i="13" a="1"/>
  <c r="I625" i="13" s="1"/>
  <c r="I626" i="13" a="1"/>
  <c r="I626" i="13" s="1"/>
  <c r="I627" i="13" a="1"/>
  <c r="I627" i="13" s="1"/>
  <c r="I628" i="13" a="1"/>
  <c r="I628" i="13" s="1"/>
  <c r="I629" i="13" a="1"/>
  <c r="I629" i="13" s="1"/>
  <c r="I630" i="13" a="1"/>
  <c r="I630" i="13" s="1"/>
  <c r="I631" i="13" a="1"/>
  <c r="I631" i="13" s="1"/>
  <c r="I632" i="13" a="1"/>
  <c r="I632" i="13" s="1"/>
  <c r="I633" i="13" a="1"/>
  <c r="I633" i="13" s="1"/>
  <c r="I634" i="13" a="1"/>
  <c r="I634" i="13" s="1"/>
  <c r="I635" i="13" a="1"/>
  <c r="I635" i="13" s="1"/>
  <c r="I636" i="13" a="1"/>
  <c r="I636" i="13" s="1"/>
  <c r="I637" i="13" a="1"/>
  <c r="I637" i="13" s="1"/>
  <c r="I638" i="13" a="1"/>
  <c r="I638" i="13" s="1"/>
  <c r="I639" i="13" a="1"/>
  <c r="I639" i="13" s="1"/>
  <c r="I640" i="13" a="1"/>
  <c r="I640" i="13" s="1"/>
  <c r="I641" i="13" a="1"/>
  <c r="I641" i="13" s="1"/>
  <c r="I642" i="13" a="1"/>
  <c r="I642" i="13" s="1"/>
  <c r="I643" i="13" a="1"/>
  <c r="I643" i="13" s="1"/>
  <c r="I644" i="13" a="1"/>
  <c r="I644" i="13" s="1"/>
  <c r="I645" i="13" a="1"/>
  <c r="I645" i="13" s="1"/>
  <c r="I646" i="13" a="1"/>
  <c r="I646" i="13" s="1"/>
  <c r="I647" i="13" a="1"/>
  <c r="I647" i="13" s="1"/>
  <c r="I648" i="13" a="1"/>
  <c r="I648" i="13" s="1"/>
  <c r="I649" i="13" a="1"/>
  <c r="I649" i="13" s="1"/>
  <c r="I650" i="13" a="1"/>
  <c r="I650" i="13" s="1"/>
  <c r="I651" i="13" a="1"/>
  <c r="I651" i="13" s="1"/>
  <c r="I652" i="13" a="1"/>
  <c r="I652" i="13" s="1"/>
  <c r="I653" i="13" a="1"/>
  <c r="I653" i="13" s="1"/>
  <c r="I654" i="13" a="1"/>
  <c r="I654" i="13" s="1"/>
  <c r="I655" i="13" a="1"/>
  <c r="I655" i="13" s="1"/>
  <c r="I656" i="13" a="1"/>
  <c r="I656" i="13" s="1"/>
  <c r="I657" i="13" a="1"/>
  <c r="I657" i="13" s="1"/>
  <c r="AR657" i="13"/>
  <c r="AN657" i="13" s="1"/>
  <c r="AQ657" i="13"/>
  <c r="AP657" i="13"/>
  <c r="AM657" i="13"/>
  <c r="AG657" i="13"/>
  <c r="AD657" i="13"/>
  <c r="AC657" i="13"/>
  <c r="AB657" i="13"/>
  <c r="AR656" i="13"/>
  <c r="AN656" i="13" s="1"/>
  <c r="AQ656" i="13"/>
  <c r="AP656" i="13"/>
  <c r="AM656" i="13"/>
  <c r="AG656" i="13"/>
  <c r="AD656" i="13"/>
  <c r="AC656" i="13"/>
  <c r="AB656" i="13"/>
  <c r="AR655" i="13"/>
  <c r="AN655" i="13" s="1"/>
  <c r="AQ655" i="13"/>
  <c r="AP655" i="13"/>
  <c r="AM655" i="13"/>
  <c r="AG655" i="13"/>
  <c r="AD655" i="13"/>
  <c r="AC655" i="13"/>
  <c r="AB655" i="13"/>
  <c r="AR654" i="13"/>
  <c r="AN654" i="13" s="1"/>
  <c r="AQ654" i="13"/>
  <c r="AP654" i="13"/>
  <c r="AM654" i="13"/>
  <c r="AG654" i="13"/>
  <c r="AD654" i="13"/>
  <c r="AC654" i="13"/>
  <c r="AB654" i="13"/>
  <c r="AR653" i="13"/>
  <c r="AN653" i="13" s="1"/>
  <c r="AQ653" i="13"/>
  <c r="AP653" i="13"/>
  <c r="AM653" i="13"/>
  <c r="AG653" i="13"/>
  <c r="AD653" i="13"/>
  <c r="AC653" i="13"/>
  <c r="AB653" i="13"/>
  <c r="AR652" i="13"/>
  <c r="AN652" i="13" s="1"/>
  <c r="AQ652" i="13"/>
  <c r="AP652" i="13"/>
  <c r="AM652" i="13"/>
  <c r="AG652" i="13"/>
  <c r="AD652" i="13"/>
  <c r="AC652" i="13"/>
  <c r="AB652" i="13"/>
  <c r="AR651" i="13"/>
  <c r="AN651" i="13" s="1"/>
  <c r="AQ651" i="13"/>
  <c r="AP651" i="13"/>
  <c r="AM651" i="13"/>
  <c r="AG651" i="13"/>
  <c r="AD651" i="13"/>
  <c r="AC651" i="13"/>
  <c r="AB651" i="13"/>
  <c r="AR650" i="13"/>
  <c r="AN650" i="13" s="1"/>
  <c r="AQ650" i="13"/>
  <c r="AP650" i="13"/>
  <c r="AM650" i="13"/>
  <c r="AG650" i="13"/>
  <c r="AD650" i="13"/>
  <c r="AC650" i="13"/>
  <c r="AB650" i="13"/>
  <c r="AR649" i="13"/>
  <c r="AN649" i="13" s="1"/>
  <c r="AQ649" i="13"/>
  <c r="AP649" i="13"/>
  <c r="AM649" i="13"/>
  <c r="AG649" i="13"/>
  <c r="AD649" i="13"/>
  <c r="AC649" i="13"/>
  <c r="AB649" i="13"/>
  <c r="AR648" i="13"/>
  <c r="AN648" i="13" s="1"/>
  <c r="AQ648" i="13"/>
  <c r="AP648" i="13"/>
  <c r="AM648" i="13"/>
  <c r="AG648" i="13"/>
  <c r="AD648" i="13"/>
  <c r="AC648" i="13"/>
  <c r="AB648" i="13"/>
  <c r="AR647" i="13"/>
  <c r="AN647" i="13" s="1"/>
  <c r="AQ647" i="13"/>
  <c r="AP647" i="13"/>
  <c r="AM647" i="13"/>
  <c r="AG647" i="13"/>
  <c r="AD647" i="13"/>
  <c r="AC647" i="13"/>
  <c r="AB647" i="13"/>
  <c r="AR646" i="13"/>
  <c r="AN646" i="13" s="1"/>
  <c r="AQ646" i="13"/>
  <c r="AP646" i="13"/>
  <c r="AM646" i="13"/>
  <c r="AG646" i="13"/>
  <c r="AD646" i="13"/>
  <c r="AC646" i="13"/>
  <c r="AB646" i="13"/>
  <c r="AR645" i="13"/>
  <c r="AN645" i="13" s="1"/>
  <c r="AQ645" i="13"/>
  <c r="AP645" i="13"/>
  <c r="AM645" i="13"/>
  <c r="AG645" i="13"/>
  <c r="AD645" i="13"/>
  <c r="AC645" i="13"/>
  <c r="AB645" i="13"/>
  <c r="AR644" i="13"/>
  <c r="AN644" i="13" s="1"/>
  <c r="AQ644" i="13"/>
  <c r="AP644" i="13"/>
  <c r="AM644" i="13"/>
  <c r="AG644" i="13"/>
  <c r="AD644" i="13"/>
  <c r="AC644" i="13"/>
  <c r="AB644" i="13"/>
  <c r="AR643" i="13"/>
  <c r="AN643" i="13" s="1"/>
  <c r="AQ643" i="13"/>
  <c r="AP643" i="13"/>
  <c r="AM643" i="13"/>
  <c r="AG643" i="13"/>
  <c r="AD643" i="13"/>
  <c r="AC643" i="13"/>
  <c r="AB643" i="13"/>
  <c r="AR642" i="13"/>
  <c r="AN642" i="13" s="1"/>
  <c r="AQ642" i="13"/>
  <c r="AP642" i="13"/>
  <c r="AM642" i="13"/>
  <c r="AG642" i="13"/>
  <c r="AD642" i="13"/>
  <c r="AC642" i="13"/>
  <c r="AB642" i="13"/>
  <c r="AR641" i="13"/>
  <c r="AN641" i="13" s="1"/>
  <c r="AQ641" i="13"/>
  <c r="AP641" i="13"/>
  <c r="AM641" i="13"/>
  <c r="AG641" i="13"/>
  <c r="AD641" i="13"/>
  <c r="AC641" i="13"/>
  <c r="AB641" i="13"/>
  <c r="AR640" i="13"/>
  <c r="AN640" i="13" s="1"/>
  <c r="AQ640" i="13"/>
  <c r="AP640" i="13"/>
  <c r="AM640" i="13"/>
  <c r="AG640" i="13"/>
  <c r="AD640" i="13"/>
  <c r="AC640" i="13"/>
  <c r="AB640" i="13"/>
  <c r="AR639" i="13"/>
  <c r="AN639" i="13" s="1"/>
  <c r="AQ639" i="13"/>
  <c r="AP639" i="13"/>
  <c r="AM639" i="13"/>
  <c r="AG639" i="13"/>
  <c r="AD639" i="13"/>
  <c r="AC639" i="13"/>
  <c r="AB639" i="13"/>
  <c r="AR638" i="13"/>
  <c r="AN638" i="13" s="1"/>
  <c r="AQ638" i="13"/>
  <c r="AP638" i="13"/>
  <c r="AM638" i="13"/>
  <c r="AG638" i="13"/>
  <c r="AD638" i="13"/>
  <c r="AC638" i="13"/>
  <c r="AB638" i="13"/>
  <c r="AR637" i="13"/>
  <c r="AN637" i="13" s="1"/>
  <c r="AQ637" i="13"/>
  <c r="AP637" i="13"/>
  <c r="AM637" i="13"/>
  <c r="AG637" i="13"/>
  <c r="AD637" i="13"/>
  <c r="AC637" i="13"/>
  <c r="AB637" i="13"/>
  <c r="AR636" i="13"/>
  <c r="AN636" i="13" s="1"/>
  <c r="AQ636" i="13"/>
  <c r="AP636" i="13"/>
  <c r="AM636" i="13"/>
  <c r="AG636" i="13"/>
  <c r="AD636" i="13"/>
  <c r="AC636" i="13"/>
  <c r="AB636" i="13"/>
  <c r="AR635" i="13"/>
  <c r="AN635" i="13" s="1"/>
  <c r="AQ635" i="13"/>
  <c r="AP635" i="13"/>
  <c r="AM635" i="13"/>
  <c r="AG635" i="13"/>
  <c r="AD635" i="13"/>
  <c r="AC635" i="13"/>
  <c r="AB635" i="13"/>
  <c r="AR634" i="13"/>
  <c r="AN634" i="13" s="1"/>
  <c r="AQ634" i="13"/>
  <c r="AP634" i="13"/>
  <c r="AM634" i="13"/>
  <c r="AG634" i="13"/>
  <c r="AD634" i="13"/>
  <c r="AC634" i="13"/>
  <c r="AB634" i="13"/>
  <c r="AR633" i="13"/>
  <c r="AN633" i="13" s="1"/>
  <c r="AQ633" i="13"/>
  <c r="AP633" i="13"/>
  <c r="AM633" i="13"/>
  <c r="AG633" i="13"/>
  <c r="AD633" i="13"/>
  <c r="AC633" i="13"/>
  <c r="AB633" i="13"/>
  <c r="AR632" i="13"/>
  <c r="AN632" i="13" s="1"/>
  <c r="AQ632" i="13"/>
  <c r="AP632" i="13"/>
  <c r="AM632" i="13"/>
  <c r="AG632" i="13"/>
  <c r="AD632" i="13"/>
  <c r="AC632" i="13"/>
  <c r="AB632" i="13"/>
  <c r="AR631" i="13"/>
  <c r="AN631" i="13" s="1"/>
  <c r="AQ631" i="13"/>
  <c r="AP631" i="13"/>
  <c r="AM631" i="13"/>
  <c r="AG631" i="13"/>
  <c r="AD631" i="13"/>
  <c r="AC631" i="13"/>
  <c r="AB631" i="13"/>
  <c r="AR630" i="13"/>
  <c r="AN630" i="13" s="1"/>
  <c r="AQ630" i="13"/>
  <c r="AP630" i="13"/>
  <c r="AM630" i="13"/>
  <c r="AG630" i="13"/>
  <c r="AD630" i="13"/>
  <c r="AC630" i="13"/>
  <c r="AB630" i="13"/>
  <c r="AR629" i="13"/>
  <c r="AN629" i="13" s="1"/>
  <c r="AQ629" i="13"/>
  <c r="AP629" i="13"/>
  <c r="AM629" i="13"/>
  <c r="AG629" i="13"/>
  <c r="AD629" i="13"/>
  <c r="AC629" i="13"/>
  <c r="AB629" i="13"/>
  <c r="AR628" i="13"/>
  <c r="AN628" i="13" s="1"/>
  <c r="AQ628" i="13"/>
  <c r="AP628" i="13"/>
  <c r="AM628" i="13"/>
  <c r="AG628" i="13"/>
  <c r="AD628" i="13"/>
  <c r="AC628" i="13"/>
  <c r="AB628" i="13"/>
  <c r="AR627" i="13"/>
  <c r="AN627" i="13" s="1"/>
  <c r="AQ627" i="13"/>
  <c r="AP627" i="13"/>
  <c r="AM627" i="13"/>
  <c r="AG627" i="13"/>
  <c r="AD627" i="13"/>
  <c r="AC627" i="13"/>
  <c r="AB627" i="13"/>
  <c r="AR626" i="13"/>
  <c r="AN626" i="13" s="1"/>
  <c r="AQ626" i="13"/>
  <c r="AP626" i="13"/>
  <c r="AM626" i="13"/>
  <c r="AG626" i="13"/>
  <c r="AD626" i="13"/>
  <c r="AC626" i="13"/>
  <c r="AB626" i="13"/>
  <c r="AR625" i="13"/>
  <c r="AN625" i="13" s="1"/>
  <c r="AQ625" i="13"/>
  <c r="AP625" i="13"/>
  <c r="AM625" i="13"/>
  <c r="AG625" i="13"/>
  <c r="AD625" i="13"/>
  <c r="AC625" i="13"/>
  <c r="AB625" i="13"/>
  <c r="AR624" i="13"/>
  <c r="AN624" i="13" s="1"/>
  <c r="AQ624" i="13"/>
  <c r="AP624" i="13"/>
  <c r="AM624" i="13"/>
  <c r="AG624" i="13"/>
  <c r="AD624" i="13"/>
  <c r="AC624" i="13"/>
  <c r="AB624" i="13"/>
  <c r="AR623" i="13"/>
  <c r="AN623" i="13" s="1"/>
  <c r="AQ623" i="13"/>
  <c r="AP623" i="13"/>
  <c r="AM623" i="13"/>
  <c r="AG623" i="13"/>
  <c r="AD623" i="13"/>
  <c r="AC623" i="13"/>
  <c r="AB623" i="13"/>
  <c r="AR622" i="13"/>
  <c r="AN622" i="13" s="1"/>
  <c r="AQ622" i="13"/>
  <c r="AP622" i="13"/>
  <c r="AM622" i="13"/>
  <c r="AG622" i="13"/>
  <c r="AD622" i="13"/>
  <c r="AC622" i="13"/>
  <c r="AB622" i="13"/>
  <c r="AR621" i="13"/>
  <c r="AN621" i="13" s="1"/>
  <c r="AQ621" i="13"/>
  <c r="AP621" i="13"/>
  <c r="AM621" i="13"/>
  <c r="AG621" i="13"/>
  <c r="AD621" i="13"/>
  <c r="AC621" i="13"/>
  <c r="AB621" i="13"/>
  <c r="AR620" i="13"/>
  <c r="AN620" i="13" s="1"/>
  <c r="AQ620" i="13"/>
  <c r="AP620" i="13"/>
  <c r="AM620" i="13"/>
  <c r="AG620" i="13"/>
  <c r="AD620" i="13"/>
  <c r="AC620" i="13"/>
  <c r="AB620" i="13"/>
  <c r="AR619" i="13"/>
  <c r="AN619" i="13" s="1"/>
  <c r="AQ619" i="13"/>
  <c r="AP619" i="13"/>
  <c r="AM619" i="13"/>
  <c r="AG619" i="13"/>
  <c r="AD619" i="13"/>
  <c r="AC619" i="13"/>
  <c r="AB619" i="13"/>
  <c r="AR618" i="13"/>
  <c r="AN618" i="13" s="1"/>
  <c r="AQ618" i="13"/>
  <c r="AP618" i="13"/>
  <c r="AM618" i="13"/>
  <c r="AG618" i="13"/>
  <c r="AD618" i="13"/>
  <c r="AC618" i="13"/>
  <c r="AB618" i="13"/>
  <c r="AR617" i="13"/>
  <c r="AN617" i="13" s="1"/>
  <c r="AQ617" i="13"/>
  <c r="AP617" i="13"/>
  <c r="AM617" i="13"/>
  <c r="AG617" i="13"/>
  <c r="AD617" i="13"/>
  <c r="AC617" i="13"/>
  <c r="AB617" i="13"/>
  <c r="AR616" i="13"/>
  <c r="AN616" i="13" s="1"/>
  <c r="AQ616" i="13"/>
  <c r="AP616" i="13"/>
  <c r="AM616" i="13"/>
  <c r="AG616" i="13"/>
  <c r="AD616" i="13"/>
  <c r="AC616" i="13"/>
  <c r="AB616" i="13"/>
  <c r="AR615" i="13"/>
  <c r="AN615" i="13" s="1"/>
  <c r="AQ615" i="13"/>
  <c r="AP615" i="13"/>
  <c r="AM615" i="13"/>
  <c r="AG615" i="13"/>
  <c r="AD615" i="13"/>
  <c r="AC615" i="13"/>
  <c r="AB615" i="13"/>
  <c r="AR614" i="13"/>
  <c r="AN614" i="13" s="1"/>
  <c r="AQ614" i="13"/>
  <c r="AP614" i="13"/>
  <c r="AM614" i="13"/>
  <c r="AG614" i="13"/>
  <c r="AD614" i="13"/>
  <c r="AC614" i="13"/>
  <c r="AB614" i="13"/>
  <c r="AR613" i="13"/>
  <c r="AN613" i="13" s="1"/>
  <c r="AQ613" i="13"/>
  <c r="AP613" i="13"/>
  <c r="AM613" i="13"/>
  <c r="AG613" i="13"/>
  <c r="AD613" i="13"/>
  <c r="AC613" i="13"/>
  <c r="AB613" i="13"/>
  <c r="AR612" i="13"/>
  <c r="AN612" i="13" s="1"/>
  <c r="AQ612" i="13"/>
  <c r="AP612" i="13"/>
  <c r="AM612" i="13"/>
  <c r="AG612" i="13"/>
  <c r="AD612" i="13"/>
  <c r="AC612" i="13"/>
  <c r="AB612" i="13"/>
  <c r="AR611" i="13"/>
  <c r="AN611" i="13" s="1"/>
  <c r="AQ611" i="13"/>
  <c r="AP611" i="13"/>
  <c r="AM611" i="13"/>
  <c r="AG611" i="13"/>
  <c r="AD611" i="13"/>
  <c r="AC611" i="13"/>
  <c r="AB611" i="13"/>
  <c r="AR610" i="13"/>
  <c r="AN610" i="13" s="1"/>
  <c r="AQ610" i="13"/>
  <c r="AP610" i="13"/>
  <c r="AM610" i="13"/>
  <c r="AG610" i="13"/>
  <c r="AD610" i="13"/>
  <c r="AC610" i="13"/>
  <c r="AB610" i="13"/>
  <c r="AR609" i="13"/>
  <c r="AN609" i="13" s="1"/>
  <c r="AQ609" i="13"/>
  <c r="AP609" i="13"/>
  <c r="AM609" i="13"/>
  <c r="AG609" i="13"/>
  <c r="AD609" i="13"/>
  <c r="AC609" i="13"/>
  <c r="AB609" i="13"/>
  <c r="AR608" i="13"/>
  <c r="AN608" i="13" s="1"/>
  <c r="AQ608" i="13"/>
  <c r="AP608" i="13"/>
  <c r="AM608" i="13"/>
  <c r="AG608" i="13"/>
  <c r="AD608" i="13"/>
  <c r="AC608" i="13"/>
  <c r="AB608" i="13"/>
  <c r="AR607" i="13"/>
  <c r="AN607" i="13" s="1"/>
  <c r="AQ607" i="13"/>
  <c r="AP607" i="13"/>
  <c r="AM607" i="13"/>
  <c r="AG607" i="13"/>
  <c r="AD607" i="13"/>
  <c r="AC607" i="13"/>
  <c r="AB607" i="13"/>
  <c r="AR606" i="13"/>
  <c r="AN606" i="13" s="1"/>
  <c r="AQ606" i="13"/>
  <c r="AP606" i="13"/>
  <c r="AM606" i="13"/>
  <c r="AG606" i="13"/>
  <c r="AD606" i="13"/>
  <c r="AC606" i="13"/>
  <c r="AB606" i="13"/>
  <c r="AR605" i="13"/>
  <c r="AN605" i="13" s="1"/>
  <c r="AQ605" i="13"/>
  <c r="AP605" i="13"/>
  <c r="AM605" i="13"/>
  <c r="AG605" i="13"/>
  <c r="AD605" i="13"/>
  <c r="AC605" i="13"/>
  <c r="AB605" i="13"/>
  <c r="AR604" i="13"/>
  <c r="AN604" i="13" s="1"/>
  <c r="AQ604" i="13"/>
  <c r="AP604" i="13"/>
  <c r="AM604" i="13"/>
  <c r="AG604" i="13"/>
  <c r="AD604" i="13"/>
  <c r="AC604" i="13"/>
  <c r="AB604" i="13"/>
  <c r="AR603" i="13"/>
  <c r="AN603" i="13" s="1"/>
  <c r="AQ603" i="13"/>
  <c r="AP603" i="13"/>
  <c r="AM603" i="13"/>
  <c r="AG603" i="13"/>
  <c r="AD603" i="13"/>
  <c r="AC603" i="13"/>
  <c r="AB603" i="13"/>
  <c r="AR602" i="13"/>
  <c r="AN602" i="13" s="1"/>
  <c r="AQ602" i="13"/>
  <c r="AP602" i="13"/>
  <c r="AM602" i="13"/>
  <c r="AG602" i="13"/>
  <c r="AD602" i="13"/>
  <c r="AC602" i="13"/>
  <c r="AB602" i="13"/>
  <c r="AR601" i="13"/>
  <c r="AN601" i="13" s="1"/>
  <c r="AQ601" i="13"/>
  <c r="AP601" i="13"/>
  <c r="AM601" i="13"/>
  <c r="AG601" i="13"/>
  <c r="AD601" i="13"/>
  <c r="AC601" i="13"/>
  <c r="AB601" i="13"/>
  <c r="AR600" i="13"/>
  <c r="AN600" i="13" s="1"/>
  <c r="AQ600" i="13"/>
  <c r="AP600" i="13"/>
  <c r="AM600" i="13"/>
  <c r="AG600" i="13"/>
  <c r="AD600" i="13"/>
  <c r="AC600" i="13"/>
  <c r="AB600" i="13"/>
  <c r="AR599" i="13"/>
  <c r="AN599" i="13" s="1"/>
  <c r="AQ599" i="13"/>
  <c r="AP599" i="13"/>
  <c r="AM599" i="13"/>
  <c r="AG599" i="13"/>
  <c r="AD599" i="13"/>
  <c r="AC599" i="13"/>
  <c r="AB599" i="13"/>
  <c r="AR598" i="13"/>
  <c r="AN598" i="13" s="1"/>
  <c r="AQ598" i="13"/>
  <c r="AP598" i="13"/>
  <c r="AM598" i="13"/>
  <c r="AG598" i="13"/>
  <c r="AD598" i="13"/>
  <c r="AC598" i="13"/>
  <c r="AB598" i="13"/>
  <c r="AR597" i="13"/>
  <c r="AN597" i="13" s="1"/>
  <c r="AQ597" i="13"/>
  <c r="AP597" i="13"/>
  <c r="AM597" i="13"/>
  <c r="AG597" i="13"/>
  <c r="AD597" i="13"/>
  <c r="AC597" i="13"/>
  <c r="AB597" i="13"/>
  <c r="AR596" i="13"/>
  <c r="AN596" i="13" s="1"/>
  <c r="AQ596" i="13"/>
  <c r="AP596" i="13"/>
  <c r="AM596" i="13"/>
  <c r="AG596" i="13"/>
  <c r="AD596" i="13"/>
  <c r="AC596" i="13"/>
  <c r="AB596" i="13"/>
  <c r="AR595" i="13"/>
  <c r="AN595" i="13" s="1"/>
  <c r="AQ595" i="13"/>
  <c r="AP595" i="13"/>
  <c r="AM595" i="13"/>
  <c r="AG595" i="13"/>
  <c r="AD595" i="13"/>
  <c r="AC595" i="13"/>
  <c r="AB595" i="13"/>
  <c r="AR594" i="13"/>
  <c r="AN594" i="13" s="1"/>
  <c r="AQ594" i="13"/>
  <c r="AP594" i="13"/>
  <c r="AM594" i="13"/>
  <c r="AG594" i="13"/>
  <c r="AD594" i="13"/>
  <c r="AC594" i="13"/>
  <c r="AB594" i="13"/>
  <c r="AR593" i="13"/>
  <c r="AN593" i="13" s="1"/>
  <c r="AQ593" i="13"/>
  <c r="AP593" i="13"/>
  <c r="AM593" i="13"/>
  <c r="AG593" i="13"/>
  <c r="AD593" i="13"/>
  <c r="AC593" i="13"/>
  <c r="AB593" i="13"/>
  <c r="AR592" i="13"/>
  <c r="AN592" i="13" s="1"/>
  <c r="AQ592" i="13"/>
  <c r="AP592" i="13"/>
  <c r="AM592" i="13"/>
  <c r="AG592" i="13"/>
  <c r="AD592" i="13"/>
  <c r="AC592" i="13"/>
  <c r="AB592" i="13"/>
  <c r="AR591" i="13"/>
  <c r="AN591" i="13" s="1"/>
  <c r="AQ591" i="13"/>
  <c r="AP591" i="13"/>
  <c r="AM591" i="13"/>
  <c r="AG591" i="13"/>
  <c r="AD591" i="13"/>
  <c r="AC591" i="13"/>
  <c r="AB591" i="13"/>
  <c r="AR590" i="13"/>
  <c r="AN590" i="13" s="1"/>
  <c r="AQ590" i="13"/>
  <c r="AP590" i="13"/>
  <c r="AM590" i="13"/>
  <c r="AG590" i="13"/>
  <c r="AD590" i="13"/>
  <c r="AC590" i="13"/>
  <c r="AB590" i="13"/>
  <c r="AR589" i="13"/>
  <c r="AN589" i="13" s="1"/>
  <c r="AQ589" i="13"/>
  <c r="AP589" i="13"/>
  <c r="AM589" i="13"/>
  <c r="AG589" i="13"/>
  <c r="AD589" i="13"/>
  <c r="AC589" i="13"/>
  <c r="AB589" i="13"/>
  <c r="AR588" i="13"/>
  <c r="AN588" i="13" s="1"/>
  <c r="AQ588" i="13"/>
  <c r="AP588" i="13"/>
  <c r="AM588" i="13"/>
  <c r="AG588" i="13"/>
  <c r="AD588" i="13"/>
  <c r="AC588" i="13"/>
  <c r="AB588" i="13"/>
  <c r="AR587" i="13"/>
  <c r="AN587" i="13" s="1"/>
  <c r="AQ587" i="13"/>
  <c r="AP587" i="13"/>
  <c r="AM587" i="13"/>
  <c r="AG587" i="13"/>
  <c r="AD587" i="13"/>
  <c r="AC587" i="13"/>
  <c r="AB587" i="13"/>
  <c r="AR586" i="13"/>
  <c r="AN586" i="13" s="1"/>
  <c r="AQ586" i="13"/>
  <c r="AP586" i="13"/>
  <c r="AM586" i="13"/>
  <c r="AG586" i="13"/>
  <c r="AD586" i="13"/>
  <c r="AC586" i="13"/>
  <c r="AB586" i="13"/>
  <c r="AR585" i="13"/>
  <c r="AN585" i="13" s="1"/>
  <c r="AQ585" i="13"/>
  <c r="AP585" i="13"/>
  <c r="AM585" i="13"/>
  <c r="AG585" i="13"/>
  <c r="AD585" i="13"/>
  <c r="AC585" i="13"/>
  <c r="AB585" i="13"/>
  <c r="AR584" i="13"/>
  <c r="AN584" i="13" s="1"/>
  <c r="AQ584" i="13"/>
  <c r="AP584" i="13"/>
  <c r="AM584" i="13"/>
  <c r="AG584" i="13"/>
  <c r="AD584" i="13"/>
  <c r="AC584" i="13"/>
  <c r="AB584" i="13"/>
  <c r="AR583" i="13"/>
  <c r="AN583" i="13" s="1"/>
  <c r="AQ583" i="13"/>
  <c r="AP583" i="13"/>
  <c r="AM583" i="13"/>
  <c r="AG583" i="13"/>
  <c r="AD583" i="13"/>
  <c r="AC583" i="13"/>
  <c r="AB583" i="13"/>
  <c r="AR582" i="13"/>
  <c r="AN582" i="13" s="1"/>
  <c r="AQ582" i="13"/>
  <c r="AP582" i="13"/>
  <c r="AM582" i="13"/>
  <c r="AG582" i="13"/>
  <c r="AD582" i="13"/>
  <c r="AC582" i="13"/>
  <c r="AB582" i="13"/>
  <c r="AR581" i="13"/>
  <c r="AN581" i="13" s="1"/>
  <c r="AQ581" i="13"/>
  <c r="AP581" i="13"/>
  <c r="AM581" i="13"/>
  <c r="AG581" i="13"/>
  <c r="AD581" i="13"/>
  <c r="AC581" i="13"/>
  <c r="AB581" i="13"/>
  <c r="AR580" i="13"/>
  <c r="AN580" i="13" s="1"/>
  <c r="AQ580" i="13"/>
  <c r="AP580" i="13"/>
  <c r="AM580" i="13"/>
  <c r="AG580" i="13"/>
  <c r="AD580" i="13"/>
  <c r="AC580" i="13"/>
  <c r="AB580" i="13"/>
  <c r="AR579" i="13"/>
  <c r="AN579" i="13" s="1"/>
  <c r="AQ579" i="13"/>
  <c r="AP579" i="13"/>
  <c r="AM579" i="13"/>
  <c r="AG579" i="13"/>
  <c r="AD579" i="13"/>
  <c r="AC579" i="13"/>
  <c r="AB579" i="13"/>
  <c r="AR578" i="13"/>
  <c r="AN578" i="13" s="1"/>
  <c r="AQ578" i="13"/>
  <c r="AP578" i="13"/>
  <c r="AM578" i="13"/>
  <c r="AG578" i="13"/>
  <c r="AD578" i="13"/>
  <c r="AC578" i="13"/>
  <c r="AB578" i="13"/>
  <c r="AR577" i="13"/>
  <c r="AN577" i="13" s="1"/>
  <c r="AQ577" i="13"/>
  <c r="AP577" i="13"/>
  <c r="AM577" i="13"/>
  <c r="AG577" i="13"/>
  <c r="AD577" i="13"/>
  <c r="AC577" i="13"/>
  <c r="AB577" i="13"/>
  <c r="AR576" i="13"/>
  <c r="AN576" i="13" s="1"/>
  <c r="AQ576" i="13"/>
  <c r="AP576" i="13"/>
  <c r="AM576" i="13"/>
  <c r="AG576" i="13"/>
  <c r="AD576" i="13"/>
  <c r="AC576" i="13"/>
  <c r="AB576" i="13"/>
  <c r="AR575" i="13"/>
  <c r="AN575" i="13" s="1"/>
  <c r="AQ575" i="13"/>
  <c r="AP575" i="13"/>
  <c r="AM575" i="13"/>
  <c r="AG575" i="13"/>
  <c r="AD575" i="13"/>
  <c r="AC575" i="13"/>
  <c r="AB575" i="13"/>
  <c r="AR574" i="13"/>
  <c r="AN574" i="13" s="1"/>
  <c r="AQ574" i="13"/>
  <c r="AP574" i="13"/>
  <c r="AM574" i="13"/>
  <c r="AG574" i="13"/>
  <c r="AD574" i="13"/>
  <c r="AC574" i="13"/>
  <c r="AB574" i="13"/>
  <c r="AR573" i="13"/>
  <c r="AN573" i="13" s="1"/>
  <c r="AQ573" i="13"/>
  <c r="AP573" i="13"/>
  <c r="AM573" i="13"/>
  <c r="AG573" i="13"/>
  <c r="AD573" i="13"/>
  <c r="AC573" i="13"/>
  <c r="AB573" i="13"/>
  <c r="AR572" i="13"/>
  <c r="AN572" i="13" s="1"/>
  <c r="AQ572" i="13"/>
  <c r="AP572" i="13"/>
  <c r="AM572" i="13"/>
  <c r="AG572" i="13"/>
  <c r="AD572" i="13"/>
  <c r="AC572" i="13"/>
  <c r="AB572" i="13"/>
  <c r="AR571" i="13"/>
  <c r="AN571" i="13" s="1"/>
  <c r="AQ571" i="13"/>
  <c r="AP571" i="13"/>
  <c r="AM571" i="13"/>
  <c r="AG571" i="13"/>
  <c r="AD571" i="13"/>
  <c r="AC571" i="13"/>
  <c r="AB571" i="13"/>
  <c r="AR570" i="13"/>
  <c r="AN570" i="13" s="1"/>
  <c r="AQ570" i="13"/>
  <c r="AP570" i="13"/>
  <c r="AM570" i="13"/>
  <c r="AG570" i="13"/>
  <c r="AD570" i="13"/>
  <c r="AC570" i="13"/>
  <c r="AB570" i="13"/>
  <c r="AR569" i="13"/>
  <c r="AN569" i="13" s="1"/>
  <c r="AQ569" i="13"/>
  <c r="AP569" i="13"/>
  <c r="AM569" i="13"/>
  <c r="AG569" i="13"/>
  <c r="AD569" i="13"/>
  <c r="AC569" i="13"/>
  <c r="AB569" i="13"/>
  <c r="AR568" i="13"/>
  <c r="AN568" i="13" s="1"/>
  <c r="AQ568" i="13"/>
  <c r="AP568" i="13"/>
  <c r="AM568" i="13"/>
  <c r="AG568" i="13"/>
  <c r="AD568" i="13"/>
  <c r="AC568" i="13"/>
  <c r="AB568" i="13"/>
  <c r="AR567" i="13"/>
  <c r="AN567" i="13" s="1"/>
  <c r="AQ567" i="13"/>
  <c r="AP567" i="13"/>
  <c r="AM567" i="13"/>
  <c r="AG567" i="13"/>
  <c r="AD567" i="13"/>
  <c r="AC567" i="13"/>
  <c r="AB567" i="13"/>
  <c r="AR566" i="13"/>
  <c r="AN566" i="13" s="1"/>
  <c r="AQ566" i="13"/>
  <c r="AP566" i="13"/>
  <c r="AM566" i="13"/>
  <c r="AG566" i="13"/>
  <c r="AD566" i="13"/>
  <c r="AC566" i="13"/>
  <c r="AB566" i="13"/>
  <c r="AR565" i="13"/>
  <c r="AN565" i="13" s="1"/>
  <c r="AQ565" i="13"/>
  <c r="AP565" i="13"/>
  <c r="AM565" i="13"/>
  <c r="AG565" i="13"/>
  <c r="AD565" i="13"/>
  <c r="AC565" i="13"/>
  <c r="AB565" i="13"/>
  <c r="AR564" i="13"/>
  <c r="AN564" i="13" s="1"/>
  <c r="AQ564" i="13"/>
  <c r="AP564" i="13"/>
  <c r="AM564" i="13"/>
  <c r="AG564" i="13"/>
  <c r="AD564" i="13"/>
  <c r="AC564" i="13"/>
  <c r="AB564" i="13"/>
  <c r="AR563" i="13"/>
  <c r="AN563" i="13" s="1"/>
  <c r="AQ563" i="13"/>
  <c r="AP563" i="13"/>
  <c r="AM563" i="13"/>
  <c r="AG563" i="13"/>
  <c r="AD563" i="13"/>
  <c r="AC563" i="13"/>
  <c r="AB563" i="13"/>
  <c r="AR562" i="13"/>
  <c r="AN562" i="13" s="1"/>
  <c r="AQ562" i="13"/>
  <c r="AP562" i="13"/>
  <c r="AM562" i="13"/>
  <c r="AG562" i="13"/>
  <c r="AD562" i="13"/>
  <c r="AC562" i="13"/>
  <c r="AB562" i="13"/>
  <c r="AR561" i="13"/>
  <c r="AN561" i="13" s="1"/>
  <c r="AQ561" i="13"/>
  <c r="AP561" i="13"/>
  <c r="AM561" i="13"/>
  <c r="AG561" i="13"/>
  <c r="AD561" i="13"/>
  <c r="AC561" i="13"/>
  <c r="AB561" i="13"/>
  <c r="AR560" i="13"/>
  <c r="AN560" i="13" s="1"/>
  <c r="AQ560" i="13"/>
  <c r="AP560" i="13"/>
  <c r="AM560" i="13"/>
  <c r="AG560" i="13"/>
  <c r="AD560" i="13"/>
  <c r="AC560" i="13"/>
  <c r="AB560" i="13"/>
  <c r="AR559" i="13"/>
  <c r="AN559" i="13" s="1"/>
  <c r="AQ559" i="13"/>
  <c r="AP559" i="13"/>
  <c r="AM559" i="13"/>
  <c r="AG559" i="13"/>
  <c r="AD559" i="13"/>
  <c r="AC559" i="13"/>
  <c r="AB559" i="13"/>
  <c r="AR558" i="13"/>
  <c r="AN558" i="13" s="1"/>
  <c r="AQ558" i="13"/>
  <c r="AP558" i="13"/>
  <c r="AM558" i="13"/>
  <c r="AG558" i="13"/>
  <c r="AD558" i="13"/>
  <c r="AC558" i="13"/>
  <c r="AB558" i="13"/>
  <c r="AR557" i="13"/>
  <c r="AN557" i="13" s="1"/>
  <c r="AQ557" i="13"/>
  <c r="AP557" i="13"/>
  <c r="AM557" i="13"/>
  <c r="AG557" i="13"/>
  <c r="AD557" i="13"/>
  <c r="AC557" i="13"/>
  <c r="AB557" i="13"/>
  <c r="AR556" i="13"/>
  <c r="AN556" i="13" s="1"/>
  <c r="AQ556" i="13"/>
  <c r="AP556" i="13"/>
  <c r="AM556" i="13"/>
  <c r="AG556" i="13"/>
  <c r="AD556" i="13"/>
  <c r="AC556" i="13"/>
  <c r="AB556" i="13"/>
  <c r="AR555" i="13"/>
  <c r="AN555" i="13" s="1"/>
  <c r="AQ555" i="13"/>
  <c r="AP555" i="13"/>
  <c r="AM555" i="13"/>
  <c r="AG555" i="13"/>
  <c r="AD555" i="13"/>
  <c r="AC555" i="13"/>
  <c r="AB555" i="13"/>
  <c r="AR554" i="13"/>
  <c r="AN554" i="13" s="1"/>
  <c r="AQ554" i="13"/>
  <c r="AP554" i="13"/>
  <c r="AM554" i="13"/>
  <c r="AG554" i="13"/>
  <c r="AD554" i="13"/>
  <c r="AC554" i="13"/>
  <c r="AB554" i="13"/>
  <c r="AR553" i="13"/>
  <c r="AN553" i="13" s="1"/>
  <c r="AQ553" i="13"/>
  <c r="AP553" i="13"/>
  <c r="AM553" i="13"/>
  <c r="AG553" i="13"/>
  <c r="AD553" i="13"/>
  <c r="AC553" i="13"/>
  <c r="AB553" i="13"/>
  <c r="AR552" i="13"/>
  <c r="AN552" i="13" s="1"/>
  <c r="AQ552" i="13"/>
  <c r="AP552" i="13"/>
  <c r="AM552" i="13"/>
  <c r="AG552" i="13"/>
  <c r="AD552" i="13"/>
  <c r="AC552" i="13"/>
  <c r="AB552" i="13"/>
  <c r="AR551" i="13"/>
  <c r="AN551" i="13" s="1"/>
  <c r="AQ551" i="13"/>
  <c r="AP551" i="13"/>
  <c r="AM551" i="13"/>
  <c r="AG551" i="13"/>
  <c r="AD551" i="13"/>
  <c r="AC551" i="13"/>
  <c r="AB551" i="13"/>
  <c r="AR550" i="13"/>
  <c r="AN550" i="13" s="1"/>
  <c r="AQ550" i="13"/>
  <c r="AP550" i="13"/>
  <c r="AM550" i="13"/>
  <c r="AG550" i="13"/>
  <c r="AD550" i="13"/>
  <c r="AC550" i="13"/>
  <c r="AB550" i="13"/>
  <c r="AR549" i="13"/>
  <c r="AN549" i="13" s="1"/>
  <c r="AQ549" i="13"/>
  <c r="AP549" i="13"/>
  <c r="AM549" i="13"/>
  <c r="AG549" i="13"/>
  <c r="AD549" i="13"/>
  <c r="AC549" i="13"/>
  <c r="AB549" i="13"/>
  <c r="AR548" i="13"/>
  <c r="AN548" i="13" s="1"/>
  <c r="AQ548" i="13"/>
  <c r="AP548" i="13"/>
  <c r="AM548" i="13"/>
  <c r="AG548" i="13"/>
  <c r="AD548" i="13"/>
  <c r="AC548" i="13"/>
  <c r="AB548" i="13"/>
  <c r="AR547" i="13"/>
  <c r="AN547" i="13" s="1"/>
  <c r="AQ547" i="13"/>
  <c r="AP547" i="13"/>
  <c r="AM547" i="13"/>
  <c r="AG547" i="13"/>
  <c r="AD547" i="13"/>
  <c r="AC547" i="13"/>
  <c r="AB547" i="13"/>
  <c r="AR546" i="13"/>
  <c r="AN546" i="13" s="1"/>
  <c r="AQ546" i="13"/>
  <c r="AP546" i="13"/>
  <c r="AM546" i="13"/>
  <c r="AG546" i="13"/>
  <c r="AD546" i="13"/>
  <c r="AC546" i="13"/>
  <c r="AB546" i="13"/>
  <c r="AR545" i="13"/>
  <c r="AN545" i="13" s="1"/>
  <c r="AQ545" i="13"/>
  <c r="AP545" i="13"/>
  <c r="AM545" i="13"/>
  <c r="AG545" i="13"/>
  <c r="AD545" i="13"/>
  <c r="AC545" i="13"/>
  <c r="AB545" i="13"/>
  <c r="AR544" i="13"/>
  <c r="AN544" i="13" s="1"/>
  <c r="AQ544" i="13"/>
  <c r="AP544" i="13"/>
  <c r="AM544" i="13"/>
  <c r="AG544" i="13"/>
  <c r="AD544" i="13"/>
  <c r="AC544" i="13"/>
  <c r="AB544" i="13"/>
  <c r="AR543" i="13"/>
  <c r="AN543" i="13" s="1"/>
  <c r="AQ543" i="13"/>
  <c r="AP543" i="13"/>
  <c r="AM543" i="13"/>
  <c r="AG543" i="13"/>
  <c r="AD543" i="13"/>
  <c r="AC543" i="13"/>
  <c r="AB543" i="13"/>
  <c r="AR542" i="13"/>
  <c r="AN542" i="13" s="1"/>
  <c r="AQ542" i="13"/>
  <c r="AP542" i="13"/>
  <c r="AM542" i="13"/>
  <c r="AG542" i="13"/>
  <c r="AD542" i="13"/>
  <c r="AC542" i="13"/>
  <c r="AB542" i="13"/>
  <c r="AR541" i="13"/>
  <c r="AN541" i="13" s="1"/>
  <c r="AQ541" i="13"/>
  <c r="AP541" i="13"/>
  <c r="AM541" i="13"/>
  <c r="AG541" i="13"/>
  <c r="AD541" i="13"/>
  <c r="AC541" i="13"/>
  <c r="AB541" i="13"/>
  <c r="AR540" i="13"/>
  <c r="AN540" i="13" s="1"/>
  <c r="AQ540" i="13"/>
  <c r="AP540" i="13"/>
  <c r="AM540" i="13"/>
  <c r="AG540" i="13"/>
  <c r="AD540" i="13"/>
  <c r="AC540" i="13"/>
  <c r="AB540" i="13"/>
  <c r="AR539" i="13"/>
  <c r="AN539" i="13" s="1"/>
  <c r="AQ539" i="13"/>
  <c r="AP539" i="13"/>
  <c r="AM539" i="13"/>
  <c r="AG539" i="13"/>
  <c r="AD539" i="13"/>
  <c r="AC539" i="13"/>
  <c r="AB539" i="13"/>
  <c r="AR538" i="13"/>
  <c r="AN538" i="13" s="1"/>
  <c r="AQ538" i="13"/>
  <c r="AP538" i="13"/>
  <c r="AM538" i="13"/>
  <c r="AG538" i="13"/>
  <c r="AD538" i="13"/>
  <c r="AC538" i="13"/>
  <c r="AB538" i="13"/>
  <c r="AR537" i="13"/>
  <c r="AN537" i="13" s="1"/>
  <c r="AQ537" i="13"/>
  <c r="AP537" i="13"/>
  <c r="AM537" i="13"/>
  <c r="AG537" i="13"/>
  <c r="AD537" i="13"/>
  <c r="AC537" i="13"/>
  <c r="AB537" i="13"/>
  <c r="AR536" i="13"/>
  <c r="AN536" i="13" s="1"/>
  <c r="AQ536" i="13"/>
  <c r="AP536" i="13"/>
  <c r="AM536" i="13"/>
  <c r="AG536" i="13"/>
  <c r="AD536" i="13"/>
  <c r="AC536" i="13"/>
  <c r="AB536" i="13"/>
  <c r="AR535" i="13"/>
  <c r="AN535" i="13" s="1"/>
  <c r="AQ535" i="13"/>
  <c r="AP535" i="13"/>
  <c r="AM535" i="13"/>
  <c r="AG535" i="13"/>
  <c r="AD535" i="13"/>
  <c r="AC535" i="13"/>
  <c r="AB535" i="13"/>
  <c r="AR534" i="13"/>
  <c r="AN534" i="13" s="1"/>
  <c r="AQ534" i="13"/>
  <c r="AP534" i="13"/>
  <c r="AM534" i="13"/>
  <c r="AG534" i="13"/>
  <c r="AD534" i="13"/>
  <c r="AC534" i="13"/>
  <c r="AB534" i="13"/>
  <c r="AR533" i="13"/>
  <c r="AN533" i="13" s="1"/>
  <c r="AQ533" i="13"/>
  <c r="AP533" i="13"/>
  <c r="AM533" i="13"/>
  <c r="AG533" i="13"/>
  <c r="AD533" i="13"/>
  <c r="AC533" i="13"/>
  <c r="AB533" i="13"/>
  <c r="AR532" i="13"/>
  <c r="AN532" i="13" s="1"/>
  <c r="AQ532" i="13"/>
  <c r="AP532" i="13"/>
  <c r="AM532" i="13"/>
  <c r="AG532" i="13"/>
  <c r="AD532" i="13"/>
  <c r="AC532" i="13"/>
  <c r="AB532" i="13"/>
  <c r="AR531" i="13"/>
  <c r="AN531" i="13" s="1"/>
  <c r="AQ531" i="13"/>
  <c r="AP531" i="13"/>
  <c r="AM531" i="13"/>
  <c r="AG531" i="13"/>
  <c r="AD531" i="13"/>
  <c r="AC531" i="13"/>
  <c r="AB531" i="13"/>
  <c r="AR530" i="13"/>
  <c r="AN530" i="13" s="1"/>
  <c r="AQ530" i="13"/>
  <c r="AP530" i="13"/>
  <c r="AM530" i="13"/>
  <c r="AG530" i="13"/>
  <c r="AD530" i="13"/>
  <c r="AC530" i="13"/>
  <c r="AB530" i="13"/>
  <c r="AR529" i="13"/>
  <c r="AN529" i="13" s="1"/>
  <c r="AQ529" i="13"/>
  <c r="AP529" i="13"/>
  <c r="AM529" i="13"/>
  <c r="AG529" i="13"/>
  <c r="AD529" i="13"/>
  <c r="AC529" i="13"/>
  <c r="AB529" i="13"/>
  <c r="AR528" i="13"/>
  <c r="AN528" i="13" s="1"/>
  <c r="AQ528" i="13"/>
  <c r="AP528" i="13"/>
  <c r="AM528" i="13"/>
  <c r="AG528" i="13"/>
  <c r="AD528" i="13"/>
  <c r="AC528" i="13"/>
  <c r="AB528" i="13"/>
  <c r="AR527" i="13"/>
  <c r="AN527" i="13" s="1"/>
  <c r="AQ527" i="13"/>
  <c r="AP527" i="13"/>
  <c r="AM527" i="13"/>
  <c r="AG527" i="13"/>
  <c r="AD527" i="13"/>
  <c r="AC527" i="13"/>
  <c r="AB527" i="13"/>
  <c r="AR526" i="13"/>
  <c r="AN526" i="13" s="1"/>
  <c r="AQ526" i="13"/>
  <c r="AP526" i="13"/>
  <c r="AM526" i="13"/>
  <c r="AG526" i="13"/>
  <c r="AD526" i="13"/>
  <c r="AC526" i="13"/>
  <c r="AB526" i="13"/>
  <c r="AR525" i="13"/>
  <c r="AN525" i="13" s="1"/>
  <c r="AQ525" i="13"/>
  <c r="AP525" i="13"/>
  <c r="AM525" i="13"/>
  <c r="AG525" i="13"/>
  <c r="AD525" i="13"/>
  <c r="AC525" i="13"/>
  <c r="AB525" i="13"/>
  <c r="AR524" i="13"/>
  <c r="AN524" i="13" s="1"/>
  <c r="AQ524" i="13"/>
  <c r="AP524" i="13"/>
  <c r="AM524" i="13"/>
  <c r="AG524" i="13"/>
  <c r="AD524" i="13"/>
  <c r="AC524" i="13"/>
  <c r="AB524" i="13"/>
  <c r="AR523" i="13"/>
  <c r="AN523" i="13" s="1"/>
  <c r="AQ523" i="13"/>
  <c r="AP523" i="13"/>
  <c r="AM523" i="13"/>
  <c r="AG523" i="13"/>
  <c r="AD523" i="13"/>
  <c r="AC523" i="13"/>
  <c r="AB523" i="13"/>
  <c r="AR522" i="13"/>
  <c r="AN522" i="13" s="1"/>
  <c r="AQ522" i="13"/>
  <c r="AP522" i="13"/>
  <c r="AM522" i="13"/>
  <c r="AG522" i="13"/>
  <c r="AD522" i="13"/>
  <c r="AC522" i="13"/>
  <c r="AB522" i="13"/>
  <c r="AR521" i="13"/>
  <c r="AN521" i="13" s="1"/>
  <c r="AQ521" i="13"/>
  <c r="AP521" i="13"/>
  <c r="AM521" i="13"/>
  <c r="AG521" i="13"/>
  <c r="AD521" i="13"/>
  <c r="AC521" i="13"/>
  <c r="AB521" i="13"/>
  <c r="AR520" i="13"/>
  <c r="AN520" i="13" s="1"/>
  <c r="AQ520" i="13"/>
  <c r="AP520" i="13"/>
  <c r="AM520" i="13"/>
  <c r="AG520" i="13"/>
  <c r="AD520" i="13"/>
  <c r="AC520" i="13"/>
  <c r="AB520" i="13"/>
  <c r="AR519" i="13"/>
  <c r="AN519" i="13" s="1"/>
  <c r="AQ519" i="13"/>
  <c r="AP519" i="13"/>
  <c r="AM519" i="13"/>
  <c r="AG519" i="13"/>
  <c r="AD519" i="13"/>
  <c r="AC519" i="13"/>
  <c r="AB519" i="13"/>
  <c r="AR518" i="13"/>
  <c r="AN518" i="13" s="1"/>
  <c r="AQ518" i="13"/>
  <c r="AP518" i="13"/>
  <c r="AM518" i="13"/>
  <c r="AG518" i="13"/>
  <c r="AD518" i="13"/>
  <c r="AC518" i="13"/>
  <c r="AB518" i="13"/>
  <c r="AR517" i="13"/>
  <c r="AN517" i="13" s="1"/>
  <c r="AQ517" i="13"/>
  <c r="AP517" i="13"/>
  <c r="AM517" i="13"/>
  <c r="AG517" i="13"/>
  <c r="AD517" i="13"/>
  <c r="AC517" i="13"/>
  <c r="AB517" i="13"/>
  <c r="AR516" i="13"/>
  <c r="AN516" i="13" s="1"/>
  <c r="AQ516" i="13"/>
  <c r="AP516" i="13"/>
  <c r="AM516" i="13"/>
  <c r="AG516" i="13"/>
  <c r="AD516" i="13"/>
  <c r="AC516" i="13"/>
  <c r="AB516" i="13"/>
  <c r="AR515" i="13"/>
  <c r="AN515" i="13" s="1"/>
  <c r="AQ515" i="13"/>
  <c r="AP515" i="13"/>
  <c r="AM515" i="13"/>
  <c r="AG515" i="13"/>
  <c r="AD515" i="13"/>
  <c r="AC515" i="13"/>
  <c r="AB515" i="13"/>
  <c r="AR514" i="13"/>
  <c r="AN514" i="13" s="1"/>
  <c r="AQ514" i="13"/>
  <c r="AP514" i="13"/>
  <c r="AM514" i="13"/>
  <c r="AG514" i="13"/>
  <c r="AD514" i="13"/>
  <c r="AC514" i="13"/>
  <c r="AB514" i="13"/>
  <c r="AR513" i="13"/>
  <c r="AN513" i="13" s="1"/>
  <c r="AQ513" i="13"/>
  <c r="AP513" i="13"/>
  <c r="AM513" i="13"/>
  <c r="AG513" i="13"/>
  <c r="AD513" i="13"/>
  <c r="AC513" i="13"/>
  <c r="AB513" i="13"/>
  <c r="AR512" i="13"/>
  <c r="AN512" i="13" s="1"/>
  <c r="AQ512" i="13"/>
  <c r="AP512" i="13"/>
  <c r="AM512" i="13"/>
  <c r="AG512" i="13"/>
  <c r="AD512" i="13"/>
  <c r="AC512" i="13"/>
  <c r="AB512" i="13"/>
  <c r="AR511" i="13"/>
  <c r="AN511" i="13" s="1"/>
  <c r="AQ511" i="13"/>
  <c r="AP511" i="13"/>
  <c r="AM511" i="13"/>
  <c r="AG511" i="13"/>
  <c r="AD511" i="13"/>
  <c r="AC511" i="13"/>
  <c r="AB511" i="13"/>
  <c r="AR510" i="13"/>
  <c r="AN510" i="13" s="1"/>
  <c r="AQ510" i="13"/>
  <c r="AP510" i="13"/>
  <c r="AM510" i="13"/>
  <c r="AG510" i="13"/>
  <c r="AD510" i="13"/>
  <c r="AC510" i="13"/>
  <c r="AB510" i="13"/>
  <c r="AR509" i="13"/>
  <c r="AN509" i="13" s="1"/>
  <c r="AQ509" i="13"/>
  <c r="AP509" i="13"/>
  <c r="AM509" i="13"/>
  <c r="AG509" i="13"/>
  <c r="AD509" i="13"/>
  <c r="AC509" i="13"/>
  <c r="AB509" i="13"/>
  <c r="AR508" i="13"/>
  <c r="AN508" i="13" s="1"/>
  <c r="AQ508" i="13"/>
  <c r="AP508" i="13"/>
  <c r="AM508" i="13"/>
  <c r="AG508" i="13"/>
  <c r="AD508" i="13"/>
  <c r="AC508" i="13"/>
  <c r="AB508" i="13"/>
  <c r="AR507" i="13"/>
  <c r="AN507" i="13" s="1"/>
  <c r="AQ507" i="13"/>
  <c r="AP507" i="13"/>
  <c r="AM507" i="13"/>
  <c r="AG507" i="13"/>
  <c r="AD507" i="13"/>
  <c r="AC507" i="13"/>
  <c r="AB507" i="13"/>
  <c r="AR506" i="13"/>
  <c r="AN506" i="13" s="1"/>
  <c r="AQ506" i="13"/>
  <c r="AP506" i="13"/>
  <c r="AM506" i="13"/>
  <c r="AG506" i="13"/>
  <c r="AD506" i="13"/>
  <c r="AC506" i="13"/>
  <c r="AB506" i="13"/>
  <c r="AR505" i="13"/>
  <c r="AN505" i="13" s="1"/>
  <c r="AQ505" i="13"/>
  <c r="AP505" i="13"/>
  <c r="AM505" i="13"/>
  <c r="AG505" i="13"/>
  <c r="AD505" i="13"/>
  <c r="AC505" i="13"/>
  <c r="AB505" i="13"/>
  <c r="AR504" i="13"/>
  <c r="AN504" i="13" s="1"/>
  <c r="AQ504" i="13"/>
  <c r="AP504" i="13"/>
  <c r="AM504" i="13"/>
  <c r="AG504" i="13"/>
  <c r="AD504" i="13"/>
  <c r="AC504" i="13"/>
  <c r="AB504" i="13"/>
  <c r="AR503" i="13"/>
  <c r="AN503" i="13" s="1"/>
  <c r="AQ503" i="13"/>
  <c r="AP503" i="13"/>
  <c r="AM503" i="13"/>
  <c r="AG503" i="13"/>
  <c r="AD503" i="13"/>
  <c r="AC503" i="13"/>
  <c r="AB503" i="13"/>
  <c r="AR502" i="13"/>
  <c r="AN502" i="13" s="1"/>
  <c r="AQ502" i="13"/>
  <c r="AP502" i="13"/>
  <c r="AM502" i="13"/>
  <c r="AG502" i="13"/>
  <c r="AD502" i="13"/>
  <c r="AC502" i="13"/>
  <c r="AB502" i="13"/>
  <c r="AR501" i="13"/>
  <c r="AN501" i="13" s="1"/>
  <c r="AQ501" i="13"/>
  <c r="AP501" i="13"/>
  <c r="AM501" i="13"/>
  <c r="AG501" i="13"/>
  <c r="AD501" i="13"/>
  <c r="AC501" i="13"/>
  <c r="AB501" i="13"/>
  <c r="AR500" i="13"/>
  <c r="AN500" i="13" s="1"/>
  <c r="AQ500" i="13"/>
  <c r="AP500" i="13"/>
  <c r="AM500" i="13"/>
  <c r="AG500" i="13"/>
  <c r="AD500" i="13"/>
  <c r="AC500" i="13"/>
  <c r="AB500" i="13"/>
  <c r="AR499" i="13"/>
  <c r="AN499" i="13" s="1"/>
  <c r="AQ499" i="13"/>
  <c r="AP499" i="13"/>
  <c r="AM499" i="13"/>
  <c r="AG499" i="13"/>
  <c r="AD499" i="13"/>
  <c r="AC499" i="13"/>
  <c r="AB499" i="13"/>
  <c r="AR498" i="13"/>
  <c r="AN498" i="13" s="1"/>
  <c r="AQ498" i="13"/>
  <c r="AP498" i="13"/>
  <c r="AM498" i="13"/>
  <c r="AG498" i="13"/>
  <c r="AD498" i="13"/>
  <c r="AC498" i="13"/>
  <c r="AB498" i="13"/>
  <c r="AR497" i="13"/>
  <c r="AN497" i="13" s="1"/>
  <c r="AQ497" i="13"/>
  <c r="AP497" i="13"/>
  <c r="AM497" i="13"/>
  <c r="AG497" i="13"/>
  <c r="AD497" i="13"/>
  <c r="AC497" i="13"/>
  <c r="AB497" i="13"/>
  <c r="AR496" i="13"/>
  <c r="AN496" i="13" s="1"/>
  <c r="AQ496" i="13"/>
  <c r="AP496" i="13"/>
  <c r="AM496" i="13"/>
  <c r="AG496" i="13"/>
  <c r="AD496" i="13"/>
  <c r="AC496" i="13"/>
  <c r="AB496" i="13"/>
  <c r="AR495" i="13"/>
  <c r="AN495" i="13" s="1"/>
  <c r="AQ495" i="13"/>
  <c r="AP495" i="13"/>
  <c r="AM495" i="13"/>
  <c r="AG495" i="13"/>
  <c r="AD495" i="13"/>
  <c r="AC495" i="13"/>
  <c r="AB495" i="13"/>
  <c r="AR494" i="13"/>
  <c r="AN494" i="13" s="1"/>
  <c r="AQ494" i="13"/>
  <c r="AP494" i="13"/>
  <c r="AM494" i="13"/>
  <c r="AG494" i="13"/>
  <c r="AD494" i="13"/>
  <c r="AC494" i="13"/>
  <c r="AB494" i="13"/>
  <c r="AR493" i="13"/>
  <c r="AN493" i="13" s="1"/>
  <c r="AQ493" i="13"/>
  <c r="AP493" i="13"/>
  <c r="AM493" i="13"/>
  <c r="AG493" i="13"/>
  <c r="AD493" i="13"/>
  <c r="AC493" i="13"/>
  <c r="AB493" i="13"/>
  <c r="AR492" i="13"/>
  <c r="AN492" i="13" s="1"/>
  <c r="AQ492" i="13"/>
  <c r="AP492" i="13"/>
  <c r="AM492" i="13"/>
  <c r="AG492" i="13"/>
  <c r="AD492" i="13"/>
  <c r="AC492" i="13"/>
  <c r="AB492" i="13"/>
  <c r="AR491" i="13"/>
  <c r="AN491" i="13" s="1"/>
  <c r="AQ491" i="13"/>
  <c r="AP491" i="13"/>
  <c r="AM491" i="13"/>
  <c r="AG491" i="13"/>
  <c r="AD491" i="13"/>
  <c r="AC491" i="13"/>
  <c r="AB491" i="13"/>
  <c r="AR490" i="13"/>
  <c r="AN490" i="13" s="1"/>
  <c r="AQ490" i="13"/>
  <c r="AP490" i="13"/>
  <c r="AM490" i="13"/>
  <c r="AG490" i="13"/>
  <c r="AD490" i="13"/>
  <c r="AC490" i="13"/>
  <c r="AB490" i="13"/>
  <c r="AR489" i="13"/>
  <c r="AN489" i="13" s="1"/>
  <c r="AQ489" i="13"/>
  <c r="AP489" i="13"/>
  <c r="AM489" i="13"/>
  <c r="AG489" i="13"/>
  <c r="AD489" i="13"/>
  <c r="AC489" i="13"/>
  <c r="AB489" i="13"/>
  <c r="AR488" i="13"/>
  <c r="AN488" i="13" s="1"/>
  <c r="AQ488" i="13"/>
  <c r="AP488" i="13"/>
  <c r="AM488" i="13"/>
  <c r="AG488" i="13"/>
  <c r="AD488" i="13"/>
  <c r="AC488" i="13"/>
  <c r="AB488" i="13"/>
  <c r="AR487" i="13"/>
  <c r="AN487" i="13" s="1"/>
  <c r="AQ487" i="13"/>
  <c r="AP487" i="13"/>
  <c r="AM487" i="13"/>
  <c r="AG487" i="13"/>
  <c r="AD487" i="13"/>
  <c r="AC487" i="13"/>
  <c r="AB487" i="13"/>
  <c r="AR486" i="13"/>
  <c r="AN486" i="13" s="1"/>
  <c r="AQ486" i="13"/>
  <c r="AP486" i="13"/>
  <c r="AM486" i="13"/>
  <c r="AG486" i="13"/>
  <c r="AD486" i="13"/>
  <c r="AC486" i="13"/>
  <c r="AB486" i="13"/>
  <c r="AR485" i="13"/>
  <c r="AN485" i="13" s="1"/>
  <c r="AQ485" i="13"/>
  <c r="AP485" i="13"/>
  <c r="AM485" i="13"/>
  <c r="AG485" i="13"/>
  <c r="AD485" i="13"/>
  <c r="AC485" i="13"/>
  <c r="AB485" i="13"/>
  <c r="AR484" i="13"/>
  <c r="AN484" i="13" s="1"/>
  <c r="AQ484" i="13"/>
  <c r="AP484" i="13"/>
  <c r="AM484" i="13"/>
  <c r="AG484" i="13"/>
  <c r="AD484" i="13"/>
  <c r="AC484" i="13"/>
  <c r="AB484" i="13"/>
  <c r="AR483" i="13"/>
  <c r="AN483" i="13" s="1"/>
  <c r="AQ483" i="13"/>
  <c r="AP483" i="13"/>
  <c r="AM483" i="13"/>
  <c r="AG483" i="13"/>
  <c r="AD483" i="13"/>
  <c r="AC483" i="13"/>
  <c r="AB483" i="13"/>
  <c r="AR482" i="13"/>
  <c r="AN482" i="13" s="1"/>
  <c r="AQ482" i="13"/>
  <c r="AP482" i="13"/>
  <c r="AM482" i="13"/>
  <c r="AG482" i="13"/>
  <c r="AD482" i="13"/>
  <c r="AC482" i="13"/>
  <c r="AB482" i="13"/>
  <c r="AR481" i="13"/>
  <c r="AN481" i="13" s="1"/>
  <c r="AQ481" i="13"/>
  <c r="AP481" i="13"/>
  <c r="AM481" i="13"/>
  <c r="AG481" i="13"/>
  <c r="AD481" i="13"/>
  <c r="AC481" i="13"/>
  <c r="AB481" i="13"/>
  <c r="AR480" i="13"/>
  <c r="AN480" i="13" s="1"/>
  <c r="AQ480" i="13"/>
  <c r="AP480" i="13"/>
  <c r="AM480" i="13"/>
  <c r="AG480" i="13"/>
  <c r="AD480" i="13"/>
  <c r="AC480" i="13"/>
  <c r="AB480" i="13"/>
  <c r="AR479" i="13"/>
  <c r="AN479" i="13" s="1"/>
  <c r="AQ479" i="13"/>
  <c r="AP479" i="13"/>
  <c r="AM479" i="13"/>
  <c r="AG479" i="13"/>
  <c r="AD479" i="13"/>
  <c r="AC479" i="13"/>
  <c r="AB479" i="13"/>
  <c r="AR478" i="13"/>
  <c r="AN478" i="13" s="1"/>
  <c r="AQ478" i="13"/>
  <c r="AP478" i="13"/>
  <c r="AM478" i="13"/>
  <c r="AG478" i="13"/>
  <c r="AD478" i="13"/>
  <c r="AC478" i="13"/>
  <c r="AB478" i="13"/>
  <c r="AR477" i="13"/>
  <c r="AN477" i="13" s="1"/>
  <c r="AQ477" i="13"/>
  <c r="AP477" i="13"/>
  <c r="AM477" i="13"/>
  <c r="AG477" i="13"/>
  <c r="AD477" i="13"/>
  <c r="AC477" i="13"/>
  <c r="AB477" i="13"/>
  <c r="AR476" i="13"/>
  <c r="AN476" i="13" s="1"/>
  <c r="AQ476" i="13"/>
  <c r="AP476" i="13"/>
  <c r="AM476" i="13"/>
  <c r="AG476" i="13"/>
  <c r="AD476" i="13"/>
  <c r="AC476" i="13"/>
  <c r="AB476" i="13"/>
  <c r="AR475" i="13"/>
  <c r="AN475" i="13" s="1"/>
  <c r="AQ475" i="13"/>
  <c r="AP475" i="13"/>
  <c r="AM475" i="13"/>
  <c r="AG475" i="13"/>
  <c r="AD475" i="13"/>
  <c r="AC475" i="13"/>
  <c r="AB475" i="13"/>
  <c r="AR474" i="13"/>
  <c r="AN474" i="13" s="1"/>
  <c r="AQ474" i="13"/>
  <c r="AP474" i="13"/>
  <c r="AM474" i="13"/>
  <c r="AG474" i="13"/>
  <c r="AD474" i="13"/>
  <c r="AC474" i="13"/>
  <c r="AB474" i="13"/>
  <c r="AR473" i="13"/>
  <c r="AN473" i="13" s="1"/>
  <c r="AQ473" i="13"/>
  <c r="AP473" i="13"/>
  <c r="AM473" i="13"/>
  <c r="AG473" i="13"/>
  <c r="AD473" i="13"/>
  <c r="AC473" i="13"/>
  <c r="AB473" i="13"/>
  <c r="AR472" i="13"/>
  <c r="AN472" i="13" s="1"/>
  <c r="AQ472" i="13"/>
  <c r="AP472" i="13"/>
  <c r="AM472" i="13"/>
  <c r="AG472" i="13"/>
  <c r="AD472" i="13"/>
  <c r="AC472" i="13"/>
  <c r="AB472" i="13"/>
  <c r="AR471" i="13"/>
  <c r="AN471" i="13" s="1"/>
  <c r="AQ471" i="13"/>
  <c r="AP471" i="13"/>
  <c r="AM471" i="13"/>
  <c r="AG471" i="13"/>
  <c r="AD471" i="13"/>
  <c r="AC471" i="13"/>
  <c r="AB471" i="13"/>
  <c r="AR470" i="13"/>
  <c r="AN470" i="13" s="1"/>
  <c r="AQ470" i="13"/>
  <c r="AP470" i="13"/>
  <c r="AM470" i="13"/>
  <c r="AG470" i="13"/>
  <c r="AD470" i="13"/>
  <c r="AC470" i="13"/>
  <c r="AB470" i="13"/>
  <c r="AR469" i="13"/>
  <c r="AN469" i="13" s="1"/>
  <c r="AQ469" i="13"/>
  <c r="AP469" i="13"/>
  <c r="AM469" i="13"/>
  <c r="AG469" i="13"/>
  <c r="AD469" i="13"/>
  <c r="AC469" i="13"/>
  <c r="AB469" i="13"/>
  <c r="AR468" i="13"/>
  <c r="AN468" i="13" s="1"/>
  <c r="AQ468" i="13"/>
  <c r="AP468" i="13"/>
  <c r="AM468" i="13"/>
  <c r="AG468" i="13"/>
  <c r="AD468" i="13"/>
  <c r="AC468" i="13"/>
  <c r="AB468" i="13"/>
  <c r="AR467" i="13"/>
  <c r="AN467" i="13" s="1"/>
  <c r="AQ467" i="13"/>
  <c r="AP467" i="13"/>
  <c r="AM467" i="13"/>
  <c r="AG467" i="13"/>
  <c r="AD467" i="13"/>
  <c r="AC467" i="13"/>
  <c r="AB467" i="13"/>
  <c r="AR466" i="13"/>
  <c r="AN466" i="13" s="1"/>
  <c r="AQ466" i="13"/>
  <c r="AP466" i="13"/>
  <c r="AM466" i="13"/>
  <c r="AG466" i="13"/>
  <c r="AD466" i="13"/>
  <c r="AC466" i="13"/>
  <c r="AB466" i="13"/>
  <c r="AR465" i="13"/>
  <c r="AN465" i="13" s="1"/>
  <c r="AQ465" i="13"/>
  <c r="AP465" i="13"/>
  <c r="AM465" i="13"/>
  <c r="AG465" i="13"/>
  <c r="AD465" i="13"/>
  <c r="AC465" i="13"/>
  <c r="AB465" i="13"/>
  <c r="AR464" i="13"/>
  <c r="AN464" i="13" s="1"/>
  <c r="AQ464" i="13"/>
  <c r="AP464" i="13"/>
  <c r="AM464" i="13"/>
  <c r="AG464" i="13"/>
  <c r="AD464" i="13"/>
  <c r="AC464" i="13"/>
  <c r="AB464" i="13"/>
  <c r="AR463" i="13"/>
  <c r="AN463" i="13" s="1"/>
  <c r="AQ463" i="13"/>
  <c r="AP463" i="13"/>
  <c r="AM463" i="13"/>
  <c r="AG463" i="13"/>
  <c r="AD463" i="13"/>
  <c r="AC463" i="13"/>
  <c r="AB463" i="13"/>
  <c r="AR462" i="13"/>
  <c r="AN462" i="13" s="1"/>
  <c r="AQ462" i="13"/>
  <c r="AP462" i="13"/>
  <c r="AM462" i="13"/>
  <c r="AG462" i="13"/>
  <c r="AD462" i="13"/>
  <c r="AC462" i="13"/>
  <c r="AB462" i="13"/>
  <c r="AR461" i="13"/>
  <c r="AN461" i="13" s="1"/>
  <c r="AQ461" i="13"/>
  <c r="AP461" i="13"/>
  <c r="AM461" i="13"/>
  <c r="AG461" i="13"/>
  <c r="AD461" i="13"/>
  <c r="AC461" i="13"/>
  <c r="AB461" i="13"/>
  <c r="AR460" i="13"/>
  <c r="AN460" i="13" s="1"/>
  <c r="AQ460" i="13"/>
  <c r="AP460" i="13"/>
  <c r="AM460" i="13"/>
  <c r="AG460" i="13"/>
  <c r="AD460" i="13"/>
  <c r="AC460" i="13"/>
  <c r="AB460" i="13"/>
  <c r="AR459" i="13"/>
  <c r="AN459" i="13" s="1"/>
  <c r="AQ459" i="13"/>
  <c r="AP459" i="13"/>
  <c r="AM459" i="13"/>
  <c r="AG459" i="13"/>
  <c r="AD459" i="13"/>
  <c r="AC459" i="13"/>
  <c r="AB459" i="13"/>
  <c r="AR458" i="13"/>
  <c r="AN458" i="13" s="1"/>
  <c r="AQ458" i="13"/>
  <c r="AP458" i="13"/>
  <c r="AM458" i="13"/>
  <c r="AG458" i="13"/>
  <c r="AD458" i="13"/>
  <c r="AC458" i="13"/>
  <c r="AB458" i="13"/>
  <c r="AR457" i="13"/>
  <c r="AN457" i="13" s="1"/>
  <c r="AQ457" i="13"/>
  <c r="AP457" i="13"/>
  <c r="AM457" i="13"/>
  <c r="AG457" i="13"/>
  <c r="AD457" i="13"/>
  <c r="AC457" i="13"/>
  <c r="AB457" i="13"/>
  <c r="AR456" i="13"/>
  <c r="AN456" i="13" s="1"/>
  <c r="AQ456" i="13"/>
  <c r="AP456" i="13"/>
  <c r="AM456" i="13"/>
  <c r="AG456" i="13"/>
  <c r="AD456" i="13"/>
  <c r="AC456" i="13"/>
  <c r="AB456" i="13"/>
  <c r="AR455" i="13"/>
  <c r="AN455" i="13" s="1"/>
  <c r="AQ455" i="13"/>
  <c r="AP455" i="13"/>
  <c r="AM455" i="13"/>
  <c r="AG455" i="13"/>
  <c r="AD455" i="13"/>
  <c r="AC455" i="13"/>
  <c r="AB455" i="13"/>
  <c r="AR454" i="13"/>
  <c r="AN454" i="13" s="1"/>
  <c r="AQ454" i="13"/>
  <c r="AP454" i="13"/>
  <c r="AM454" i="13"/>
  <c r="AG454" i="13"/>
  <c r="AD454" i="13"/>
  <c r="AC454" i="13"/>
  <c r="AB454" i="13"/>
  <c r="AR453" i="13"/>
  <c r="AN453" i="13" s="1"/>
  <c r="AQ453" i="13"/>
  <c r="AP453" i="13"/>
  <c r="AM453" i="13"/>
  <c r="AG453" i="13"/>
  <c r="AD453" i="13"/>
  <c r="AC453" i="13"/>
  <c r="AB453" i="13"/>
  <c r="AR452" i="13"/>
  <c r="AN452" i="13" s="1"/>
  <c r="AQ452" i="13"/>
  <c r="AP452" i="13"/>
  <c r="AM452" i="13"/>
  <c r="AG452" i="13"/>
  <c r="AD452" i="13"/>
  <c r="AC452" i="13"/>
  <c r="AB452" i="13"/>
  <c r="AR451" i="13"/>
  <c r="AN451" i="13" s="1"/>
  <c r="AQ451" i="13"/>
  <c r="AP451" i="13"/>
  <c r="AM451" i="13"/>
  <c r="AG451" i="13"/>
  <c r="AD451" i="13"/>
  <c r="AC451" i="13"/>
  <c r="AB451" i="13"/>
  <c r="AR450" i="13"/>
  <c r="AN450" i="13" s="1"/>
  <c r="AQ450" i="13"/>
  <c r="AP450" i="13"/>
  <c r="AM450" i="13"/>
  <c r="AG450" i="13"/>
  <c r="AD450" i="13"/>
  <c r="AC450" i="13"/>
  <c r="AB450" i="13"/>
  <c r="AR449" i="13"/>
  <c r="AN449" i="13" s="1"/>
  <c r="AQ449" i="13"/>
  <c r="AP449" i="13"/>
  <c r="AM449" i="13"/>
  <c r="AG449" i="13"/>
  <c r="AD449" i="13"/>
  <c r="AC449" i="13"/>
  <c r="AB449" i="13"/>
  <c r="AR448" i="13"/>
  <c r="AN448" i="13" s="1"/>
  <c r="AQ448" i="13"/>
  <c r="AP448" i="13"/>
  <c r="AM448" i="13"/>
  <c r="AG448" i="13"/>
  <c r="AD448" i="13"/>
  <c r="AC448" i="13"/>
  <c r="AB448" i="13"/>
  <c r="AR447" i="13"/>
  <c r="AN447" i="13" s="1"/>
  <c r="AQ447" i="13"/>
  <c r="AP447" i="13"/>
  <c r="AM447" i="13"/>
  <c r="AG447" i="13"/>
  <c r="AD447" i="13"/>
  <c r="AC447" i="13"/>
  <c r="AB447" i="13"/>
  <c r="AR446" i="13"/>
  <c r="AN446" i="13" s="1"/>
  <c r="AQ446" i="13"/>
  <c r="AP446" i="13"/>
  <c r="AM446" i="13"/>
  <c r="AG446" i="13"/>
  <c r="AD446" i="13"/>
  <c r="AC446" i="13"/>
  <c r="AB446" i="13"/>
  <c r="AR445" i="13"/>
  <c r="AN445" i="13" s="1"/>
  <c r="AQ445" i="13"/>
  <c r="AP445" i="13"/>
  <c r="AM445" i="13"/>
  <c r="AG445" i="13"/>
  <c r="AD445" i="13"/>
  <c r="AC445" i="13"/>
  <c r="AB445" i="13"/>
  <c r="AR444" i="13"/>
  <c r="AN444" i="13" s="1"/>
  <c r="AQ444" i="13"/>
  <c r="AP444" i="13"/>
  <c r="AM444" i="13"/>
  <c r="AG444" i="13"/>
  <c r="AD444" i="13"/>
  <c r="AC444" i="13"/>
  <c r="AB444" i="13"/>
  <c r="AR443" i="13"/>
  <c r="AN443" i="13" s="1"/>
  <c r="AQ443" i="13"/>
  <c r="AP443" i="13"/>
  <c r="AM443" i="13"/>
  <c r="AG443" i="13"/>
  <c r="AD443" i="13"/>
  <c r="AC443" i="13"/>
  <c r="AB443" i="13"/>
  <c r="AR442" i="13"/>
  <c r="AN442" i="13" s="1"/>
  <c r="AQ442" i="13"/>
  <c r="AP442" i="13"/>
  <c r="AM442" i="13"/>
  <c r="AG442" i="13"/>
  <c r="AD442" i="13"/>
  <c r="AC442" i="13"/>
  <c r="AB442" i="13"/>
  <c r="AR441" i="13"/>
  <c r="AN441" i="13" s="1"/>
  <c r="AQ441" i="13"/>
  <c r="AP441" i="13"/>
  <c r="AM441" i="13"/>
  <c r="AG441" i="13"/>
  <c r="AC441" i="13"/>
  <c r="AB441" i="13"/>
  <c r="AR440" i="13"/>
  <c r="AN440" i="13" s="1"/>
  <c r="AQ440" i="13"/>
  <c r="AP440" i="13"/>
  <c r="AM440" i="13"/>
  <c r="AG440" i="13"/>
  <c r="AD440" i="13"/>
  <c r="AC440" i="13"/>
  <c r="AB440" i="13"/>
  <c r="AR439" i="13"/>
  <c r="AN439" i="13" s="1"/>
  <c r="AQ439" i="13"/>
  <c r="AP439" i="13"/>
  <c r="AM439" i="13"/>
  <c r="AG439" i="13"/>
  <c r="AD439" i="13"/>
  <c r="AC439" i="13"/>
  <c r="AB439" i="13"/>
  <c r="AR438" i="13"/>
  <c r="AN438" i="13" s="1"/>
  <c r="AQ438" i="13"/>
  <c r="AP438" i="13"/>
  <c r="AM438" i="13"/>
  <c r="AG438" i="13"/>
  <c r="AD438" i="13"/>
  <c r="AC438" i="13"/>
  <c r="AB438" i="13"/>
  <c r="AR437" i="13"/>
  <c r="AN437" i="13" s="1"/>
  <c r="AQ437" i="13"/>
  <c r="AP437" i="13"/>
  <c r="AM437" i="13"/>
  <c r="AG437" i="13"/>
  <c r="AD437" i="13"/>
  <c r="AC437" i="13"/>
  <c r="AB437" i="13"/>
  <c r="AR436" i="13"/>
  <c r="AN436" i="13" s="1"/>
  <c r="AQ436" i="13"/>
  <c r="AP436" i="13"/>
  <c r="AM436" i="13"/>
  <c r="AG436" i="13"/>
  <c r="AD436" i="13"/>
  <c r="AC436" i="13"/>
  <c r="AB436" i="13"/>
  <c r="AR435" i="13"/>
  <c r="AN435" i="13" s="1"/>
  <c r="AQ435" i="13"/>
  <c r="AP435" i="13"/>
  <c r="AM435" i="13"/>
  <c r="AG435" i="13"/>
  <c r="AD435" i="13"/>
  <c r="AC435" i="13"/>
  <c r="AB435" i="13"/>
  <c r="AR434" i="13"/>
  <c r="AN434" i="13" s="1"/>
  <c r="AQ434" i="13"/>
  <c r="AP434" i="13"/>
  <c r="AM434" i="13"/>
  <c r="AG434" i="13"/>
  <c r="AD434" i="13"/>
  <c r="AC434" i="13"/>
  <c r="AB434" i="13"/>
  <c r="AR433" i="13"/>
  <c r="AN433" i="13" s="1"/>
  <c r="AQ433" i="13"/>
  <c r="AP433" i="13"/>
  <c r="AM433" i="13"/>
  <c r="AG433" i="13"/>
  <c r="AD433" i="13"/>
  <c r="AC433" i="13"/>
  <c r="AB433" i="13"/>
  <c r="AR432" i="13"/>
  <c r="AN432" i="13" s="1"/>
  <c r="AQ432" i="13"/>
  <c r="AP432" i="13"/>
  <c r="AM432" i="13"/>
  <c r="AG432" i="13"/>
  <c r="AD432" i="13"/>
  <c r="AC432" i="13"/>
  <c r="AB432" i="13"/>
  <c r="AR431" i="13"/>
  <c r="AN431" i="13" s="1"/>
  <c r="AQ431" i="13"/>
  <c r="AP431" i="13"/>
  <c r="AM431" i="13"/>
  <c r="AG431" i="13"/>
  <c r="AD431" i="13"/>
  <c r="AC431" i="13"/>
  <c r="AB431" i="13"/>
  <c r="AR430" i="13"/>
  <c r="AN430" i="13" s="1"/>
  <c r="AQ430" i="13"/>
  <c r="AP430" i="13"/>
  <c r="AM430" i="13"/>
  <c r="AG430" i="13"/>
  <c r="AD430" i="13"/>
  <c r="AC430" i="13"/>
  <c r="AB430" i="13"/>
  <c r="AG2" i="13"/>
  <c r="W594" i="13" a="1"/>
  <c r="W434" i="13" a="1"/>
  <c r="W460" i="13" a="1"/>
  <c r="W483" i="13" a="1"/>
  <c r="W573" i="13" a="1"/>
  <c r="W468" i="13" a="1"/>
  <c r="W502" i="13" a="1"/>
  <c r="W438" i="13" a="1"/>
  <c r="W538" i="13" a="1"/>
  <c r="W624" i="13" a="1"/>
  <c r="W443" i="13" a="1"/>
  <c r="W458" i="13" a="1"/>
  <c r="W450" i="13" a="1"/>
  <c r="W495" i="13" a="1"/>
  <c r="W472" i="13" a="1"/>
  <c r="W491" i="13" a="1"/>
  <c r="W612" i="13" a="1"/>
  <c r="W654" i="13" a="1"/>
  <c r="W644" i="13" a="1"/>
  <c r="W513" i="13" a="1"/>
  <c r="W480" i="13" a="1"/>
  <c r="W583" i="13" a="1"/>
  <c r="W505" i="13" a="1"/>
  <c r="W540" i="13" a="1"/>
  <c r="W529" i="13" a="1"/>
  <c r="W508" i="13" a="1"/>
  <c r="W616" i="13" a="1"/>
  <c r="W550" i="13" a="1"/>
  <c r="W466" i="13" a="1"/>
  <c r="W641" i="13" a="1"/>
  <c r="W461" i="13" a="1"/>
  <c r="W517" i="13" a="1"/>
  <c r="W632" i="13" a="1"/>
  <c r="W451" i="13" a="1"/>
  <c r="W651" i="13" a="1"/>
  <c r="W604" i="13" a="1"/>
  <c r="W547" i="13" a="1"/>
  <c r="W645" i="13" a="1"/>
  <c r="W570" i="13" a="1"/>
  <c r="W537" i="13" a="1"/>
  <c r="W560" i="13" a="1"/>
  <c r="W515" i="13" a="1"/>
  <c r="W606" i="13" a="1"/>
  <c r="W493" i="13" a="1"/>
  <c r="W593" i="13" a="1"/>
  <c r="W637" i="13" a="1"/>
  <c r="W528" i="13" a="1"/>
  <c r="W487" i="13" a="1"/>
  <c r="W424" i="13" a="1"/>
  <c r="W569" i="13" a="1"/>
  <c r="W623" i="13" a="1"/>
  <c r="W617" i="13" a="1"/>
  <c r="W446" i="13" a="1"/>
  <c r="W579" i="13" a="1"/>
  <c r="W520" i="13" a="1"/>
  <c r="W470" i="13" a="1"/>
  <c r="W497" i="13" a="1"/>
  <c r="W471" i="13" a="1"/>
  <c r="W581" i="13" a="1"/>
  <c r="W522" i="13" a="1"/>
  <c r="W613" i="13" a="1"/>
  <c r="W548" i="13" a="1"/>
  <c r="W504" i="13" a="1"/>
  <c r="W588" i="13" a="1"/>
  <c r="W564" i="13" a="1"/>
  <c r="W567" i="13" a="1"/>
  <c r="W571" i="13" a="1"/>
  <c r="W425" i="13" a="1"/>
  <c r="W650" i="13" a="1"/>
  <c r="W582" i="13" a="1"/>
  <c r="W639" i="13" a="1"/>
  <c r="W444" i="13" a="1"/>
  <c r="W521" i="13" a="1"/>
  <c r="W423" i="13" a="1"/>
  <c r="W591" i="13" a="1"/>
  <c r="W506" i="13" a="1"/>
  <c r="W643" i="13" a="1"/>
  <c r="W448" i="13" a="1"/>
  <c r="W481" i="13" a="1"/>
  <c r="W464" i="13" a="1"/>
  <c r="W621" i="13" a="1"/>
  <c r="W602" i="13" a="1"/>
  <c r="W580" i="13" a="1"/>
  <c r="W442" i="13" a="1"/>
  <c r="W500" i="13" a="1"/>
  <c r="W649" i="13" a="1"/>
  <c r="W549" i="13" a="1"/>
  <c r="W609" i="13" a="1"/>
  <c r="W555" i="13" a="1"/>
  <c r="W635" i="13" a="1"/>
  <c r="W510" i="13" a="1"/>
  <c r="W545" i="13" a="1"/>
  <c r="W640" i="13" a="1"/>
  <c r="W535" i="13" a="1"/>
  <c r="W546" i="13" a="1"/>
  <c r="W435" i="13" a="1"/>
  <c r="W539" i="13" a="1"/>
  <c r="W646" i="13" a="1"/>
  <c r="W452" i="13" a="1"/>
  <c r="W449" i="13" a="1"/>
  <c r="W516" i="13" a="1"/>
  <c r="W656" i="13" a="1"/>
  <c r="W492" i="13" a="1"/>
  <c r="W578" i="13" a="1"/>
  <c r="W600" i="13" a="1"/>
  <c r="W559" i="13" a="1"/>
  <c r="W634" i="13" a="1"/>
  <c r="W625" i="13" a="1"/>
  <c r="W590" i="13" a="1"/>
  <c r="W445" i="13" a="1"/>
  <c r="W430" i="13" a="1"/>
  <c r="W441" i="13" a="1"/>
  <c r="W459" i="13" a="1"/>
  <c r="W615" i="13" a="1"/>
  <c r="W475" i="13" a="1"/>
  <c r="W563" i="13" a="1"/>
  <c r="W554" i="13" a="1"/>
  <c r="W589" i="13" a="1"/>
  <c r="W524" i="13" a="1"/>
  <c r="W490" i="13" a="1"/>
  <c r="W512" i="13" a="1"/>
  <c r="W611" i="13" a="1"/>
  <c r="W558" i="13" a="1"/>
  <c r="W633" i="13" a="1"/>
  <c r="W648" i="13" a="1"/>
  <c r="W514" i="13" a="1"/>
  <c r="W533" i="13" a="1"/>
  <c r="W551" i="13" a="1"/>
  <c r="W440" i="13" a="1"/>
  <c r="W509" i="13" a="1"/>
  <c r="W536" i="13" a="1"/>
  <c r="W494" i="13" a="1"/>
  <c r="W485" i="13" a="1"/>
  <c r="W629" i="13" a="1"/>
  <c r="W561" i="13" a="1"/>
  <c r="W469" i="13" a="1"/>
  <c r="W465" i="13" a="1"/>
  <c r="W543" i="13" a="1"/>
  <c r="W626" i="13" a="1"/>
  <c r="W655" i="13" a="1"/>
  <c r="W507" i="13" a="1"/>
  <c r="W601" i="13" a="1"/>
  <c r="W426" i="13" a="1"/>
  <c r="W454" i="13" a="1"/>
  <c r="W498" i="13" a="1"/>
  <c r="W519" i="13" a="1"/>
  <c r="W427" i="13" a="1"/>
  <c r="W437" i="13" a="1"/>
  <c r="W428" i="13" a="1"/>
  <c r="W526" i="13" a="1"/>
  <c r="W576" i="13" a="1"/>
  <c r="W565" i="13" a="1"/>
  <c r="W605" i="13" a="1"/>
  <c r="W562" i="13" a="1"/>
  <c r="W462" i="13" a="1"/>
  <c r="W653" i="13" a="1"/>
  <c r="W503" i="13" a="1"/>
  <c r="W456" i="13" a="1"/>
  <c r="W610" i="13" a="1"/>
  <c r="W439" i="13" a="1"/>
  <c r="W479" i="13" a="1"/>
  <c r="W473" i="13" a="1"/>
  <c r="W432" i="13" a="1"/>
  <c r="W627" i="13" a="1"/>
  <c r="W467" i="13" a="1"/>
  <c r="W453" i="13" a="1"/>
  <c r="W477" i="13" a="1"/>
  <c r="W518" i="13" a="1"/>
  <c r="W630" i="13" a="1"/>
  <c r="W478" i="13" a="1"/>
  <c r="W636" i="13" a="1"/>
  <c r="W553" i="13" a="1"/>
  <c r="W598" i="13" a="1"/>
  <c r="W575" i="13" a="1"/>
  <c r="W638" i="13" a="1"/>
  <c r="W447" i="13" a="1"/>
  <c r="W531" i="13" a="1"/>
  <c r="W652" i="13" a="1"/>
  <c r="W496" i="13" a="1"/>
  <c r="W541" i="13" a="1"/>
  <c r="W577" i="13" a="1"/>
  <c r="W463" i="13" a="1"/>
  <c r="W556" i="13" a="1"/>
  <c r="W534" i="13" a="1"/>
  <c r="W429" i="13" a="1"/>
  <c r="W527" i="13" a="1"/>
  <c r="W552" i="13" a="1"/>
  <c r="W595" i="13" a="1"/>
  <c r="W584" i="13" a="1"/>
  <c r="W557" i="13" a="1"/>
  <c r="W436" i="13" a="1"/>
  <c r="W631" i="13" a="1"/>
  <c r="W607" i="13" a="1"/>
  <c r="W608" i="13" a="1"/>
  <c r="W587" i="13" a="1"/>
  <c r="W501" i="13" a="1"/>
  <c r="W433" i="13" a="1"/>
  <c r="W592" i="13" a="1"/>
  <c r="W614" i="13" a="1"/>
  <c r="W486" i="13" a="1"/>
  <c r="W597" i="13" a="1"/>
  <c r="W422" i="13" a="1"/>
  <c r="W489" i="13" a="1"/>
  <c r="W542" i="13" a="1"/>
  <c r="W574" i="13" a="1"/>
  <c r="W474" i="13" a="1"/>
  <c r="W647" i="13" a="1"/>
  <c r="W455" i="13" a="1"/>
  <c r="W499" i="13" a="1"/>
  <c r="W603" i="13" a="1"/>
  <c r="W599" i="13" a="1"/>
  <c r="W622" i="13" a="1"/>
  <c r="W628" i="13" a="1"/>
  <c r="W484" i="13" a="1"/>
  <c r="W523" i="13" a="1"/>
  <c r="W457" i="13" a="1"/>
  <c r="W618" i="13" a="1"/>
  <c r="W476" i="13" a="1"/>
  <c r="W544" i="13" a="1"/>
  <c r="W586" i="13" a="1"/>
  <c r="W620" i="13" a="1"/>
  <c r="W482" i="13" a="1"/>
  <c r="W572" i="13" a="1"/>
  <c r="W431" i="13" a="1"/>
  <c r="W488" i="13" a="1"/>
  <c r="W511" i="13" a="1"/>
  <c r="W596" i="13" a="1"/>
  <c r="W525" i="13" a="1"/>
  <c r="W532" i="13" a="1"/>
  <c r="W585" i="13" a="1"/>
  <c r="W566" i="13" a="1"/>
  <c r="W530" i="13" a="1"/>
  <c r="W568" i="13" a="1"/>
  <c r="W657" i="13" a="1"/>
  <c r="W642" i="13" a="1"/>
  <c r="W619" i="13" a="1"/>
  <c r="W655" i="13" l="1"/>
  <c r="W649" i="13"/>
  <c r="W643" i="13"/>
  <c r="W637" i="13"/>
  <c r="W631" i="13"/>
  <c r="W625" i="13"/>
  <c r="W619" i="13"/>
  <c r="W613" i="13"/>
  <c r="W607" i="13"/>
  <c r="W601" i="13"/>
  <c r="W595" i="13"/>
  <c r="W589" i="13"/>
  <c r="W583" i="13"/>
  <c r="W577" i="13"/>
  <c r="W571" i="13"/>
  <c r="W565" i="13"/>
  <c r="W559" i="13"/>
  <c r="W553" i="13"/>
  <c r="W547" i="13"/>
  <c r="W541" i="13"/>
  <c r="W535" i="13"/>
  <c r="W529" i="13"/>
  <c r="W523" i="13"/>
  <c r="W517" i="13"/>
  <c r="W511" i="13"/>
  <c r="W505" i="13"/>
  <c r="W499" i="13"/>
  <c r="W493" i="13"/>
  <c r="W487" i="13"/>
  <c r="W481" i="13"/>
  <c r="W475" i="13"/>
  <c r="W469" i="13"/>
  <c r="W463" i="13"/>
  <c r="W457" i="13"/>
  <c r="W451" i="13"/>
  <c r="W445" i="13"/>
  <c r="W439" i="13"/>
  <c r="W433" i="13"/>
  <c r="W427" i="13"/>
  <c r="W654" i="13"/>
  <c r="W648" i="13"/>
  <c r="W642" i="13"/>
  <c r="W636" i="13"/>
  <c r="W630" i="13"/>
  <c r="W624" i="13"/>
  <c r="W618" i="13"/>
  <c r="W612" i="13"/>
  <c r="W606" i="13"/>
  <c r="W600" i="13"/>
  <c r="W594" i="13"/>
  <c r="W588" i="13"/>
  <c r="W582" i="13"/>
  <c r="W576" i="13"/>
  <c r="W570" i="13"/>
  <c r="W564" i="13"/>
  <c r="W558" i="13"/>
  <c r="W552" i="13"/>
  <c r="W546" i="13"/>
  <c r="W540" i="13"/>
  <c r="W534" i="13"/>
  <c r="W528" i="13"/>
  <c r="W522" i="13"/>
  <c r="W516" i="13"/>
  <c r="W510" i="13"/>
  <c r="W504" i="13"/>
  <c r="W498" i="13"/>
  <c r="W492" i="13"/>
  <c r="W486" i="13"/>
  <c r="W480" i="13"/>
  <c r="W474" i="13"/>
  <c r="W468" i="13"/>
  <c r="W462" i="13"/>
  <c r="W456" i="13"/>
  <c r="W450" i="13"/>
  <c r="W444" i="13"/>
  <c r="W438" i="13"/>
  <c r="W432" i="13"/>
  <c r="W426" i="13"/>
  <c r="W653" i="13"/>
  <c r="W647" i="13"/>
  <c r="W641" i="13"/>
  <c r="W635" i="13"/>
  <c r="W629" i="13"/>
  <c r="W623" i="13"/>
  <c r="W617" i="13"/>
  <c r="W611" i="13"/>
  <c r="W605" i="13"/>
  <c r="W599" i="13"/>
  <c r="W593" i="13"/>
  <c r="W587" i="13"/>
  <c r="W581" i="13"/>
  <c r="W575" i="13"/>
  <c r="W569" i="13"/>
  <c r="W563" i="13"/>
  <c r="W557" i="13"/>
  <c r="W551" i="13"/>
  <c r="W545" i="13"/>
  <c r="W539" i="13"/>
  <c r="W533" i="13"/>
  <c r="W527" i="13"/>
  <c r="W521" i="13"/>
  <c r="W515" i="13"/>
  <c r="W509" i="13"/>
  <c r="W503" i="13"/>
  <c r="W497" i="13"/>
  <c r="W491" i="13"/>
  <c r="W485" i="13"/>
  <c r="W479" i="13"/>
  <c r="W473" i="13"/>
  <c r="W467" i="13"/>
  <c r="W461" i="13"/>
  <c r="W455" i="13"/>
  <c r="W449" i="13"/>
  <c r="W443" i="13"/>
  <c r="W437" i="13"/>
  <c r="W431" i="13"/>
  <c r="W425" i="13"/>
  <c r="W652" i="13"/>
  <c r="W646" i="13"/>
  <c r="W640" i="13"/>
  <c r="W634" i="13"/>
  <c r="W628" i="13"/>
  <c r="W622" i="13"/>
  <c r="W616" i="13"/>
  <c r="W610" i="13"/>
  <c r="W604" i="13"/>
  <c r="W598" i="13"/>
  <c r="W592" i="13"/>
  <c r="W586" i="13"/>
  <c r="W580" i="13"/>
  <c r="W574" i="13"/>
  <c r="W568" i="13"/>
  <c r="W562" i="13"/>
  <c r="W556" i="13"/>
  <c r="W550" i="13"/>
  <c r="W544" i="13"/>
  <c r="W538" i="13"/>
  <c r="W532" i="13"/>
  <c r="W526" i="13"/>
  <c r="W520" i="13"/>
  <c r="W514" i="13"/>
  <c r="W508" i="13"/>
  <c r="W502" i="13"/>
  <c r="W496" i="13"/>
  <c r="W490" i="13"/>
  <c r="W484" i="13"/>
  <c r="W478" i="13"/>
  <c r="W472" i="13"/>
  <c r="W466" i="13"/>
  <c r="W460" i="13"/>
  <c r="W454" i="13"/>
  <c r="W448" i="13"/>
  <c r="W442" i="13"/>
  <c r="W436" i="13"/>
  <c r="W430" i="13"/>
  <c r="W424" i="13"/>
  <c r="W657" i="13"/>
  <c r="W651" i="13"/>
  <c r="W645" i="13"/>
  <c r="W639" i="13"/>
  <c r="W633" i="13"/>
  <c r="W627" i="13"/>
  <c r="W621" i="13"/>
  <c r="W615" i="13"/>
  <c r="W609" i="13"/>
  <c r="W603" i="13"/>
  <c r="W597" i="13"/>
  <c r="W591" i="13"/>
  <c r="W585" i="13"/>
  <c r="W579" i="13"/>
  <c r="W573" i="13"/>
  <c r="W567" i="13"/>
  <c r="W561" i="13"/>
  <c r="W555" i="13"/>
  <c r="W549" i="13"/>
  <c r="W543" i="13"/>
  <c r="W537" i="13"/>
  <c r="W531" i="13"/>
  <c r="W525" i="13"/>
  <c r="W519" i="13"/>
  <c r="W513" i="13"/>
  <c r="W507" i="13"/>
  <c r="W501" i="13"/>
  <c r="W495" i="13"/>
  <c r="W489" i="13"/>
  <c r="W483" i="13"/>
  <c r="W477" i="13"/>
  <c r="W471" i="13"/>
  <c r="W465" i="13"/>
  <c r="W459" i="13"/>
  <c r="W453" i="13"/>
  <c r="W447" i="13"/>
  <c r="W441" i="13"/>
  <c r="W435" i="13"/>
  <c r="W429" i="13"/>
  <c r="W423" i="13"/>
  <c r="W656" i="13"/>
  <c r="W650" i="13"/>
  <c r="W644" i="13"/>
  <c r="W638" i="13"/>
  <c r="W632" i="13"/>
  <c r="W626" i="13"/>
  <c r="W620" i="13"/>
  <c r="W614" i="13"/>
  <c r="W608" i="13"/>
  <c r="W602" i="13"/>
  <c r="W596" i="13"/>
  <c r="W590" i="13"/>
  <c r="W584" i="13"/>
  <c r="W578" i="13"/>
  <c r="W572" i="13"/>
  <c r="W566" i="13"/>
  <c r="W560" i="13"/>
  <c r="W554" i="13"/>
  <c r="W548" i="13"/>
  <c r="W542" i="13"/>
  <c r="W536" i="13"/>
  <c r="W530" i="13"/>
  <c r="W524" i="13"/>
  <c r="W518" i="13"/>
  <c r="W512" i="13"/>
  <c r="W506" i="13"/>
  <c r="W500" i="13"/>
  <c r="W494" i="13"/>
  <c r="W488" i="13"/>
  <c r="W482" i="13"/>
  <c r="W476" i="13"/>
  <c r="W470" i="13"/>
  <c r="W464" i="13"/>
  <c r="W458" i="13"/>
  <c r="W452" i="13"/>
  <c r="W446" i="13"/>
  <c r="W440" i="13"/>
  <c r="W434" i="13"/>
  <c r="W428" i="13"/>
  <c r="W422" i="13"/>
  <c r="AO532" i="13"/>
  <c r="AO493" i="13"/>
  <c r="AO598" i="13"/>
  <c r="AO622" i="13"/>
  <c r="AO520" i="13"/>
  <c r="AO624" i="13"/>
  <c r="AO595" i="13"/>
  <c r="AO636" i="13"/>
  <c r="AO535" i="13"/>
  <c r="AO541" i="13"/>
  <c r="AO559" i="13"/>
  <c r="AO562" i="13"/>
  <c r="AO565" i="13"/>
  <c r="AO568" i="13"/>
  <c r="AO571" i="13"/>
  <c r="AO577" i="13"/>
  <c r="AO643" i="13"/>
  <c r="AO646" i="13"/>
  <c r="AO652" i="13"/>
  <c r="AO637" i="13"/>
  <c r="AO513" i="13"/>
  <c r="AO588" i="13"/>
  <c r="AO489" i="13"/>
  <c r="AO534" i="13"/>
  <c r="AO537" i="13"/>
  <c r="AO543" i="13"/>
  <c r="AO628" i="13"/>
  <c r="AO631" i="13"/>
  <c r="AO634" i="13"/>
  <c r="AO485" i="13"/>
  <c r="AO491" i="13"/>
  <c r="AO503" i="13"/>
  <c r="AO509" i="13"/>
  <c r="AO612" i="13"/>
  <c r="AO615" i="13"/>
  <c r="AO618" i="13"/>
  <c r="AO621" i="13"/>
  <c r="AO596" i="13"/>
  <c r="AO657" i="13"/>
  <c r="AO481" i="13"/>
  <c r="AO499" i="13"/>
  <c r="AO502" i="13"/>
  <c r="AO508" i="13"/>
  <c r="AO511" i="13"/>
  <c r="AO599" i="13"/>
  <c r="AO656" i="13"/>
  <c r="AO522" i="13"/>
  <c r="AO528" i="13"/>
  <c r="AO531" i="13"/>
  <c r="AO604" i="13"/>
  <c r="AO501" i="13"/>
  <c r="AO504" i="13"/>
  <c r="AO507" i="13"/>
  <c r="AO609" i="13"/>
  <c r="AO525" i="13"/>
  <c r="AO633" i="13"/>
  <c r="AO463" i="13"/>
  <c r="AO580" i="13"/>
  <c r="AO586" i="13"/>
  <c r="AO484" i="13"/>
  <c r="AO518" i="13"/>
  <c r="AO521" i="13"/>
  <c r="AO623" i="13"/>
  <c r="AO642" i="13"/>
  <c r="AO524" i="13"/>
  <c r="AO533" i="13"/>
  <c r="AO561" i="13"/>
  <c r="AO648" i="13"/>
  <c r="AO651" i="13"/>
  <c r="AO490" i="13"/>
  <c r="AO542" i="13"/>
  <c r="AO576" i="13"/>
  <c r="AO579" i="13"/>
  <c r="AO638" i="13"/>
  <c r="AO654" i="13"/>
  <c r="AO480" i="13"/>
  <c r="AO483" i="13"/>
  <c r="AO551" i="13"/>
  <c r="AO554" i="13"/>
  <c r="AO610" i="13"/>
  <c r="AO616" i="13"/>
  <c r="AO644" i="13"/>
  <c r="AO523" i="13"/>
  <c r="AO560" i="13"/>
  <c r="AO495" i="13"/>
  <c r="AO544" i="13"/>
  <c r="AO563" i="13"/>
  <c r="AO566" i="13"/>
  <c r="AO578" i="13"/>
  <c r="AO625" i="13"/>
  <c r="AO496" i="13"/>
  <c r="AO516" i="13"/>
  <c r="AO519" i="13"/>
  <c r="AO529" i="13"/>
  <c r="AO546" i="13"/>
  <c r="AO549" i="13"/>
  <c r="AO552" i="13"/>
  <c r="AO555" i="13"/>
  <c r="AO558" i="13"/>
  <c r="AO591" i="13"/>
  <c r="AO601" i="13"/>
  <c r="AO607" i="13"/>
  <c r="AO430" i="13"/>
  <c r="AO451" i="13"/>
  <c r="AO512" i="13"/>
  <c r="AO587" i="13"/>
  <c r="AO594" i="13"/>
  <c r="AO597" i="13"/>
  <c r="AO613" i="13"/>
  <c r="AO619" i="13"/>
  <c r="AO649" i="13"/>
  <c r="AO655" i="13"/>
  <c r="AO475" i="13"/>
  <c r="AO505" i="13"/>
  <c r="AO538" i="13"/>
  <c r="AO564" i="13"/>
  <c r="AO567" i="13"/>
  <c r="AO570" i="13"/>
  <c r="AO573" i="13"/>
  <c r="AO600" i="13"/>
  <c r="AO603" i="13"/>
  <c r="AO635" i="13"/>
  <c r="AO645" i="13"/>
  <c r="AO606" i="13"/>
  <c r="AO583" i="13"/>
  <c r="AO465" i="13"/>
  <c r="AO514" i="13"/>
  <c r="AO487" i="13"/>
  <c r="AO497" i="13"/>
  <c r="AO517" i="13"/>
  <c r="AO530" i="13"/>
  <c r="AO540" i="13"/>
  <c r="AO547" i="13"/>
  <c r="AO550" i="13"/>
  <c r="AO553" i="13"/>
  <c r="AO556" i="13"/>
  <c r="AO582" i="13"/>
  <c r="AO589" i="13"/>
  <c r="AO592" i="13"/>
  <c r="AO608" i="13"/>
  <c r="AO611" i="13"/>
  <c r="AO627" i="13"/>
  <c r="AO647" i="13"/>
  <c r="AO585" i="13"/>
  <c r="AO630" i="13"/>
  <c r="AO640" i="13"/>
  <c r="AO461" i="13"/>
  <c r="AO536" i="13"/>
  <c r="AO620" i="13"/>
  <c r="AO526" i="13"/>
  <c r="AO574" i="13"/>
  <c r="AO581" i="13"/>
  <c r="AO488" i="13"/>
  <c r="AO492" i="13"/>
  <c r="AO515" i="13"/>
  <c r="AO527" i="13"/>
  <c r="AO539" i="13"/>
  <c r="AO632" i="13"/>
  <c r="AO639" i="13"/>
  <c r="AO470" i="13"/>
  <c r="AO506" i="13"/>
  <c r="AO510" i="13"/>
  <c r="AO557" i="13"/>
  <c r="AO569" i="13"/>
  <c r="AO433" i="13"/>
  <c r="AO479" i="13"/>
  <c r="AO494" i="13"/>
  <c r="AO498" i="13"/>
  <c r="AO545" i="13"/>
  <c r="AO590" i="13"/>
  <c r="AO602" i="13"/>
  <c r="AO614" i="13"/>
  <c r="AO626" i="13"/>
  <c r="AO650" i="13"/>
  <c r="AO454" i="13"/>
  <c r="AO482" i="13"/>
  <c r="AO486" i="13"/>
  <c r="AO548" i="13"/>
  <c r="AO572" i="13"/>
  <c r="AO593" i="13"/>
  <c r="AO605" i="13"/>
  <c r="AO617" i="13"/>
  <c r="AO641" i="13"/>
  <c r="AO653" i="13"/>
  <c r="AO472" i="13"/>
  <c r="AO629" i="13"/>
  <c r="AO478" i="13"/>
  <c r="AO500" i="13"/>
  <c r="AO584" i="13"/>
  <c r="AO459" i="13"/>
  <c r="AO575" i="13"/>
  <c r="AO477" i="13"/>
  <c r="AO476" i="13"/>
  <c r="AO474" i="13"/>
  <c r="AO473" i="13"/>
  <c r="AO471" i="13"/>
  <c r="AO469" i="13"/>
  <c r="AO468" i="13"/>
  <c r="AO467" i="13"/>
  <c r="AO466" i="13"/>
  <c r="AO464" i="13"/>
  <c r="AO462" i="13"/>
  <c r="AO460" i="13"/>
  <c r="AO458" i="13"/>
  <c r="AO457" i="13"/>
  <c r="AO456" i="13"/>
  <c r="AO455" i="13"/>
  <c r="AO453" i="13"/>
  <c r="AO452" i="13"/>
  <c r="AO450" i="13"/>
  <c r="AO449" i="13"/>
  <c r="AO448" i="13"/>
  <c r="AO447" i="13"/>
  <c r="AO446" i="13"/>
  <c r="AO445" i="13"/>
  <c r="AO444" i="13"/>
  <c r="AO443" i="13"/>
  <c r="AO442" i="13"/>
  <c r="AO441" i="13"/>
  <c r="AO440" i="13"/>
  <c r="AO439" i="13"/>
  <c r="AO438" i="13"/>
  <c r="AO437" i="13"/>
  <c r="AO436" i="13"/>
  <c r="AO435" i="13"/>
  <c r="AO434" i="13"/>
  <c r="AO432" i="13"/>
  <c r="AO431" i="13"/>
  <c r="AG3" i="13"/>
  <c r="AG4" i="13"/>
  <c r="AG5" i="13"/>
  <c r="AG6" i="13"/>
  <c r="AG7" i="13"/>
  <c r="AG8" i="13"/>
  <c r="AG9" i="13"/>
  <c r="AG10" i="13"/>
  <c r="AG11" i="13"/>
  <c r="AG12" i="13"/>
  <c r="AG13" i="13"/>
  <c r="AG14" i="13"/>
  <c r="AG15" i="13"/>
  <c r="AG16" i="13"/>
  <c r="AG17" i="13"/>
  <c r="AG18" i="13"/>
  <c r="AG19" i="13"/>
  <c r="AG20" i="13"/>
  <c r="AG21" i="13"/>
  <c r="AG22" i="13"/>
  <c r="AG23" i="13"/>
  <c r="AG24" i="13"/>
  <c r="AG25" i="13"/>
  <c r="AG26" i="13"/>
  <c r="AG27" i="13"/>
  <c r="AG28" i="13"/>
  <c r="AG29" i="13"/>
  <c r="AG30" i="13"/>
  <c r="AG31" i="13"/>
  <c r="AG32" i="13"/>
  <c r="AG33" i="13"/>
  <c r="AG34" i="13"/>
  <c r="AG35" i="13"/>
  <c r="AG36" i="13"/>
  <c r="AG37" i="13"/>
  <c r="AG38" i="13"/>
  <c r="AG39" i="13"/>
  <c r="AG40" i="13"/>
  <c r="AG41" i="13"/>
  <c r="AG42" i="13"/>
  <c r="AG43" i="13"/>
  <c r="AG44" i="13"/>
  <c r="AG45" i="13"/>
  <c r="AG46" i="13"/>
  <c r="AG47" i="13"/>
  <c r="AG48" i="13"/>
  <c r="AG49" i="13"/>
  <c r="AG50" i="13"/>
  <c r="AG51" i="13"/>
  <c r="AG52" i="13"/>
  <c r="AG53" i="13"/>
  <c r="AG54" i="13"/>
  <c r="AG55" i="13"/>
  <c r="AG56" i="13"/>
  <c r="AG57" i="13"/>
  <c r="AG58" i="13"/>
  <c r="AG59" i="13"/>
  <c r="AG60" i="13"/>
  <c r="AG61" i="13"/>
  <c r="AG62" i="13"/>
  <c r="AG63" i="13"/>
  <c r="AG64" i="13"/>
  <c r="AG65" i="13"/>
  <c r="AG66" i="13"/>
  <c r="AG67" i="13"/>
  <c r="AG68" i="13"/>
  <c r="AG69" i="13"/>
  <c r="AG70" i="13"/>
  <c r="AG71" i="13"/>
  <c r="AG72" i="13"/>
  <c r="AG73" i="13"/>
  <c r="AG74" i="13"/>
  <c r="AG75" i="13"/>
  <c r="AG76" i="13"/>
  <c r="AG77" i="13"/>
  <c r="AG78" i="13"/>
  <c r="AG79" i="13"/>
  <c r="AG80" i="13"/>
  <c r="AG81" i="13"/>
  <c r="AG82" i="13"/>
  <c r="AG83" i="13"/>
  <c r="AG84" i="13"/>
  <c r="AG85" i="13"/>
  <c r="AG86" i="13"/>
  <c r="AG87" i="13"/>
  <c r="AG88" i="13"/>
  <c r="AG89" i="13"/>
  <c r="AG90" i="13"/>
  <c r="AG91" i="13"/>
  <c r="AG92" i="13"/>
  <c r="AG93" i="13"/>
  <c r="AG94" i="13"/>
  <c r="AG95" i="13"/>
  <c r="AG96" i="13"/>
  <c r="AG97" i="13"/>
  <c r="AG98" i="13"/>
  <c r="AG99" i="13"/>
  <c r="AG100" i="13"/>
  <c r="AG101" i="13"/>
  <c r="AG102" i="13"/>
  <c r="AG103" i="13"/>
  <c r="AG104" i="13"/>
  <c r="AG105" i="13"/>
  <c r="AG106" i="13"/>
  <c r="AG107" i="13"/>
  <c r="AG108" i="13"/>
  <c r="AG109" i="13"/>
  <c r="AG110" i="13"/>
  <c r="AG111" i="13"/>
  <c r="AG112" i="13"/>
  <c r="AG113" i="13"/>
  <c r="AG114" i="13"/>
  <c r="AG115" i="13"/>
  <c r="AG116" i="13"/>
  <c r="AG117" i="13"/>
  <c r="AG118" i="13"/>
  <c r="AG119" i="13"/>
  <c r="AG120" i="13"/>
  <c r="AG121" i="13"/>
  <c r="AG122" i="13"/>
  <c r="AG123" i="13"/>
  <c r="AG124" i="13"/>
  <c r="AG125" i="13"/>
  <c r="AG126" i="13"/>
  <c r="AG127" i="13"/>
  <c r="AG128" i="13"/>
  <c r="AG129" i="13"/>
  <c r="AG130" i="13"/>
  <c r="AG131" i="13"/>
  <c r="AG132" i="13"/>
  <c r="AG133" i="13"/>
  <c r="AG134" i="13"/>
  <c r="AG135" i="13"/>
  <c r="AG136" i="13"/>
  <c r="AG137" i="13"/>
  <c r="AG138" i="13"/>
  <c r="AG139" i="13"/>
  <c r="AG140" i="13"/>
  <c r="AG141" i="13"/>
  <c r="AG142" i="13"/>
  <c r="AG143" i="13"/>
  <c r="AG144" i="13"/>
  <c r="AG145" i="13"/>
  <c r="AG146" i="13"/>
  <c r="AG147" i="13"/>
  <c r="AG148" i="13"/>
  <c r="AG149" i="13"/>
  <c r="AG150" i="13"/>
  <c r="AG151" i="13"/>
  <c r="AG152" i="13"/>
  <c r="AG153" i="13"/>
  <c r="AG154" i="13"/>
  <c r="AG155" i="13"/>
  <c r="AG156" i="13"/>
  <c r="AG157" i="13"/>
  <c r="AG158" i="13"/>
  <c r="AG159" i="13"/>
  <c r="AG160" i="13"/>
  <c r="AG161" i="13"/>
  <c r="AG162" i="13"/>
  <c r="AG163" i="13"/>
  <c r="AG164" i="13"/>
  <c r="AG165" i="13"/>
  <c r="AG166" i="13"/>
  <c r="AG167" i="13"/>
  <c r="AG168" i="13"/>
  <c r="AG169" i="13"/>
  <c r="AG170" i="13"/>
  <c r="AG171" i="13"/>
  <c r="AG172" i="13"/>
  <c r="AG173" i="13"/>
  <c r="AG174" i="13"/>
  <c r="AG175" i="13"/>
  <c r="AG176" i="13"/>
  <c r="AG177" i="13"/>
  <c r="AG178" i="13"/>
  <c r="AG179" i="13"/>
  <c r="AG180" i="13"/>
  <c r="AG181" i="13"/>
  <c r="AG182" i="13"/>
  <c r="AG183" i="13"/>
  <c r="AG184" i="13"/>
  <c r="AG185" i="13"/>
  <c r="AG186" i="13"/>
  <c r="AG187" i="13"/>
  <c r="AG188" i="13"/>
  <c r="AG189" i="13"/>
  <c r="AG190" i="13"/>
  <c r="AG191" i="13"/>
  <c r="AG192" i="13"/>
  <c r="AG193" i="13"/>
  <c r="AG194" i="13"/>
  <c r="AG195" i="13"/>
  <c r="AG196" i="13"/>
  <c r="AG197" i="13"/>
  <c r="AG198" i="13"/>
  <c r="AG199" i="13"/>
  <c r="AG200" i="13"/>
  <c r="AG201" i="13"/>
  <c r="AG202" i="13"/>
  <c r="AG203" i="13"/>
  <c r="AG204" i="13"/>
  <c r="AG205" i="13"/>
  <c r="AG206" i="13"/>
  <c r="AG207" i="13"/>
  <c r="AG208" i="13"/>
  <c r="AG209" i="13"/>
  <c r="AG210" i="13"/>
  <c r="AG211" i="13"/>
  <c r="AG212" i="13"/>
  <c r="AG213" i="13"/>
  <c r="AG214" i="13"/>
  <c r="AG215" i="13"/>
  <c r="AG216" i="13"/>
  <c r="AG217" i="13"/>
  <c r="AG218" i="13"/>
  <c r="AG219" i="13"/>
  <c r="AG220" i="13"/>
  <c r="AG221" i="13"/>
  <c r="AG222" i="13"/>
  <c r="AG223" i="13"/>
  <c r="AG224" i="13"/>
  <c r="AG225" i="13"/>
  <c r="AG226" i="13"/>
  <c r="AG227" i="13"/>
  <c r="AG228" i="13"/>
  <c r="AG229" i="13"/>
  <c r="AG230" i="13"/>
  <c r="AG231" i="13"/>
  <c r="AG232" i="13"/>
  <c r="AG233" i="13"/>
  <c r="AG234" i="13"/>
  <c r="AG235" i="13"/>
  <c r="AG236" i="13"/>
  <c r="AG237" i="13"/>
  <c r="AG238" i="13"/>
  <c r="AG239" i="13"/>
  <c r="AG240" i="13"/>
  <c r="AG241" i="13"/>
  <c r="AG242" i="13"/>
  <c r="AG243" i="13"/>
  <c r="AG244" i="13"/>
  <c r="AG245" i="13"/>
  <c r="AG246" i="13"/>
  <c r="AG247" i="13"/>
  <c r="AG248" i="13"/>
  <c r="AG249" i="13"/>
  <c r="AG250" i="13"/>
  <c r="AG251" i="13"/>
  <c r="AG252" i="13"/>
  <c r="AG253" i="13"/>
  <c r="AG254" i="13"/>
  <c r="AG255" i="13"/>
  <c r="AG256" i="13"/>
  <c r="AG257" i="13"/>
  <c r="AG258" i="13"/>
  <c r="AG259" i="13"/>
  <c r="AG260" i="13"/>
  <c r="AG261" i="13"/>
  <c r="AG262" i="13"/>
  <c r="AG263" i="13"/>
  <c r="AG264" i="13"/>
  <c r="AG265" i="13"/>
  <c r="AG266" i="13"/>
  <c r="AG267" i="13"/>
  <c r="AG268" i="13"/>
  <c r="AG269" i="13"/>
  <c r="AG270" i="13"/>
  <c r="AG271" i="13"/>
  <c r="AG272" i="13"/>
  <c r="AG273" i="13"/>
  <c r="AG274" i="13"/>
  <c r="AG275" i="13"/>
  <c r="AG276" i="13"/>
  <c r="AG277" i="13"/>
  <c r="AG278" i="13"/>
  <c r="AG279" i="13"/>
  <c r="AG280" i="13"/>
  <c r="AG281" i="13"/>
  <c r="AG282" i="13"/>
  <c r="AG283" i="13"/>
  <c r="AG284" i="13"/>
  <c r="AG285" i="13"/>
  <c r="AG286" i="13"/>
  <c r="AG287" i="13"/>
  <c r="AG288" i="13"/>
  <c r="AG289" i="13"/>
  <c r="AG290" i="13"/>
  <c r="AG291" i="13"/>
  <c r="AG292" i="13"/>
  <c r="AG293" i="13"/>
  <c r="AG294" i="13"/>
  <c r="AG295" i="13"/>
  <c r="AG296" i="13"/>
  <c r="AG297" i="13"/>
  <c r="AG298" i="13"/>
  <c r="AG299" i="13"/>
  <c r="AG300" i="13"/>
  <c r="AG301" i="13"/>
  <c r="AG302" i="13"/>
  <c r="AG303" i="13"/>
  <c r="AG304" i="13"/>
  <c r="AG305" i="13"/>
  <c r="AG306" i="13"/>
  <c r="AG307" i="13"/>
  <c r="AG308" i="13"/>
  <c r="AG309" i="13"/>
  <c r="AG310" i="13"/>
  <c r="AG311" i="13"/>
  <c r="AG312" i="13"/>
  <c r="AG313" i="13"/>
  <c r="AG314" i="13"/>
  <c r="AG315" i="13"/>
  <c r="AG316" i="13"/>
  <c r="AG317" i="13"/>
  <c r="AG318" i="13"/>
  <c r="AG319" i="13"/>
  <c r="AG320" i="13"/>
  <c r="AG321" i="13"/>
  <c r="AG322" i="13"/>
  <c r="AG323" i="13"/>
  <c r="AG324" i="13"/>
  <c r="AG325" i="13"/>
  <c r="AG326" i="13"/>
  <c r="AG327" i="13"/>
  <c r="AG328" i="13"/>
  <c r="AG329" i="13"/>
  <c r="AG330" i="13"/>
  <c r="AG331" i="13"/>
  <c r="AG332" i="13"/>
  <c r="AG333" i="13"/>
  <c r="AG334" i="13"/>
  <c r="AG335" i="13"/>
  <c r="AG336" i="13"/>
  <c r="AG337" i="13"/>
  <c r="AG338" i="13"/>
  <c r="AG339" i="13"/>
  <c r="AG340" i="13"/>
  <c r="AG341" i="13"/>
  <c r="AG342" i="13"/>
  <c r="AG343" i="13"/>
  <c r="AG344" i="13"/>
  <c r="AG345" i="13"/>
  <c r="AG346" i="13"/>
  <c r="AG347" i="13"/>
  <c r="AG348" i="13"/>
  <c r="AG349" i="13"/>
  <c r="AG350" i="13"/>
  <c r="AG351" i="13"/>
  <c r="AG352" i="13"/>
  <c r="AG353" i="13"/>
  <c r="AG354" i="13"/>
  <c r="AG355" i="13"/>
  <c r="AG356" i="13"/>
  <c r="AG357" i="13"/>
  <c r="AG358" i="13"/>
  <c r="AG359" i="13"/>
  <c r="AG360" i="13"/>
  <c r="AG361" i="13"/>
  <c r="AG362" i="13"/>
  <c r="AG363" i="13"/>
  <c r="AG364" i="13"/>
  <c r="AG365" i="13"/>
  <c r="AG366" i="13"/>
  <c r="AG367" i="13"/>
  <c r="AG368" i="13"/>
  <c r="AG369" i="13"/>
  <c r="AG370" i="13"/>
  <c r="AG371" i="13"/>
  <c r="AG372" i="13"/>
  <c r="AG373" i="13"/>
  <c r="AG374" i="13"/>
  <c r="AG375" i="13"/>
  <c r="AG376" i="13"/>
  <c r="AG377" i="13"/>
  <c r="AG378" i="13"/>
  <c r="AG379" i="13"/>
  <c r="AG380" i="13"/>
  <c r="AG381" i="13"/>
  <c r="AG382" i="13"/>
  <c r="AG383" i="13"/>
  <c r="AG384" i="13"/>
  <c r="AG385" i="13"/>
  <c r="AG386" i="13"/>
  <c r="AG387" i="13"/>
  <c r="AG388" i="13"/>
  <c r="AG389" i="13"/>
  <c r="AG390" i="13"/>
  <c r="AG391" i="13"/>
  <c r="AG392" i="13"/>
  <c r="AG393" i="13"/>
  <c r="AG394" i="13"/>
  <c r="AG395" i="13"/>
  <c r="AG396" i="13"/>
  <c r="AG397" i="13"/>
  <c r="AG398" i="13"/>
  <c r="AG399" i="13"/>
  <c r="AG400" i="13"/>
  <c r="AG401" i="13"/>
  <c r="AG402" i="13"/>
  <c r="AG403" i="13"/>
  <c r="AG404" i="13"/>
  <c r="AG405" i="13"/>
  <c r="AG406" i="13"/>
  <c r="AG407" i="13"/>
  <c r="AG408" i="13"/>
  <c r="AG409" i="13"/>
  <c r="AG410" i="13"/>
  <c r="AG411" i="13"/>
  <c r="AG412" i="13"/>
  <c r="AG413" i="13"/>
  <c r="AG414" i="13"/>
  <c r="AG415" i="13"/>
  <c r="AG416" i="13"/>
  <c r="AG417" i="13"/>
  <c r="AG418" i="13"/>
  <c r="AG419" i="13"/>
  <c r="AG420" i="13"/>
  <c r="AG421" i="13"/>
  <c r="AG422" i="13"/>
  <c r="AG423" i="13"/>
  <c r="AG424" i="13"/>
  <c r="AG425" i="13"/>
  <c r="AG426" i="13"/>
  <c r="AG427" i="13"/>
  <c r="AG428" i="13"/>
  <c r="AG429" i="13"/>
  <c r="I406" i="13" a="1"/>
  <c r="I406" i="13" s="1"/>
  <c r="AR429" i="13"/>
  <c r="AN429" i="13" s="1"/>
  <c r="AQ429" i="13"/>
  <c r="AP429" i="13"/>
  <c r="AM429" i="13"/>
  <c r="AR428" i="13"/>
  <c r="AN428" i="13" s="1"/>
  <c r="AQ428" i="13"/>
  <c r="AP428" i="13"/>
  <c r="AM428" i="13"/>
  <c r="AR427" i="13"/>
  <c r="AN427" i="13" s="1"/>
  <c r="AQ427" i="13"/>
  <c r="AP427" i="13"/>
  <c r="AM427" i="13"/>
  <c r="AR426" i="13"/>
  <c r="AN426" i="13" s="1"/>
  <c r="AQ426" i="13"/>
  <c r="AP426" i="13"/>
  <c r="AM426" i="13"/>
  <c r="AR425" i="13"/>
  <c r="AN425" i="13" s="1"/>
  <c r="AQ425" i="13"/>
  <c r="AP425" i="13"/>
  <c r="AM425" i="13"/>
  <c r="AR424" i="13"/>
  <c r="AN424" i="13" s="1"/>
  <c r="AQ424" i="13"/>
  <c r="AP424" i="13"/>
  <c r="AM424" i="13"/>
  <c r="AR423" i="13"/>
  <c r="AN423" i="13" s="1"/>
  <c r="AQ423" i="13"/>
  <c r="AP423" i="13"/>
  <c r="AM423" i="13"/>
  <c r="AR422" i="13"/>
  <c r="AN422" i="13" s="1"/>
  <c r="AQ422" i="13"/>
  <c r="AP422" i="13"/>
  <c r="AM422" i="13"/>
  <c r="AR421" i="13"/>
  <c r="AN421" i="13" s="1"/>
  <c r="AQ421" i="13"/>
  <c r="AP421" i="13"/>
  <c r="AM421" i="13"/>
  <c r="AR420" i="13"/>
  <c r="AN420" i="13" s="1"/>
  <c r="AQ420" i="13"/>
  <c r="AP420" i="13"/>
  <c r="AM420" i="13"/>
  <c r="AR419" i="13"/>
  <c r="AN419" i="13" s="1"/>
  <c r="AQ419" i="13"/>
  <c r="AP419" i="13"/>
  <c r="AM419" i="13"/>
  <c r="AR418" i="13"/>
  <c r="AN418" i="13" s="1"/>
  <c r="AQ418" i="13"/>
  <c r="AP418" i="13"/>
  <c r="AM418" i="13"/>
  <c r="AR417" i="13"/>
  <c r="AN417" i="13" s="1"/>
  <c r="AQ417" i="13"/>
  <c r="AP417" i="13"/>
  <c r="AM417" i="13"/>
  <c r="AR416" i="13"/>
  <c r="AN416" i="13" s="1"/>
  <c r="AQ416" i="13"/>
  <c r="AP416" i="13"/>
  <c r="AM416" i="13"/>
  <c r="AR415" i="13"/>
  <c r="AN415" i="13" s="1"/>
  <c r="AQ415" i="13"/>
  <c r="AP415" i="13"/>
  <c r="AM415" i="13"/>
  <c r="AR414" i="13"/>
  <c r="AN414" i="13" s="1"/>
  <c r="AQ414" i="13"/>
  <c r="AP414" i="13"/>
  <c r="AM414" i="13"/>
  <c r="AR413" i="13"/>
  <c r="AN413" i="13" s="1"/>
  <c r="AQ413" i="13"/>
  <c r="AP413" i="13"/>
  <c r="AM413" i="13"/>
  <c r="AR412" i="13"/>
  <c r="AN412" i="13" s="1"/>
  <c r="AQ412" i="13"/>
  <c r="AP412" i="13"/>
  <c r="AM412" i="13"/>
  <c r="AR411" i="13"/>
  <c r="AN411" i="13" s="1"/>
  <c r="AQ411" i="13"/>
  <c r="AP411" i="13"/>
  <c r="AM411" i="13"/>
  <c r="AR410" i="13"/>
  <c r="AN410" i="13" s="1"/>
  <c r="AQ410" i="13"/>
  <c r="AP410" i="13"/>
  <c r="AM410" i="13"/>
  <c r="AR409" i="13"/>
  <c r="AN409" i="13" s="1"/>
  <c r="AQ409" i="13"/>
  <c r="AP409" i="13"/>
  <c r="AM409" i="13"/>
  <c r="AR408" i="13"/>
  <c r="AN408" i="13" s="1"/>
  <c r="AQ408" i="13"/>
  <c r="AP408" i="13"/>
  <c r="AM408" i="13"/>
  <c r="AR407" i="13"/>
  <c r="AN407" i="13" s="1"/>
  <c r="AQ407" i="13"/>
  <c r="AP407" i="13"/>
  <c r="AM407" i="13"/>
  <c r="AR406" i="13"/>
  <c r="AN406" i="13" s="1"/>
  <c r="AQ406" i="13"/>
  <c r="AP406" i="13"/>
  <c r="AM406" i="13"/>
  <c r="AR405" i="13"/>
  <c r="AN405" i="13" s="1"/>
  <c r="AQ405" i="13"/>
  <c r="AP405" i="13"/>
  <c r="AM405" i="13"/>
  <c r="AR404" i="13"/>
  <c r="AN404" i="13" s="1"/>
  <c r="AQ404" i="13"/>
  <c r="AP404" i="13"/>
  <c r="AM404" i="13"/>
  <c r="AR403" i="13"/>
  <c r="AN403" i="13" s="1"/>
  <c r="AQ403" i="13"/>
  <c r="AP403" i="13"/>
  <c r="AM403" i="13"/>
  <c r="AD429" i="13"/>
  <c r="AC429" i="13"/>
  <c r="AB429" i="13"/>
  <c r="AD428" i="13"/>
  <c r="AC428" i="13"/>
  <c r="AB428" i="13"/>
  <c r="AD427" i="13"/>
  <c r="AC427" i="13"/>
  <c r="AB427" i="13"/>
  <c r="AD426" i="13"/>
  <c r="AC426" i="13"/>
  <c r="AB426" i="13"/>
  <c r="AD425" i="13"/>
  <c r="AC425" i="13"/>
  <c r="AB425" i="13"/>
  <c r="AD424" i="13"/>
  <c r="AC424" i="13"/>
  <c r="AB424" i="13"/>
  <c r="AD423" i="13"/>
  <c r="AC423" i="13"/>
  <c r="AB423" i="13"/>
  <c r="AD422" i="13"/>
  <c r="AC422" i="13"/>
  <c r="AB422" i="13"/>
  <c r="AD421" i="13"/>
  <c r="AC421" i="13"/>
  <c r="AB421" i="13"/>
  <c r="AD420" i="13"/>
  <c r="AC420" i="13"/>
  <c r="AB420" i="13"/>
  <c r="AD419" i="13"/>
  <c r="AC419" i="13"/>
  <c r="AB419" i="13"/>
  <c r="AD418" i="13"/>
  <c r="AC418" i="13"/>
  <c r="AB418" i="13"/>
  <c r="AD417" i="13"/>
  <c r="AC417" i="13"/>
  <c r="AB417" i="13"/>
  <c r="AD416" i="13"/>
  <c r="AC416" i="13"/>
  <c r="AB416" i="13"/>
  <c r="AD415" i="13"/>
  <c r="AC415" i="13"/>
  <c r="AB415" i="13"/>
  <c r="AD414" i="13"/>
  <c r="AC414" i="13"/>
  <c r="AB414" i="13"/>
  <c r="AD413" i="13"/>
  <c r="AC413" i="13"/>
  <c r="AB413" i="13"/>
  <c r="AD412" i="13"/>
  <c r="AC412" i="13"/>
  <c r="AB412" i="13"/>
  <c r="AD411" i="13"/>
  <c r="AC411" i="13"/>
  <c r="AB411" i="13"/>
  <c r="AD410" i="13"/>
  <c r="AC410" i="13"/>
  <c r="AB410" i="13"/>
  <c r="AD409" i="13"/>
  <c r="AC409" i="13"/>
  <c r="AB409" i="13"/>
  <c r="AD408" i="13"/>
  <c r="AC408" i="13"/>
  <c r="AB408" i="13"/>
  <c r="AD407" i="13"/>
  <c r="AC407" i="13"/>
  <c r="AB407" i="13"/>
  <c r="AD406" i="13"/>
  <c r="AC406" i="13"/>
  <c r="AB406" i="13"/>
  <c r="AD405" i="13"/>
  <c r="AC405" i="13"/>
  <c r="AB405" i="13"/>
  <c r="AD404" i="13"/>
  <c r="AC404" i="13"/>
  <c r="AB404" i="13"/>
  <c r="AD403" i="13"/>
  <c r="AC403" i="13"/>
  <c r="AB403" i="13"/>
  <c r="Z403" i="13"/>
  <c r="Z404" i="13"/>
  <c r="Z405" i="13"/>
  <c r="Z406" i="13"/>
  <c r="Z407" i="13"/>
  <c r="Z408" i="13"/>
  <c r="Z409" i="13"/>
  <c r="Z410" i="13"/>
  <c r="Z411" i="13"/>
  <c r="Z412" i="13"/>
  <c r="Z413" i="13"/>
  <c r="Z414" i="13"/>
  <c r="Z415" i="13"/>
  <c r="Z416" i="13"/>
  <c r="Z417" i="13"/>
  <c r="Z418" i="13"/>
  <c r="Z419" i="13"/>
  <c r="Z420" i="13"/>
  <c r="Z421" i="13"/>
  <c r="Z422" i="13"/>
  <c r="Z423" i="13"/>
  <c r="Z424" i="13"/>
  <c r="Z402" i="13"/>
  <c r="AB402" i="13"/>
  <c r="AC402" i="13"/>
  <c r="AD402" i="13"/>
  <c r="V403" i="13"/>
  <c r="V404" i="13"/>
  <c r="V405" i="13"/>
  <c r="V406" i="13"/>
  <c r="V407" i="13"/>
  <c r="V408" i="13"/>
  <c r="V409" i="13"/>
  <c r="V410" i="13"/>
  <c r="V411" i="13"/>
  <c r="V412" i="13"/>
  <c r="V413" i="13"/>
  <c r="V414" i="13"/>
  <c r="V415" i="13"/>
  <c r="V416" i="13"/>
  <c r="V417" i="13"/>
  <c r="V418" i="13"/>
  <c r="V419" i="13"/>
  <c r="V420" i="13"/>
  <c r="V421" i="13"/>
  <c r="Q403" i="13"/>
  <c r="Q404" i="13"/>
  <c r="Q405" i="13"/>
  <c r="Q406" i="13"/>
  <c r="Q407" i="13"/>
  <c r="Q408" i="13"/>
  <c r="Q409" i="13"/>
  <c r="Q410" i="13"/>
  <c r="Q411" i="13"/>
  <c r="Q412" i="13"/>
  <c r="Q413" i="13"/>
  <c r="Q414" i="13"/>
  <c r="Q415" i="13"/>
  <c r="Q416" i="13"/>
  <c r="Q417" i="13"/>
  <c r="Q418" i="13"/>
  <c r="Q419" i="13"/>
  <c r="Q420" i="13"/>
  <c r="Q421" i="13"/>
  <c r="Q422" i="13"/>
  <c r="Q423" i="13"/>
  <c r="Q424" i="13"/>
  <c r="Q425" i="13"/>
  <c r="Q426" i="13"/>
  <c r="I405" i="13" a="1"/>
  <c r="I405" i="13" s="1"/>
  <c r="I404" i="13" a="1"/>
  <c r="I404" i="13" s="1"/>
  <c r="I403" i="13" a="1"/>
  <c r="I403" i="13" s="1"/>
  <c r="AC399" i="13"/>
  <c r="BT402" i="13"/>
  <c r="AR402" i="13"/>
  <c r="AN402" i="13" s="1"/>
  <c r="AQ402" i="13"/>
  <c r="AP402" i="13"/>
  <c r="AM402" i="13"/>
  <c r="V402" i="13"/>
  <c r="Q402" i="13"/>
  <c r="I402" i="13" a="1"/>
  <c r="I402" i="13" s="1"/>
  <c r="AR401" i="13"/>
  <c r="AN401" i="13" s="1"/>
  <c r="AQ401" i="13"/>
  <c r="AP401" i="13"/>
  <c r="AM401" i="13"/>
  <c r="AD401" i="13"/>
  <c r="AC401" i="13"/>
  <c r="AB401" i="13"/>
  <c r="Z401" i="13"/>
  <c r="V401" i="13"/>
  <c r="Q401" i="13"/>
  <c r="I401" i="13" a="1"/>
  <c r="I401" i="13" s="1"/>
  <c r="BT400" i="13"/>
  <c r="AR400" i="13"/>
  <c r="AN400" i="13" s="1"/>
  <c r="AQ400" i="13"/>
  <c r="AP400" i="13"/>
  <c r="AM400" i="13"/>
  <c r="AD400" i="13"/>
  <c r="AC400" i="13"/>
  <c r="AB400" i="13"/>
  <c r="Z400" i="13"/>
  <c r="V400" i="13"/>
  <c r="Q400" i="13"/>
  <c r="I400" i="13" a="1"/>
  <c r="I400" i="13" s="1"/>
  <c r="BT399" i="13"/>
  <c r="AR399" i="13"/>
  <c r="AN399" i="13" s="1"/>
  <c r="AQ399" i="13"/>
  <c r="AP399" i="13"/>
  <c r="AM399" i="13"/>
  <c r="AD399" i="13"/>
  <c r="AB399" i="13"/>
  <c r="Z399" i="13"/>
  <c r="V399" i="13"/>
  <c r="Q399" i="13"/>
  <c r="I399" i="13" a="1"/>
  <c r="I399" i="13" s="1"/>
  <c r="BT398" i="13"/>
  <c r="AR398" i="13"/>
  <c r="AN398" i="13" s="1"/>
  <c r="AQ398" i="13"/>
  <c r="AP398" i="13"/>
  <c r="AM398" i="13"/>
  <c r="AD398" i="13"/>
  <c r="AC398" i="13"/>
  <c r="AB398" i="13"/>
  <c r="Z398" i="13"/>
  <c r="V398" i="13"/>
  <c r="Q398" i="13"/>
  <c r="I398" i="13" a="1"/>
  <c r="I398" i="13" s="1"/>
  <c r="BT397" i="13"/>
  <c r="AR397" i="13"/>
  <c r="AN397" i="13" s="1"/>
  <c r="AQ397" i="13"/>
  <c r="AP397" i="13"/>
  <c r="AM397" i="13"/>
  <c r="AD397" i="13"/>
  <c r="AC397" i="13"/>
  <c r="AB397" i="13"/>
  <c r="Z397" i="13"/>
  <c r="V397" i="13"/>
  <c r="Q397" i="13"/>
  <c r="I397" i="13" a="1"/>
  <c r="I397" i="13" s="1"/>
  <c r="BT396" i="13"/>
  <c r="AR396" i="13"/>
  <c r="AN396" i="13" s="1"/>
  <c r="AQ396" i="13"/>
  <c r="AP396" i="13"/>
  <c r="AM396" i="13"/>
  <c r="AD396" i="13"/>
  <c r="AC396" i="13"/>
  <c r="AB396" i="13"/>
  <c r="Z396" i="13"/>
  <c r="V396" i="13"/>
  <c r="Q396" i="13"/>
  <c r="I396" i="13" a="1"/>
  <c r="I396" i="13" s="1"/>
  <c r="BT395" i="13"/>
  <c r="AR395" i="13"/>
  <c r="AN395" i="13" s="1"/>
  <c r="AQ395" i="13"/>
  <c r="AP395" i="13"/>
  <c r="AM395" i="13"/>
  <c r="AD395" i="13"/>
  <c r="AC395" i="13"/>
  <c r="AB395" i="13"/>
  <c r="Z395" i="13"/>
  <c r="V395" i="13"/>
  <c r="Q395" i="13"/>
  <c r="I395" i="13" a="1"/>
  <c r="I395" i="13" s="1"/>
  <c r="I394" i="13" a="1"/>
  <c r="I394" i="13" s="1"/>
  <c r="Q394" i="13"/>
  <c r="V394" i="13"/>
  <c r="Z394" i="13"/>
  <c r="AB394" i="13"/>
  <c r="AC394" i="13"/>
  <c r="AD394" i="13"/>
  <c r="AM394" i="13"/>
  <c r="AP394" i="13"/>
  <c r="AQ394" i="13"/>
  <c r="AR394" i="13"/>
  <c r="AN394" i="13" s="1"/>
  <c r="BT394" i="13"/>
  <c r="AB337" i="13"/>
  <c r="AC337" i="13"/>
  <c r="I5" i="11"/>
  <c r="I17" i="11"/>
  <c r="I18" i="11"/>
  <c r="I19" i="11"/>
  <c r="I20" i="11"/>
  <c r="I9" i="11"/>
  <c r="I10" i="11"/>
  <c r="I11" i="11"/>
  <c r="I13" i="11"/>
  <c r="I14" i="11"/>
  <c r="I15" i="11"/>
  <c r="I6" i="11"/>
  <c r="I12" i="11"/>
  <c r="I16" i="11"/>
  <c r="I7" i="11"/>
  <c r="I8" i="11"/>
  <c r="I4" i="11"/>
  <c r="I3" i="11"/>
  <c r="I2" i="11"/>
  <c r="W413" i="13" a="1"/>
  <c r="W405" i="13" a="1"/>
  <c r="W417" i="13" a="1"/>
  <c r="W421" i="13" a="1"/>
  <c r="W403" i="13" a="1"/>
  <c r="W404" i="13" a="1"/>
  <c r="W415" i="13" a="1"/>
  <c r="W409" i="13" a="1"/>
  <c r="W397" i="13" a="1"/>
  <c r="W419" i="13" a="1"/>
  <c r="W420" i="13" a="1"/>
  <c r="W402" i="13" a="1"/>
  <c r="W395" i="13" a="1"/>
  <c r="W396" i="13" a="1"/>
  <c r="W412" i="13" a="1"/>
  <c r="W414" i="13" a="1"/>
  <c r="W400" i="13" a="1"/>
  <c r="W407" i="13" a="1"/>
  <c r="W399" i="13" a="1"/>
  <c r="W416" i="13" a="1"/>
  <c r="W398" i="13" a="1"/>
  <c r="W411" i="13" a="1"/>
  <c r="W394" i="13" a="1"/>
  <c r="W410" i="13" a="1"/>
  <c r="W408" i="13" a="1"/>
  <c r="W418" i="13" a="1"/>
  <c r="W406" i="13" a="1"/>
  <c r="W401" i="13" a="1"/>
  <c r="AO404" i="13" l="1"/>
  <c r="AO407" i="13"/>
  <c r="AO410" i="13"/>
  <c r="AO413" i="13"/>
  <c r="AO416" i="13"/>
  <c r="AO419" i="13"/>
  <c r="AO422" i="13"/>
  <c r="AO425" i="13"/>
  <c r="AO428" i="13"/>
  <c r="AO408" i="13"/>
  <c r="AO411" i="13"/>
  <c r="AO414" i="13"/>
  <c r="AO417" i="13"/>
  <c r="AO420" i="13"/>
  <c r="AO423" i="13"/>
  <c r="AO426" i="13"/>
  <c r="AO403" i="13"/>
  <c r="AO409" i="13"/>
  <c r="AO412" i="13"/>
  <c r="AO415" i="13"/>
  <c r="AO418" i="13"/>
  <c r="AO421" i="13"/>
  <c r="AO424" i="13"/>
  <c r="AO427" i="13"/>
  <c r="AO429" i="13"/>
  <c r="AO405" i="13"/>
  <c r="AO406" i="13"/>
  <c r="W417" i="13"/>
  <c r="W416" i="13"/>
  <c r="W420" i="13"/>
  <c r="W408" i="13"/>
  <c r="W411" i="13"/>
  <c r="W410" i="13"/>
  <c r="W414" i="13"/>
  <c r="W419" i="13"/>
  <c r="W413" i="13"/>
  <c r="W407" i="13"/>
  <c r="W412" i="13"/>
  <c r="W418" i="13"/>
  <c r="W406" i="13"/>
  <c r="W405" i="13"/>
  <c r="W404" i="13"/>
  <c r="W421" i="13"/>
  <c r="W415" i="13"/>
  <c r="W409" i="13"/>
  <c r="W403" i="13"/>
  <c r="AO394" i="13"/>
  <c r="AO402" i="13"/>
  <c r="AO401" i="13"/>
  <c r="AO400" i="13"/>
  <c r="AO399" i="13"/>
  <c r="AO398" i="13"/>
  <c r="AO397" i="13"/>
  <c r="AO396" i="13"/>
  <c r="AO395" i="13"/>
  <c r="W402" i="13"/>
  <c r="W401" i="13"/>
  <c r="W400" i="13"/>
  <c r="W399" i="13"/>
  <c r="W398" i="13"/>
  <c r="W397" i="13"/>
  <c r="W396" i="13"/>
  <c r="W395" i="13"/>
  <c r="W394" i="13"/>
  <c r="AC267" i="13"/>
  <c r="AM9" i="13"/>
  <c r="AM111" i="13" l="1"/>
  <c r="AR52" i="13"/>
  <c r="AR53" i="13"/>
  <c r="AR54" i="13"/>
  <c r="AR55" i="13"/>
  <c r="AR56" i="13"/>
  <c r="AR57" i="13"/>
  <c r="AR58" i="13"/>
  <c r="AR59" i="13"/>
  <c r="AR60" i="13"/>
  <c r="AR61" i="13"/>
  <c r="AR62" i="13"/>
  <c r="AR63" i="13"/>
  <c r="AR64" i="13"/>
  <c r="AR65" i="13"/>
  <c r="AR66" i="13"/>
  <c r="AR67" i="13"/>
  <c r="AR68" i="13"/>
  <c r="AR69" i="13"/>
  <c r="AR70" i="13"/>
  <c r="AR71" i="13"/>
  <c r="AR72" i="13"/>
  <c r="AR73" i="13"/>
  <c r="AR74" i="13"/>
  <c r="AR75" i="13"/>
  <c r="AR76" i="13"/>
  <c r="AR77" i="13"/>
  <c r="AR78" i="13"/>
  <c r="AR79" i="13"/>
  <c r="AR80" i="13"/>
  <c r="AR81" i="13"/>
  <c r="AR82" i="13"/>
  <c r="AR83" i="13"/>
  <c r="AR84" i="13"/>
  <c r="AR85" i="13"/>
  <c r="AR86" i="13"/>
  <c r="AR87" i="13"/>
  <c r="AR88" i="13"/>
  <c r="AR89" i="13"/>
  <c r="AR90" i="13"/>
  <c r="AR91" i="13"/>
  <c r="AR92" i="13"/>
  <c r="AR93" i="13"/>
  <c r="AR94" i="13"/>
  <c r="AR95" i="13"/>
  <c r="AR96" i="13"/>
  <c r="AR97" i="13"/>
  <c r="AR98" i="13"/>
  <c r="AR99" i="13"/>
  <c r="AR100" i="13"/>
  <c r="AR101" i="13"/>
  <c r="AR102" i="13"/>
  <c r="AR103" i="13"/>
  <c r="AR104" i="13"/>
  <c r="AR105" i="13"/>
  <c r="AR106" i="13"/>
  <c r="AR107" i="13"/>
  <c r="AR108" i="13"/>
  <c r="AR109" i="13"/>
  <c r="AR110" i="13"/>
  <c r="AR111" i="13"/>
  <c r="AR112" i="13"/>
  <c r="AR113" i="13"/>
  <c r="AR114" i="13"/>
  <c r="AR115" i="13"/>
  <c r="AR116" i="13"/>
  <c r="AR117" i="13"/>
  <c r="AR118" i="13"/>
  <c r="AR119" i="13"/>
  <c r="AR120" i="13"/>
  <c r="AR121" i="13"/>
  <c r="AR122" i="13"/>
  <c r="AR123" i="13"/>
  <c r="AR124" i="13"/>
  <c r="AR125" i="13"/>
  <c r="AR126" i="13"/>
  <c r="AR127" i="13"/>
  <c r="AR128" i="13"/>
  <c r="AR129" i="13"/>
  <c r="AR130" i="13"/>
  <c r="AR131" i="13"/>
  <c r="AR132" i="13"/>
  <c r="AR133" i="13"/>
  <c r="AR134" i="13"/>
  <c r="AR135" i="13"/>
  <c r="AR136" i="13"/>
  <c r="AR137" i="13"/>
  <c r="AR138" i="13"/>
  <c r="AR139" i="13"/>
  <c r="AR140" i="13"/>
  <c r="AR141" i="13"/>
  <c r="AR142" i="13"/>
  <c r="AR143" i="13"/>
  <c r="AR144" i="13"/>
  <c r="AR145" i="13"/>
  <c r="AR146" i="13"/>
  <c r="AR147" i="13"/>
  <c r="AR148" i="13"/>
  <c r="AR149" i="13"/>
  <c r="AR150" i="13"/>
  <c r="AR151" i="13"/>
  <c r="AR152" i="13"/>
  <c r="AR153" i="13"/>
  <c r="AR154" i="13"/>
  <c r="AR155" i="13"/>
  <c r="AR156" i="13"/>
  <c r="AR157" i="13"/>
  <c r="AR158" i="13"/>
  <c r="AR159" i="13"/>
  <c r="AR160" i="13"/>
  <c r="AR161" i="13"/>
  <c r="AR162" i="13"/>
  <c r="AR163" i="13"/>
  <c r="AR164" i="13"/>
  <c r="AR165" i="13"/>
  <c r="AR166" i="13"/>
  <c r="AR167" i="13"/>
  <c r="AR168" i="13"/>
  <c r="AR169" i="13"/>
  <c r="AR170" i="13"/>
  <c r="AR171" i="13"/>
  <c r="AR172" i="13"/>
  <c r="AR173" i="13"/>
  <c r="AR174" i="13"/>
  <c r="AR175" i="13"/>
  <c r="AR176" i="13"/>
  <c r="AR177" i="13"/>
  <c r="AR178" i="13"/>
  <c r="AR179" i="13"/>
  <c r="AR180" i="13"/>
  <c r="AR181" i="13"/>
  <c r="AR182" i="13"/>
  <c r="AR183" i="13"/>
  <c r="AR184" i="13"/>
  <c r="AR185" i="13"/>
  <c r="AR186" i="13"/>
  <c r="AR187" i="13"/>
  <c r="AR188" i="13"/>
  <c r="AR189" i="13"/>
  <c r="AR190" i="13"/>
  <c r="AR191" i="13"/>
  <c r="AR192" i="13"/>
  <c r="AR193" i="13"/>
  <c r="AR194" i="13"/>
  <c r="AR195" i="13"/>
  <c r="AR196" i="13"/>
  <c r="AR197" i="13"/>
  <c r="AR198" i="13"/>
  <c r="AR199" i="13"/>
  <c r="AR200" i="13"/>
  <c r="AR201" i="13"/>
  <c r="AR202" i="13"/>
  <c r="AR203" i="13"/>
  <c r="AR204" i="13"/>
  <c r="AR205" i="13"/>
  <c r="AR206" i="13"/>
  <c r="AR207" i="13"/>
  <c r="AR208" i="13"/>
  <c r="AR209" i="13"/>
  <c r="AR210" i="13"/>
  <c r="AR211" i="13"/>
  <c r="AR212" i="13"/>
  <c r="AR213" i="13"/>
  <c r="AR214" i="13"/>
  <c r="AR215" i="13"/>
  <c r="AR216" i="13"/>
  <c r="AR217" i="13"/>
  <c r="AR218" i="13"/>
  <c r="AR219" i="13"/>
  <c r="AR220" i="13"/>
  <c r="AR221" i="13"/>
  <c r="AR222" i="13"/>
  <c r="AR223" i="13"/>
  <c r="AR224" i="13"/>
  <c r="AR225" i="13"/>
  <c r="AR226" i="13"/>
  <c r="AR227" i="13"/>
  <c r="AR228" i="13"/>
  <c r="AR229" i="13"/>
  <c r="AR230" i="13"/>
  <c r="AR231" i="13"/>
  <c r="AR232" i="13"/>
  <c r="AR233" i="13"/>
  <c r="AR234" i="13"/>
  <c r="AR235" i="13"/>
  <c r="AR236" i="13"/>
  <c r="AR237" i="13"/>
  <c r="AR238" i="13"/>
  <c r="AR239" i="13"/>
  <c r="AR240" i="13"/>
  <c r="AR241" i="13"/>
  <c r="AR242" i="13"/>
  <c r="AR243" i="13"/>
  <c r="AR244" i="13"/>
  <c r="AR245" i="13"/>
  <c r="AR246" i="13"/>
  <c r="AR247" i="13"/>
  <c r="AR248" i="13"/>
  <c r="AR249" i="13"/>
  <c r="AR250" i="13"/>
  <c r="AR251" i="13"/>
  <c r="AR252" i="13"/>
  <c r="AR253" i="13"/>
  <c r="AR254" i="13"/>
  <c r="AR255" i="13"/>
  <c r="AR256" i="13"/>
  <c r="AR257" i="13"/>
  <c r="AR258" i="13"/>
  <c r="AR259" i="13"/>
  <c r="AR260" i="13"/>
  <c r="AR261" i="13"/>
  <c r="AR262" i="13"/>
  <c r="AR263" i="13"/>
  <c r="AR264" i="13"/>
  <c r="AR265" i="13"/>
  <c r="AR266" i="13"/>
  <c r="AR267" i="13"/>
  <c r="AR268" i="13"/>
  <c r="AR269" i="13"/>
  <c r="AR270" i="13"/>
  <c r="AR271" i="13"/>
  <c r="AR272" i="13"/>
  <c r="AR273" i="13"/>
  <c r="AR274" i="13"/>
  <c r="AR275" i="13"/>
  <c r="AR276" i="13"/>
  <c r="AR277" i="13"/>
  <c r="AR278" i="13"/>
  <c r="AR279" i="13"/>
  <c r="AR280" i="13"/>
  <c r="AR281" i="13"/>
  <c r="AR282" i="13"/>
  <c r="AR283" i="13"/>
  <c r="AR284" i="13"/>
  <c r="AR285" i="13"/>
  <c r="AR286" i="13"/>
  <c r="AR287" i="13"/>
  <c r="AR288" i="13"/>
  <c r="AR289" i="13"/>
  <c r="AR290" i="13"/>
  <c r="AR291" i="13"/>
  <c r="AR292" i="13"/>
  <c r="AR293" i="13"/>
  <c r="AR294" i="13"/>
  <c r="AR295" i="13"/>
  <c r="AR296" i="13"/>
  <c r="AR297" i="13"/>
  <c r="AR298" i="13"/>
  <c r="AR299" i="13"/>
  <c r="AR300" i="13"/>
  <c r="AR301" i="13"/>
  <c r="AR302" i="13"/>
  <c r="AR303" i="13"/>
  <c r="AR304" i="13"/>
  <c r="AR305" i="13"/>
  <c r="AR306" i="13"/>
  <c r="AR307" i="13"/>
  <c r="AR308" i="13"/>
  <c r="AR309" i="13"/>
  <c r="AR310" i="13"/>
  <c r="AR311" i="13"/>
  <c r="AR312" i="13"/>
  <c r="AR313" i="13"/>
  <c r="AR314" i="13"/>
  <c r="AR315" i="13"/>
  <c r="AR316" i="13"/>
  <c r="AR317" i="13"/>
  <c r="AR318" i="13"/>
  <c r="AR319" i="13"/>
  <c r="AR320" i="13"/>
  <c r="AR321" i="13"/>
  <c r="AR322" i="13"/>
  <c r="AR323" i="13"/>
  <c r="AR324" i="13"/>
  <c r="AR325" i="13"/>
  <c r="AR326" i="13"/>
  <c r="AR327" i="13"/>
  <c r="AR328" i="13"/>
  <c r="AR329" i="13"/>
  <c r="AR330" i="13"/>
  <c r="AR331" i="13"/>
  <c r="AR332" i="13"/>
  <c r="AR333" i="13"/>
  <c r="AR334" i="13"/>
  <c r="AR335" i="13"/>
  <c r="AR336" i="13"/>
  <c r="AR337" i="13"/>
  <c r="AR338" i="13"/>
  <c r="AR339" i="13"/>
  <c r="AR340" i="13"/>
  <c r="AR341" i="13"/>
  <c r="AR342" i="13"/>
  <c r="AR343" i="13"/>
  <c r="AR344" i="13"/>
  <c r="AR345" i="13"/>
  <c r="AR346" i="13"/>
  <c r="AR347" i="13"/>
  <c r="AR348" i="13"/>
  <c r="AR349" i="13"/>
  <c r="AR350" i="13"/>
  <c r="AR351" i="13"/>
  <c r="AR352" i="13"/>
  <c r="AR353" i="13"/>
  <c r="AR354" i="13"/>
  <c r="AR355" i="13"/>
  <c r="AR356" i="13"/>
  <c r="AR357" i="13"/>
  <c r="AR358" i="13"/>
  <c r="AR359" i="13"/>
  <c r="AR360" i="13"/>
  <c r="AR361" i="13"/>
  <c r="AR362" i="13"/>
  <c r="AR363" i="13"/>
  <c r="AR364" i="13"/>
  <c r="AR365" i="13"/>
  <c r="AR366" i="13"/>
  <c r="AR367" i="13"/>
  <c r="AR368" i="13"/>
  <c r="AR369" i="13"/>
  <c r="AR370" i="13"/>
  <c r="AR371" i="13"/>
  <c r="AR372" i="13"/>
  <c r="AR373" i="13"/>
  <c r="AR374" i="13"/>
  <c r="AR375" i="13"/>
  <c r="AR376" i="13"/>
  <c r="AR377" i="13"/>
  <c r="AR378" i="13"/>
  <c r="AR379" i="13"/>
  <c r="AR380" i="13"/>
  <c r="AR381" i="13"/>
  <c r="AR382" i="13"/>
  <c r="AR383" i="13"/>
  <c r="AR384" i="13"/>
  <c r="AR385" i="13"/>
  <c r="AR386" i="13"/>
  <c r="AR387" i="13"/>
  <c r="AR388" i="13"/>
  <c r="AR389" i="13"/>
  <c r="AR390" i="13"/>
  <c r="AR391" i="13"/>
  <c r="AR392" i="13"/>
  <c r="AR393" i="13"/>
  <c r="AR2" i="13"/>
  <c r="AR3" i="13"/>
  <c r="AR4" i="13"/>
  <c r="AR5" i="13"/>
  <c r="AR6" i="13"/>
  <c r="AR7" i="13"/>
  <c r="AR8" i="13"/>
  <c r="AR9" i="13"/>
  <c r="AR10" i="13"/>
  <c r="AR11" i="13"/>
  <c r="AR12" i="13"/>
  <c r="AR13" i="13"/>
  <c r="AR14" i="13"/>
  <c r="AR15" i="13"/>
  <c r="AR16" i="13"/>
  <c r="AR17" i="13"/>
  <c r="AR18" i="13"/>
  <c r="AR19" i="13"/>
  <c r="AR20" i="13"/>
  <c r="AR21" i="13"/>
  <c r="AR22" i="13"/>
  <c r="AR23" i="13"/>
  <c r="AR24" i="13"/>
  <c r="AR25" i="13"/>
  <c r="AR26" i="13"/>
  <c r="AR27" i="13"/>
  <c r="AR28" i="13"/>
  <c r="AR29" i="13"/>
  <c r="AN29" i="13" s="1"/>
  <c r="AR30" i="13"/>
  <c r="AR31" i="13"/>
  <c r="AR32" i="13"/>
  <c r="AR33" i="13"/>
  <c r="AR34" i="13"/>
  <c r="AR35" i="13"/>
  <c r="AR36" i="13"/>
  <c r="AR37" i="13"/>
  <c r="AR38" i="13"/>
  <c r="AR39" i="13"/>
  <c r="AR40" i="13"/>
  <c r="AR41" i="13"/>
  <c r="AR42" i="13"/>
  <c r="AR43" i="13"/>
  <c r="AR44" i="13"/>
  <c r="AR45" i="13"/>
  <c r="AR46" i="13"/>
  <c r="AR47" i="13"/>
  <c r="AR48" i="13"/>
  <c r="AR49" i="13"/>
  <c r="AR50" i="13"/>
  <c r="AR51" i="13"/>
  <c r="Z307" i="13"/>
  <c r="X307" i="13"/>
  <c r="V307" i="13"/>
  <c r="I264" i="13" a="1"/>
  <c r="I264" i="13" s="1"/>
  <c r="AM256" i="13"/>
  <c r="AM257" i="13"/>
  <c r="AM258" i="13"/>
  <c r="AM259" i="13"/>
  <c r="AM260" i="13"/>
  <c r="AM261" i="13"/>
  <c r="AM262" i="13"/>
  <c r="AM263" i="13"/>
  <c r="AM264" i="13"/>
  <c r="AM265" i="13"/>
  <c r="AM266" i="13"/>
  <c r="AM267" i="13"/>
  <c r="AM268" i="13"/>
  <c r="AM269" i="13"/>
  <c r="AM270" i="13"/>
  <c r="AM271" i="13"/>
  <c r="AM272" i="13"/>
  <c r="AM273" i="13"/>
  <c r="AM274" i="13"/>
  <c r="AM275" i="13"/>
  <c r="AM276" i="13"/>
  <c r="AM277" i="13"/>
  <c r="AM278" i="13"/>
  <c r="AM279" i="13"/>
  <c r="AM280" i="13"/>
  <c r="AM281" i="13"/>
  <c r="AM282" i="13"/>
  <c r="AM283" i="13"/>
  <c r="AM284" i="13"/>
  <c r="AM285" i="13"/>
  <c r="AM286" i="13"/>
  <c r="AM287" i="13"/>
  <c r="AM288" i="13"/>
  <c r="AM289" i="13"/>
  <c r="AM290" i="13"/>
  <c r="AM291" i="13"/>
  <c r="AM292" i="13"/>
  <c r="AM293" i="13"/>
  <c r="AM294" i="13"/>
  <c r="AM295" i="13"/>
  <c r="AM296" i="13"/>
  <c r="AM297" i="13"/>
  <c r="AM298" i="13"/>
  <c r="AM299" i="13"/>
  <c r="AM300" i="13"/>
  <c r="AM301" i="13"/>
  <c r="AM302" i="13"/>
  <c r="AM303" i="13"/>
  <c r="AM304" i="13"/>
  <c r="AM305" i="13"/>
  <c r="AM306" i="13"/>
  <c r="AM307" i="13"/>
  <c r="AM308" i="13"/>
  <c r="AM309" i="13"/>
  <c r="AM310" i="13"/>
  <c r="AM311" i="13"/>
  <c r="AM312" i="13"/>
  <c r="AM313" i="13"/>
  <c r="AM314" i="13"/>
  <c r="AM315" i="13"/>
  <c r="AM316" i="13"/>
  <c r="AM317" i="13"/>
  <c r="AM318" i="13"/>
  <c r="AM319" i="13"/>
  <c r="AM320" i="13"/>
  <c r="AM321" i="13"/>
  <c r="AM322" i="13"/>
  <c r="AM323" i="13"/>
  <c r="AM324" i="13"/>
  <c r="AM325" i="13"/>
  <c r="AM326" i="13"/>
  <c r="AM327" i="13"/>
  <c r="AM328" i="13"/>
  <c r="AM329" i="13"/>
  <c r="AM330" i="13"/>
  <c r="AM331" i="13"/>
  <c r="AM332" i="13"/>
  <c r="AM333" i="13"/>
  <c r="AM334" i="13"/>
  <c r="AM335" i="13"/>
  <c r="AM336" i="13"/>
  <c r="AM337" i="13"/>
  <c r="AM338" i="13"/>
  <c r="AM339" i="13"/>
  <c r="AM340" i="13"/>
  <c r="AM341" i="13"/>
  <c r="AM342" i="13"/>
  <c r="AM343" i="13"/>
  <c r="AM344" i="13"/>
  <c r="AM345" i="13"/>
  <c r="AM346" i="13"/>
  <c r="AM347" i="13"/>
  <c r="AM348" i="13"/>
  <c r="AM349" i="13"/>
  <c r="AM350" i="13"/>
  <c r="AM351" i="13"/>
  <c r="AM352" i="13"/>
  <c r="AM353" i="13"/>
  <c r="AM354" i="13"/>
  <c r="AM355" i="13"/>
  <c r="AM356" i="13"/>
  <c r="AM357" i="13"/>
  <c r="AM358" i="13"/>
  <c r="AM359" i="13"/>
  <c r="AM360" i="13"/>
  <c r="AM361" i="13"/>
  <c r="AM362" i="13"/>
  <c r="AM363" i="13"/>
  <c r="AM364" i="13"/>
  <c r="AM365" i="13"/>
  <c r="AM366" i="13"/>
  <c r="AM367" i="13"/>
  <c r="AM368" i="13"/>
  <c r="AM369" i="13"/>
  <c r="AM370" i="13"/>
  <c r="AM371" i="13"/>
  <c r="AM372" i="13"/>
  <c r="AM373" i="13"/>
  <c r="AM374" i="13"/>
  <c r="AM375" i="13"/>
  <c r="AM376" i="13"/>
  <c r="AM377" i="13"/>
  <c r="AM378" i="13"/>
  <c r="AM379" i="13"/>
  <c r="AM380" i="13"/>
  <c r="AM381" i="13"/>
  <c r="AM382" i="13"/>
  <c r="AM383" i="13"/>
  <c r="AM384" i="13"/>
  <c r="AM385" i="13"/>
  <c r="AM386" i="13"/>
  <c r="AM387" i="13"/>
  <c r="AM388" i="13"/>
  <c r="AM389" i="13"/>
  <c r="AM390" i="13"/>
  <c r="AM391" i="13"/>
  <c r="AM392" i="13"/>
  <c r="AM393" i="13"/>
  <c r="AC264" i="13"/>
  <c r="AC265" i="13"/>
  <c r="AC266" i="13"/>
  <c r="AC268" i="13"/>
  <c r="AC269" i="13"/>
  <c r="AC270" i="13"/>
  <c r="AC271" i="13"/>
  <c r="AC272" i="13"/>
  <c r="AC273" i="13"/>
  <c r="AC274" i="13"/>
  <c r="AC275" i="13"/>
  <c r="AC276" i="13"/>
  <c r="AC277" i="13"/>
  <c r="AC278" i="13"/>
  <c r="AC279" i="13"/>
  <c r="AC280" i="13"/>
  <c r="AC281" i="13"/>
  <c r="AC282" i="13"/>
  <c r="AC283" i="13"/>
  <c r="AC284" i="13"/>
  <c r="AC285" i="13"/>
  <c r="AC286" i="13"/>
  <c r="AC287" i="13"/>
  <c r="AC288" i="13"/>
  <c r="AC289" i="13"/>
  <c r="AC290" i="13"/>
  <c r="AC291" i="13"/>
  <c r="AC292" i="13"/>
  <c r="AC293" i="13"/>
  <c r="AC294" i="13"/>
  <c r="AC295" i="13"/>
  <c r="AC296" i="13"/>
  <c r="AC297" i="13"/>
  <c r="AC298" i="13"/>
  <c r="AC299" i="13"/>
  <c r="AC300" i="13"/>
  <c r="AC301" i="13"/>
  <c r="AC302" i="13"/>
  <c r="AC303" i="13"/>
  <c r="AC304" i="13"/>
  <c r="AC305" i="13"/>
  <c r="AC306" i="13"/>
  <c r="AC307" i="13"/>
  <c r="AC308" i="13"/>
  <c r="AC309" i="13"/>
  <c r="AC310" i="13"/>
  <c r="AC311" i="13"/>
  <c r="AC312" i="13"/>
  <c r="AC313" i="13"/>
  <c r="AC314" i="13"/>
  <c r="AC315" i="13"/>
  <c r="AC316" i="13"/>
  <c r="AC317" i="13"/>
  <c r="AC318" i="13"/>
  <c r="AC319" i="13"/>
  <c r="AC320" i="13"/>
  <c r="AC321" i="13"/>
  <c r="AC322" i="13"/>
  <c r="AC323" i="13"/>
  <c r="AC324" i="13"/>
  <c r="AC325" i="13"/>
  <c r="AC326" i="13"/>
  <c r="AC327" i="13"/>
  <c r="AC328" i="13"/>
  <c r="AC329" i="13"/>
  <c r="AC330" i="13"/>
  <c r="AC331" i="13"/>
  <c r="AC332" i="13"/>
  <c r="AC333" i="13"/>
  <c r="AC334" i="13"/>
  <c r="AC335" i="13"/>
  <c r="AC336" i="13"/>
  <c r="AC338" i="13"/>
  <c r="AC339" i="13"/>
  <c r="AC340" i="13"/>
  <c r="AC341" i="13"/>
  <c r="AC342" i="13"/>
  <c r="AC343" i="13"/>
  <c r="AC344" i="13"/>
  <c r="AC345" i="13"/>
  <c r="AC346" i="13"/>
  <c r="AC347" i="13"/>
  <c r="AC348" i="13"/>
  <c r="AC349" i="13"/>
  <c r="AC350" i="13"/>
  <c r="AC351" i="13"/>
  <c r="AC352" i="13"/>
  <c r="AC353" i="13"/>
  <c r="AC354" i="13"/>
  <c r="AC355" i="13"/>
  <c r="AC356" i="13"/>
  <c r="AC357" i="13"/>
  <c r="AC358" i="13"/>
  <c r="AC359" i="13"/>
  <c r="AC360" i="13"/>
  <c r="AC361" i="13"/>
  <c r="AC362" i="13"/>
  <c r="AC363" i="13"/>
  <c r="AC364" i="13"/>
  <c r="AC365" i="13"/>
  <c r="AC366" i="13"/>
  <c r="AC367" i="13"/>
  <c r="AC368" i="13"/>
  <c r="AC369" i="13"/>
  <c r="AC370" i="13"/>
  <c r="AC371" i="13"/>
  <c r="AC372" i="13"/>
  <c r="AC373" i="13"/>
  <c r="AC374" i="13"/>
  <c r="AC375" i="13"/>
  <c r="AC376" i="13"/>
  <c r="AC377" i="13"/>
  <c r="AC378" i="13"/>
  <c r="AC379" i="13"/>
  <c r="AC380" i="13"/>
  <c r="AC381" i="13"/>
  <c r="AC382" i="13"/>
  <c r="AC383" i="13"/>
  <c r="AC384" i="13"/>
  <c r="AC385" i="13"/>
  <c r="AC386" i="13"/>
  <c r="AC387" i="13"/>
  <c r="AC388" i="13"/>
  <c r="AC389" i="13"/>
  <c r="AC390" i="13"/>
  <c r="AC391" i="13"/>
  <c r="AC392" i="13"/>
  <c r="AC393" i="13"/>
  <c r="AB264" i="13"/>
  <c r="AB265" i="13"/>
  <c r="AB266" i="13"/>
  <c r="AB267" i="13"/>
  <c r="AB268" i="13"/>
  <c r="AB269" i="13"/>
  <c r="AB270" i="13"/>
  <c r="AB271" i="13"/>
  <c r="AB272" i="13"/>
  <c r="AB273" i="13"/>
  <c r="AB274" i="13"/>
  <c r="AB275" i="13"/>
  <c r="AB276" i="13"/>
  <c r="AB277" i="13"/>
  <c r="AB278" i="13"/>
  <c r="AB279" i="13"/>
  <c r="AB280" i="13"/>
  <c r="AB281" i="13"/>
  <c r="AB282" i="13"/>
  <c r="AB283" i="13"/>
  <c r="AB284" i="13"/>
  <c r="AB285" i="13"/>
  <c r="AB286" i="13"/>
  <c r="AB287" i="13"/>
  <c r="AB288" i="13"/>
  <c r="AB289" i="13"/>
  <c r="AB290" i="13"/>
  <c r="AB291" i="13"/>
  <c r="AB292" i="13"/>
  <c r="AB293" i="13"/>
  <c r="AB294" i="13"/>
  <c r="AB295" i="13"/>
  <c r="AB296" i="13"/>
  <c r="AB297" i="13"/>
  <c r="AB298" i="13"/>
  <c r="AB299" i="13"/>
  <c r="AB300" i="13"/>
  <c r="AB301" i="13"/>
  <c r="AB302" i="13"/>
  <c r="AB303" i="13"/>
  <c r="AB304" i="13"/>
  <c r="AB305" i="13"/>
  <c r="AB306" i="13"/>
  <c r="AB307" i="13"/>
  <c r="AB308" i="13"/>
  <c r="AB309" i="13"/>
  <c r="AB310" i="13"/>
  <c r="AB311" i="13"/>
  <c r="AB312" i="13"/>
  <c r="AB313" i="13"/>
  <c r="AB314" i="13"/>
  <c r="AB315" i="13"/>
  <c r="AB316" i="13"/>
  <c r="AB317" i="13"/>
  <c r="AB318" i="13"/>
  <c r="AB319" i="13"/>
  <c r="AB320" i="13"/>
  <c r="AB321" i="13"/>
  <c r="AB322" i="13"/>
  <c r="AB323" i="13"/>
  <c r="AB324" i="13"/>
  <c r="AB325" i="13"/>
  <c r="AB326" i="13"/>
  <c r="AB327" i="13"/>
  <c r="AB328" i="13"/>
  <c r="AB329" i="13"/>
  <c r="AB330" i="13"/>
  <c r="AB331" i="13"/>
  <c r="AB332" i="13"/>
  <c r="AB333" i="13"/>
  <c r="AB334" i="13"/>
  <c r="AB335" i="13"/>
  <c r="AB336" i="13"/>
  <c r="AB338" i="13"/>
  <c r="AB339" i="13"/>
  <c r="AB340" i="13"/>
  <c r="AB341" i="13"/>
  <c r="AB342" i="13"/>
  <c r="AB343" i="13"/>
  <c r="AB344" i="13"/>
  <c r="AB345" i="13"/>
  <c r="AB346" i="13"/>
  <c r="AB347" i="13"/>
  <c r="AB348" i="13"/>
  <c r="AB349" i="13"/>
  <c r="AB350" i="13"/>
  <c r="AB351" i="13"/>
  <c r="AB352" i="13"/>
  <c r="AB353" i="13"/>
  <c r="AB354" i="13"/>
  <c r="AB355" i="13"/>
  <c r="AB356" i="13"/>
  <c r="AB357" i="13"/>
  <c r="AB358" i="13"/>
  <c r="AB359" i="13"/>
  <c r="AB360" i="13"/>
  <c r="AB361" i="13"/>
  <c r="AB362" i="13"/>
  <c r="AB363" i="13"/>
  <c r="AB364" i="13"/>
  <c r="AB365" i="13"/>
  <c r="AB366" i="13"/>
  <c r="AB367" i="13"/>
  <c r="AB368" i="13"/>
  <c r="AB369" i="13"/>
  <c r="AB370" i="13"/>
  <c r="AB371" i="13"/>
  <c r="AB372" i="13"/>
  <c r="AB373" i="13"/>
  <c r="AB374" i="13"/>
  <c r="AB375" i="13"/>
  <c r="AB376" i="13"/>
  <c r="AB377" i="13"/>
  <c r="AB378" i="13"/>
  <c r="AB379" i="13"/>
  <c r="AB380" i="13"/>
  <c r="AB381" i="13"/>
  <c r="AB382" i="13"/>
  <c r="AB383" i="13"/>
  <c r="AB384" i="13"/>
  <c r="AB385" i="13"/>
  <c r="AB386" i="13"/>
  <c r="AB387" i="13"/>
  <c r="AB388" i="13"/>
  <c r="AB389" i="13"/>
  <c r="AB390" i="13"/>
  <c r="AB391" i="13"/>
  <c r="AB392" i="13"/>
  <c r="AB393" i="13"/>
  <c r="K3" i="11"/>
  <c r="K15" i="11"/>
  <c r="K12" i="11"/>
  <c r="K10" i="11"/>
  <c r="K16" i="11"/>
  <c r="K9" i="11"/>
  <c r="K5" i="11"/>
  <c r="K4" i="11"/>
  <c r="K2" i="11"/>
  <c r="W307" i="13" a="1"/>
  <c r="W355" i="13" a="1"/>
  <c r="W355" i="13" l="1"/>
  <c r="W307" i="13"/>
  <c r="BT393" i="13"/>
  <c r="AN393" i="13"/>
  <c r="AQ393" i="13"/>
  <c r="AP393" i="13"/>
  <c r="AO393" i="13" s="1"/>
  <c r="AD393" i="13"/>
  <c r="Z393" i="13"/>
  <c r="V393" i="13"/>
  <c r="Q393" i="13"/>
  <c r="I393" i="13" a="1"/>
  <c r="I393" i="13" s="1"/>
  <c r="AN392" i="13"/>
  <c r="AQ392" i="13"/>
  <c r="AP392" i="13"/>
  <c r="AO392" i="13" s="1"/>
  <c r="AD392" i="13"/>
  <c r="Z392" i="13"/>
  <c r="V392" i="13"/>
  <c r="Q392" i="13"/>
  <c r="I392" i="13" a="1"/>
  <c r="I392" i="13" s="1"/>
  <c r="AN391" i="13"/>
  <c r="AQ391" i="13"/>
  <c r="AP391" i="13"/>
  <c r="AO391" i="13" s="1"/>
  <c r="AD391" i="13"/>
  <c r="Z391" i="13"/>
  <c r="V391" i="13"/>
  <c r="Q391" i="13"/>
  <c r="I391" i="13" a="1"/>
  <c r="I391" i="13" s="1"/>
  <c r="BT390" i="13"/>
  <c r="AN390" i="13"/>
  <c r="AQ390" i="13"/>
  <c r="AP390" i="13"/>
  <c r="AO390" i="13" s="1"/>
  <c r="AD390" i="13"/>
  <c r="Z390" i="13"/>
  <c r="V390" i="13"/>
  <c r="Q390" i="13"/>
  <c r="I390" i="13" a="1"/>
  <c r="I390" i="13" s="1"/>
  <c r="BT389" i="13"/>
  <c r="AN389" i="13"/>
  <c r="AQ389" i="13"/>
  <c r="AP389" i="13"/>
  <c r="AO389" i="13" s="1"/>
  <c r="AD389" i="13"/>
  <c r="Z389" i="13"/>
  <c r="V389" i="13"/>
  <c r="Q389" i="13"/>
  <c r="I389" i="13" a="1"/>
  <c r="I389" i="13" s="1"/>
  <c r="BT388" i="13"/>
  <c r="AN388" i="13"/>
  <c r="AQ388" i="13"/>
  <c r="AP388" i="13"/>
  <c r="AO388" i="13" s="1"/>
  <c r="AD388" i="13"/>
  <c r="Z388" i="13"/>
  <c r="V388" i="13"/>
  <c r="Q388" i="13"/>
  <c r="I388" i="13" a="1"/>
  <c r="I388" i="13" s="1"/>
  <c r="AN387" i="13"/>
  <c r="AQ387" i="13"/>
  <c r="AP387" i="13"/>
  <c r="AO387" i="13" s="1"/>
  <c r="AD387" i="13"/>
  <c r="Z387" i="13"/>
  <c r="V387" i="13"/>
  <c r="Q387" i="13"/>
  <c r="I387" i="13" a="1"/>
  <c r="I387" i="13" s="1"/>
  <c r="AN386" i="13"/>
  <c r="AQ386" i="13"/>
  <c r="AP386" i="13"/>
  <c r="AO386" i="13" s="1"/>
  <c r="AD386" i="13"/>
  <c r="Z386" i="13"/>
  <c r="V386" i="13"/>
  <c r="Q386" i="13"/>
  <c r="I386" i="13" a="1"/>
  <c r="I386" i="13" s="1"/>
  <c r="BT385" i="13"/>
  <c r="AN385" i="13"/>
  <c r="AQ385" i="13"/>
  <c r="AP385" i="13"/>
  <c r="AO385" i="13" s="1"/>
  <c r="AD385" i="13"/>
  <c r="Z385" i="13"/>
  <c r="V385" i="13"/>
  <c r="Q385" i="13"/>
  <c r="I385" i="13" a="1"/>
  <c r="I385" i="13" s="1"/>
  <c r="BT384" i="13"/>
  <c r="AN384" i="13"/>
  <c r="AQ384" i="13"/>
  <c r="AP384" i="13"/>
  <c r="AO384" i="13" s="1"/>
  <c r="AD384" i="13"/>
  <c r="Z384" i="13"/>
  <c r="V384" i="13"/>
  <c r="Q384" i="13"/>
  <c r="I384" i="13" a="1"/>
  <c r="I384" i="13" s="1"/>
  <c r="BT383" i="13"/>
  <c r="AN383" i="13"/>
  <c r="AQ383" i="13"/>
  <c r="AP383" i="13"/>
  <c r="AO383" i="13" s="1"/>
  <c r="AD383" i="13"/>
  <c r="Z383" i="13"/>
  <c r="V383" i="13"/>
  <c r="Q383" i="13"/>
  <c r="I383" i="13" a="1"/>
  <c r="I383" i="13" s="1"/>
  <c r="BT382" i="13"/>
  <c r="AN382" i="13"/>
  <c r="AQ382" i="13"/>
  <c r="AP382" i="13"/>
  <c r="AO382" i="13" s="1"/>
  <c r="AD382" i="13"/>
  <c r="Z382" i="13"/>
  <c r="V382" i="13"/>
  <c r="Q382" i="13"/>
  <c r="I382" i="13" a="1"/>
  <c r="I382" i="13" s="1"/>
  <c r="BT381" i="13"/>
  <c r="AN381" i="13"/>
  <c r="AQ381" i="13"/>
  <c r="AP381" i="13"/>
  <c r="AO381" i="13" s="1"/>
  <c r="AD381" i="13"/>
  <c r="Z381" i="13"/>
  <c r="V381" i="13"/>
  <c r="Q381" i="13"/>
  <c r="I381" i="13" a="1"/>
  <c r="I381" i="13" s="1"/>
  <c r="BT380" i="13"/>
  <c r="AN380" i="13"/>
  <c r="AQ380" i="13"/>
  <c r="AP380" i="13"/>
  <c r="AO380" i="13" s="1"/>
  <c r="AD380" i="13"/>
  <c r="Z380" i="13"/>
  <c r="V380" i="13"/>
  <c r="Q380" i="13"/>
  <c r="I380" i="13" a="1"/>
  <c r="I380" i="13" s="1"/>
  <c r="BT379" i="13"/>
  <c r="AN379" i="13"/>
  <c r="AQ379" i="13"/>
  <c r="AP379" i="13"/>
  <c r="AO379" i="13" s="1"/>
  <c r="AD379" i="13"/>
  <c r="Z379" i="13"/>
  <c r="V379" i="13"/>
  <c r="Q379" i="13"/>
  <c r="AN378" i="13"/>
  <c r="AQ378" i="13"/>
  <c r="AP378" i="13"/>
  <c r="AO378" i="13" s="1"/>
  <c r="AD378" i="13"/>
  <c r="Z378" i="13"/>
  <c r="V378" i="13"/>
  <c r="Q378" i="13"/>
  <c r="I378" i="13" a="1"/>
  <c r="I378" i="13" s="1"/>
  <c r="AN377" i="13"/>
  <c r="AQ377" i="13"/>
  <c r="AP377" i="13"/>
  <c r="AO377" i="13" s="1"/>
  <c r="AD377" i="13"/>
  <c r="Z377" i="13"/>
  <c r="V377" i="13"/>
  <c r="Q377" i="13"/>
  <c r="I377" i="13" a="1"/>
  <c r="I377" i="13" s="1"/>
  <c r="AN376" i="13"/>
  <c r="AQ376" i="13"/>
  <c r="AP376" i="13"/>
  <c r="AO376" i="13" s="1"/>
  <c r="AD376" i="13"/>
  <c r="Z376" i="13"/>
  <c r="V376" i="13"/>
  <c r="Q376" i="13"/>
  <c r="I376" i="13" a="1"/>
  <c r="I376" i="13" s="1"/>
  <c r="AN375" i="13"/>
  <c r="AQ375" i="13"/>
  <c r="AP375" i="13"/>
  <c r="AO375" i="13" s="1"/>
  <c r="AD375" i="13"/>
  <c r="Z375" i="13"/>
  <c r="V375" i="13"/>
  <c r="Q375" i="13"/>
  <c r="I375" i="13" a="1"/>
  <c r="I375" i="13" s="1"/>
  <c r="AN374" i="13"/>
  <c r="AQ374" i="13"/>
  <c r="AP374" i="13"/>
  <c r="AO374" i="13" s="1"/>
  <c r="AD374" i="13"/>
  <c r="Z374" i="13"/>
  <c r="V374" i="13"/>
  <c r="Q374" i="13"/>
  <c r="I374" i="13" a="1"/>
  <c r="I374" i="13" s="1"/>
  <c r="AN373" i="13"/>
  <c r="AQ373" i="13"/>
  <c r="AP373" i="13"/>
  <c r="AO373" i="13" s="1"/>
  <c r="AD373" i="13"/>
  <c r="Z373" i="13"/>
  <c r="V373" i="13"/>
  <c r="Q373" i="13"/>
  <c r="I373" i="13" a="1"/>
  <c r="I373" i="13" s="1"/>
  <c r="BT372" i="13"/>
  <c r="AN372" i="13"/>
  <c r="AQ372" i="13"/>
  <c r="AP372" i="13"/>
  <c r="AO372" i="13" s="1"/>
  <c r="AD372" i="13"/>
  <c r="Z372" i="13"/>
  <c r="X372" i="13"/>
  <c r="V372" i="13"/>
  <c r="Q372" i="13"/>
  <c r="I372" i="13" a="1"/>
  <c r="I372" i="13" s="1"/>
  <c r="AN371" i="13"/>
  <c r="AQ371" i="13"/>
  <c r="AP371" i="13"/>
  <c r="AO371" i="13" s="1"/>
  <c r="AD371" i="13"/>
  <c r="Z371" i="13"/>
  <c r="X371" i="13"/>
  <c r="V371" i="13"/>
  <c r="Q371" i="13"/>
  <c r="I371" i="13" a="1"/>
  <c r="I371" i="13" s="1"/>
  <c r="AN370" i="13"/>
  <c r="AQ370" i="13"/>
  <c r="AP370" i="13"/>
  <c r="AO370" i="13" s="1"/>
  <c r="AD370" i="13"/>
  <c r="Z370" i="13"/>
  <c r="X370" i="13"/>
  <c r="V370" i="13"/>
  <c r="Q370" i="13"/>
  <c r="I370" i="13" a="1"/>
  <c r="I370" i="13" s="1"/>
  <c r="BT369" i="13"/>
  <c r="AN369" i="13"/>
  <c r="AQ369" i="13"/>
  <c r="AP369" i="13"/>
  <c r="AO369" i="13" s="1"/>
  <c r="AD369" i="13"/>
  <c r="Z369" i="13"/>
  <c r="X369" i="13"/>
  <c r="V369" i="13"/>
  <c r="Q369" i="13"/>
  <c r="I369" i="13" a="1"/>
  <c r="I369" i="13" s="1"/>
  <c r="BT368" i="13"/>
  <c r="AN368" i="13"/>
  <c r="AQ368" i="13"/>
  <c r="AP368" i="13"/>
  <c r="AO368" i="13" s="1"/>
  <c r="AD368" i="13"/>
  <c r="Z368" i="13"/>
  <c r="X368" i="13"/>
  <c r="V368" i="13"/>
  <c r="Q368" i="13"/>
  <c r="I368" i="13" a="1"/>
  <c r="I368" i="13" s="1"/>
  <c r="AN367" i="13"/>
  <c r="AQ367" i="13"/>
  <c r="AP367" i="13"/>
  <c r="AO367" i="13" s="1"/>
  <c r="AD367" i="13"/>
  <c r="Z367" i="13"/>
  <c r="X367" i="13"/>
  <c r="V367" i="13"/>
  <c r="Q367" i="13"/>
  <c r="I367" i="13" a="1"/>
  <c r="I367" i="13" s="1"/>
  <c r="BT366" i="13"/>
  <c r="AN366" i="13"/>
  <c r="AQ366" i="13"/>
  <c r="AP366" i="13"/>
  <c r="AO366" i="13" s="1"/>
  <c r="AD366" i="13"/>
  <c r="Z366" i="13"/>
  <c r="X366" i="13"/>
  <c r="V366" i="13"/>
  <c r="Q366" i="13"/>
  <c r="I366" i="13" a="1"/>
  <c r="I366" i="13" s="1"/>
  <c r="BT365" i="13"/>
  <c r="AN365" i="13"/>
  <c r="AQ365" i="13"/>
  <c r="AP365" i="13"/>
  <c r="AO365" i="13" s="1"/>
  <c r="AD365" i="13"/>
  <c r="Z365" i="13"/>
  <c r="X365" i="13"/>
  <c r="V365" i="13"/>
  <c r="Q365" i="13"/>
  <c r="I365" i="13" a="1"/>
  <c r="I365" i="13" s="1"/>
  <c r="AN364" i="13"/>
  <c r="AQ364" i="13"/>
  <c r="AP364" i="13"/>
  <c r="AO364" i="13" s="1"/>
  <c r="AD364" i="13"/>
  <c r="Z364" i="13"/>
  <c r="X364" i="13"/>
  <c r="V364" i="13"/>
  <c r="Q364" i="13"/>
  <c r="I364" i="13" a="1"/>
  <c r="I364" i="13" s="1"/>
  <c r="AN363" i="13"/>
  <c r="AQ363" i="13"/>
  <c r="AP363" i="13"/>
  <c r="AO363" i="13" s="1"/>
  <c r="AD363" i="13"/>
  <c r="Z363" i="13"/>
  <c r="X363" i="13"/>
  <c r="V363" i="13"/>
  <c r="Q363" i="13"/>
  <c r="I363" i="13" a="1"/>
  <c r="I363" i="13" s="1"/>
  <c r="AN362" i="13"/>
  <c r="AQ362" i="13"/>
  <c r="AP362" i="13"/>
  <c r="AO362" i="13" s="1"/>
  <c r="AD362" i="13"/>
  <c r="Z362" i="13"/>
  <c r="X362" i="13"/>
  <c r="V362" i="13"/>
  <c r="Q362" i="13"/>
  <c r="I362" i="13" a="1"/>
  <c r="I362" i="13" s="1"/>
  <c r="AN361" i="13"/>
  <c r="AQ361" i="13"/>
  <c r="AP361" i="13"/>
  <c r="AO361" i="13" s="1"/>
  <c r="AD361" i="13"/>
  <c r="Z361" i="13"/>
  <c r="X361" i="13"/>
  <c r="V361" i="13"/>
  <c r="Q361" i="13"/>
  <c r="I361" i="13" a="1"/>
  <c r="I361" i="13" s="1"/>
  <c r="AN360" i="13"/>
  <c r="AQ360" i="13"/>
  <c r="AP360" i="13"/>
  <c r="AO360" i="13" s="1"/>
  <c r="AD360" i="13"/>
  <c r="Z360" i="13"/>
  <c r="X360" i="13"/>
  <c r="V360" i="13"/>
  <c r="Q360" i="13"/>
  <c r="I360" i="13" a="1"/>
  <c r="I360" i="13" s="1"/>
  <c r="AN359" i="13"/>
  <c r="AQ359" i="13"/>
  <c r="AP359" i="13"/>
  <c r="AO359" i="13" s="1"/>
  <c r="AD359" i="13"/>
  <c r="Z359" i="13"/>
  <c r="X359" i="13"/>
  <c r="V359" i="13"/>
  <c r="Q359" i="13"/>
  <c r="I359" i="13" a="1"/>
  <c r="I359" i="13" s="1"/>
  <c r="AN358" i="13"/>
  <c r="AQ358" i="13"/>
  <c r="AP358" i="13"/>
  <c r="AO358" i="13" s="1"/>
  <c r="AD358" i="13"/>
  <c r="Z358" i="13"/>
  <c r="X358" i="13"/>
  <c r="V358" i="13"/>
  <c r="Q358" i="13"/>
  <c r="I358" i="13" a="1"/>
  <c r="I358" i="13" s="1"/>
  <c r="AN357" i="13"/>
  <c r="AQ357" i="13"/>
  <c r="AP357" i="13"/>
  <c r="AO357" i="13" s="1"/>
  <c r="AD357" i="13"/>
  <c r="Z357" i="13"/>
  <c r="X357" i="13"/>
  <c r="V357" i="13"/>
  <c r="Q357" i="13"/>
  <c r="I357" i="13" a="1"/>
  <c r="I357" i="13" s="1"/>
  <c r="AN356" i="13"/>
  <c r="AQ356" i="13"/>
  <c r="AP356" i="13"/>
  <c r="AO356" i="13" s="1"/>
  <c r="AD356" i="13"/>
  <c r="Z356" i="13"/>
  <c r="X356" i="13"/>
  <c r="V356" i="13"/>
  <c r="Q356" i="13"/>
  <c r="I356" i="13" a="1"/>
  <c r="I356" i="13" s="1"/>
  <c r="AN355" i="13"/>
  <c r="AQ355" i="13"/>
  <c r="AP355" i="13"/>
  <c r="AO355" i="13" s="1"/>
  <c r="AD355" i="13"/>
  <c r="Z355" i="13"/>
  <c r="X355" i="13"/>
  <c r="V355" i="13"/>
  <c r="Q355" i="13"/>
  <c r="I355" i="13" a="1"/>
  <c r="I355" i="13" s="1"/>
  <c r="AN354" i="13"/>
  <c r="AQ354" i="13"/>
  <c r="AP354" i="13"/>
  <c r="AO354" i="13" s="1"/>
  <c r="AD354" i="13"/>
  <c r="Z354" i="13"/>
  <c r="X354" i="13"/>
  <c r="V354" i="13"/>
  <c r="Q354" i="13"/>
  <c r="I354" i="13" a="1"/>
  <c r="I354" i="13" s="1"/>
  <c r="AN353" i="13"/>
  <c r="AQ353" i="13"/>
  <c r="AP353" i="13"/>
  <c r="AO353" i="13" s="1"/>
  <c r="AD353" i="13"/>
  <c r="Z353" i="13"/>
  <c r="X353" i="13"/>
  <c r="V353" i="13"/>
  <c r="Q353" i="13"/>
  <c r="I353" i="13" a="1"/>
  <c r="I353" i="13" s="1"/>
  <c r="BT352" i="13"/>
  <c r="AN352" i="13"/>
  <c r="AQ352" i="13"/>
  <c r="AP352" i="13"/>
  <c r="AO352" i="13" s="1"/>
  <c r="AD352" i="13"/>
  <c r="Z352" i="13"/>
  <c r="X352" i="13"/>
  <c r="V352" i="13"/>
  <c r="Q352" i="13"/>
  <c r="I352" i="13" a="1"/>
  <c r="I352" i="13" s="1"/>
  <c r="AN351" i="13"/>
  <c r="AQ351" i="13"/>
  <c r="AP351" i="13"/>
  <c r="AO351" i="13" s="1"/>
  <c r="AD351" i="13"/>
  <c r="Z351" i="13"/>
  <c r="X351" i="13"/>
  <c r="V351" i="13"/>
  <c r="Q351" i="13"/>
  <c r="I351" i="13" a="1"/>
  <c r="I351" i="13" s="1"/>
  <c r="AN350" i="13"/>
  <c r="AQ350" i="13"/>
  <c r="AP350" i="13"/>
  <c r="AO350" i="13" s="1"/>
  <c r="AD350" i="13"/>
  <c r="Z350" i="13"/>
  <c r="X350" i="13"/>
  <c r="V350" i="13"/>
  <c r="Q350" i="13"/>
  <c r="I350" i="13" a="1"/>
  <c r="I350" i="13" s="1"/>
  <c r="BT349" i="13"/>
  <c r="AN349" i="13"/>
  <c r="AQ349" i="13"/>
  <c r="AP349" i="13"/>
  <c r="AO349" i="13" s="1"/>
  <c r="AD349" i="13"/>
  <c r="Z349" i="13"/>
  <c r="X349" i="13"/>
  <c r="V349" i="13"/>
  <c r="Q349" i="13"/>
  <c r="I349" i="13" a="1"/>
  <c r="I349" i="13" s="1"/>
  <c r="BT280" i="13"/>
  <c r="AN348" i="13"/>
  <c r="AQ348" i="13"/>
  <c r="AP348" i="13"/>
  <c r="AO348" i="13" s="1"/>
  <c r="AD348" i="13"/>
  <c r="Z348" i="13"/>
  <c r="X348" i="13"/>
  <c r="V348" i="13"/>
  <c r="Q348" i="13"/>
  <c r="I348" i="13" a="1"/>
  <c r="I348" i="13" s="1"/>
  <c r="AN347" i="13"/>
  <c r="AQ347" i="13"/>
  <c r="AP347" i="13"/>
  <c r="AO347" i="13" s="1"/>
  <c r="AD347" i="13"/>
  <c r="Z347" i="13"/>
  <c r="X347" i="13"/>
  <c r="V347" i="13"/>
  <c r="Q347" i="13"/>
  <c r="I347" i="13" a="1"/>
  <c r="I347" i="13" s="1"/>
  <c r="BT346" i="13"/>
  <c r="AN346" i="13"/>
  <c r="AQ346" i="13"/>
  <c r="AP346" i="13"/>
  <c r="AO346" i="13" s="1"/>
  <c r="AD346" i="13"/>
  <c r="Z346" i="13"/>
  <c r="X346" i="13"/>
  <c r="V346" i="13"/>
  <c r="Q346" i="13"/>
  <c r="I346" i="13" a="1"/>
  <c r="I346" i="13" s="1"/>
  <c r="BT345" i="13"/>
  <c r="AN345" i="13"/>
  <c r="AQ345" i="13"/>
  <c r="AP345" i="13"/>
  <c r="AO345" i="13" s="1"/>
  <c r="AD345" i="13"/>
  <c r="Z345" i="13"/>
  <c r="X345" i="13"/>
  <c r="V345" i="13"/>
  <c r="Q345" i="13"/>
  <c r="I345" i="13" a="1"/>
  <c r="I345" i="13" s="1"/>
  <c r="AN344" i="13"/>
  <c r="AQ344" i="13"/>
  <c r="AP344" i="13"/>
  <c r="AO344" i="13" s="1"/>
  <c r="AD344" i="13"/>
  <c r="Z344" i="13"/>
  <c r="X344" i="13"/>
  <c r="V344" i="13"/>
  <c r="Q344" i="13"/>
  <c r="I344" i="13" a="1"/>
  <c r="I344" i="13" s="1"/>
  <c r="AN343" i="13"/>
  <c r="AQ343" i="13"/>
  <c r="AP343" i="13"/>
  <c r="AO343" i="13" s="1"/>
  <c r="AD343" i="13"/>
  <c r="Z343" i="13"/>
  <c r="X343" i="13"/>
  <c r="V343" i="13"/>
  <c r="Q343" i="13"/>
  <c r="I343" i="13" a="1"/>
  <c r="I343" i="13" s="1"/>
  <c r="AN342" i="13"/>
  <c r="AQ342" i="13"/>
  <c r="AP342" i="13"/>
  <c r="AO342" i="13" s="1"/>
  <c r="AD342" i="13"/>
  <c r="Z342" i="13"/>
  <c r="X342" i="13"/>
  <c r="V342" i="13"/>
  <c r="Q342" i="13"/>
  <c r="I342" i="13" a="1"/>
  <c r="I342" i="13" s="1"/>
  <c r="BT341" i="13"/>
  <c r="AN341" i="13"/>
  <c r="AQ341" i="13"/>
  <c r="AP341" i="13"/>
  <c r="AO341" i="13" s="1"/>
  <c r="AD341" i="13"/>
  <c r="Z341" i="13"/>
  <c r="X341" i="13"/>
  <c r="V341" i="13"/>
  <c r="Q341" i="13"/>
  <c r="I341" i="13" a="1"/>
  <c r="I341" i="13" s="1"/>
  <c r="BT340" i="13"/>
  <c r="AN340" i="13"/>
  <c r="AQ340" i="13"/>
  <c r="AP340" i="13"/>
  <c r="AO340" i="13" s="1"/>
  <c r="AD340" i="13"/>
  <c r="Z340" i="13"/>
  <c r="X340" i="13"/>
  <c r="V340" i="13"/>
  <c r="Q340" i="13"/>
  <c r="I340" i="13" a="1"/>
  <c r="I340" i="13" s="1"/>
  <c r="BT339" i="13"/>
  <c r="AN339" i="13"/>
  <c r="AQ339" i="13"/>
  <c r="AP339" i="13"/>
  <c r="AO339" i="13" s="1"/>
  <c r="AD339" i="13"/>
  <c r="Z339" i="13"/>
  <c r="X339" i="13"/>
  <c r="V339" i="13"/>
  <c r="Q339" i="13"/>
  <c r="I339" i="13" a="1"/>
  <c r="I339" i="13" s="1"/>
  <c r="AN338" i="13"/>
  <c r="AQ338" i="13"/>
  <c r="AP338" i="13"/>
  <c r="AO338" i="13" s="1"/>
  <c r="AD338" i="13"/>
  <c r="Z338" i="13"/>
  <c r="X338" i="13"/>
  <c r="V338" i="13"/>
  <c r="Q338" i="13"/>
  <c r="I338" i="13" a="1"/>
  <c r="I338" i="13" s="1"/>
  <c r="BT337" i="13"/>
  <c r="AN337" i="13"/>
  <c r="AQ337" i="13"/>
  <c r="AP337" i="13"/>
  <c r="AO337" i="13" s="1"/>
  <c r="AD337" i="13"/>
  <c r="Z337" i="13"/>
  <c r="X337" i="13"/>
  <c r="V337" i="13"/>
  <c r="Q337" i="13"/>
  <c r="I337" i="13" a="1"/>
  <c r="I337" i="13" s="1"/>
  <c r="BT336" i="13"/>
  <c r="AN336" i="13"/>
  <c r="AQ336" i="13"/>
  <c r="AP336" i="13"/>
  <c r="AO336" i="13" s="1"/>
  <c r="AD336" i="13"/>
  <c r="Z336" i="13"/>
  <c r="X336" i="13"/>
  <c r="V336" i="13"/>
  <c r="Q336" i="13"/>
  <c r="I336" i="13" a="1"/>
  <c r="I336" i="13" s="1"/>
  <c r="BT335" i="13"/>
  <c r="AN335" i="13"/>
  <c r="AQ335" i="13"/>
  <c r="AP335" i="13"/>
  <c r="AO335" i="13" s="1"/>
  <c r="AD335" i="13"/>
  <c r="Z335" i="13"/>
  <c r="X335" i="13"/>
  <c r="V335" i="13"/>
  <c r="Q335" i="13"/>
  <c r="I335" i="13" a="1"/>
  <c r="I335" i="13" s="1"/>
  <c r="BT334" i="13"/>
  <c r="AN334" i="13"/>
  <c r="AQ334" i="13"/>
  <c r="AP334" i="13"/>
  <c r="AO334" i="13" s="1"/>
  <c r="AD334" i="13"/>
  <c r="Z334" i="13"/>
  <c r="X334" i="13"/>
  <c r="V334" i="13"/>
  <c r="Q334" i="13"/>
  <c r="I334" i="13" a="1"/>
  <c r="I334" i="13" s="1"/>
  <c r="BT333" i="13"/>
  <c r="AN333" i="13"/>
  <c r="AQ333" i="13"/>
  <c r="AP333" i="13"/>
  <c r="AO333" i="13" s="1"/>
  <c r="AD333" i="13"/>
  <c r="Z333" i="13"/>
  <c r="X333" i="13"/>
  <c r="V333" i="13"/>
  <c r="Q333" i="13"/>
  <c r="I333" i="13" a="1"/>
  <c r="I333" i="13" s="1"/>
  <c r="BT332" i="13"/>
  <c r="AN332" i="13"/>
  <c r="AQ332" i="13"/>
  <c r="AP332" i="13"/>
  <c r="AO332" i="13" s="1"/>
  <c r="AD332" i="13"/>
  <c r="Z332" i="13"/>
  <c r="X332" i="13"/>
  <c r="V332" i="13"/>
  <c r="Q332" i="13"/>
  <c r="I332" i="13" a="1"/>
  <c r="I332" i="13" s="1"/>
  <c r="BT331" i="13"/>
  <c r="AN331" i="13"/>
  <c r="AQ331" i="13"/>
  <c r="AP331" i="13"/>
  <c r="AO331" i="13" s="1"/>
  <c r="AD331" i="13"/>
  <c r="Z331" i="13"/>
  <c r="X331" i="13"/>
  <c r="V331" i="13"/>
  <c r="Q331" i="13"/>
  <c r="I331" i="13" a="1"/>
  <c r="I331" i="13" s="1"/>
  <c r="BT330" i="13"/>
  <c r="AN330" i="13"/>
  <c r="AQ330" i="13"/>
  <c r="AP330" i="13"/>
  <c r="AO330" i="13" s="1"/>
  <c r="AD330" i="13"/>
  <c r="Z330" i="13"/>
  <c r="X330" i="13"/>
  <c r="V330" i="13"/>
  <c r="Q330" i="13"/>
  <c r="I330" i="13" a="1"/>
  <c r="I330" i="13" s="1"/>
  <c r="BT329" i="13"/>
  <c r="AN329" i="13"/>
  <c r="AQ329" i="13"/>
  <c r="AP329" i="13"/>
  <c r="AO329" i="13" s="1"/>
  <c r="AD329" i="13"/>
  <c r="Z329" i="13"/>
  <c r="X329" i="13"/>
  <c r="V329" i="13"/>
  <c r="Q329" i="13"/>
  <c r="I329" i="13" a="1"/>
  <c r="I329" i="13" s="1"/>
  <c r="BT328" i="13"/>
  <c r="AN328" i="13"/>
  <c r="AQ328" i="13"/>
  <c r="AP328" i="13"/>
  <c r="AO328" i="13" s="1"/>
  <c r="AD328" i="13"/>
  <c r="Z328" i="13"/>
  <c r="X328" i="13"/>
  <c r="V328" i="13"/>
  <c r="Q328" i="13"/>
  <c r="I328" i="13" a="1"/>
  <c r="I328" i="13" s="1"/>
  <c r="BT327" i="13"/>
  <c r="AN327" i="13"/>
  <c r="AQ327" i="13"/>
  <c r="AP327" i="13"/>
  <c r="AO327" i="13" s="1"/>
  <c r="AD327" i="13"/>
  <c r="Z327" i="13"/>
  <c r="X327" i="13"/>
  <c r="V327" i="13"/>
  <c r="Q327" i="13"/>
  <c r="I327" i="13" a="1"/>
  <c r="I327" i="13" s="1"/>
  <c r="BT326" i="13"/>
  <c r="AN326" i="13"/>
  <c r="AQ326" i="13"/>
  <c r="AP326" i="13"/>
  <c r="AO326" i="13" s="1"/>
  <c r="AD326" i="13"/>
  <c r="Z326" i="13"/>
  <c r="X326" i="13"/>
  <c r="V326" i="13"/>
  <c r="Q326" i="13"/>
  <c r="I326" i="13" a="1"/>
  <c r="I326" i="13" s="1"/>
  <c r="BT246" i="13"/>
  <c r="AN325" i="13"/>
  <c r="AQ325" i="13"/>
  <c r="AP325" i="13"/>
  <c r="AO325" i="13" s="1"/>
  <c r="AD325" i="13"/>
  <c r="Z325" i="13"/>
  <c r="X325" i="13"/>
  <c r="V325" i="13"/>
  <c r="Q325" i="13"/>
  <c r="I325" i="13" a="1"/>
  <c r="I325" i="13" s="1"/>
  <c r="BT245" i="13"/>
  <c r="AN324" i="13"/>
  <c r="AQ324" i="13"/>
  <c r="AP324" i="13"/>
  <c r="AO324" i="13" s="1"/>
  <c r="AD324" i="13"/>
  <c r="Z324" i="13"/>
  <c r="X324" i="13"/>
  <c r="V324" i="13"/>
  <c r="Q324" i="13"/>
  <c r="I324" i="13" a="1"/>
  <c r="I324" i="13" s="1"/>
  <c r="BT230" i="13"/>
  <c r="AN323" i="13"/>
  <c r="AQ323" i="13"/>
  <c r="AP323" i="13"/>
  <c r="AO323" i="13" s="1"/>
  <c r="AD323" i="13"/>
  <c r="Z323" i="13"/>
  <c r="X323" i="13"/>
  <c r="V323" i="13"/>
  <c r="Q323" i="13"/>
  <c r="I323" i="13" a="1"/>
  <c r="I323" i="13" s="1"/>
  <c r="BT322" i="13"/>
  <c r="AN322" i="13"/>
  <c r="AQ322" i="13"/>
  <c r="AP322" i="13"/>
  <c r="AO322" i="13" s="1"/>
  <c r="AD322" i="13"/>
  <c r="Z322" i="13"/>
  <c r="X322" i="13"/>
  <c r="V322" i="13"/>
  <c r="Q322" i="13"/>
  <c r="I322" i="13" a="1"/>
  <c r="I322" i="13" s="1"/>
  <c r="BT321" i="13"/>
  <c r="AN321" i="13"/>
  <c r="AQ321" i="13"/>
  <c r="AP321" i="13"/>
  <c r="AO321" i="13" s="1"/>
  <c r="AD321" i="13"/>
  <c r="Z321" i="13"/>
  <c r="X321" i="13"/>
  <c r="V321" i="13"/>
  <c r="Q321" i="13"/>
  <c r="I321" i="13" a="1"/>
  <c r="I321" i="13" s="1"/>
  <c r="BT320" i="13"/>
  <c r="AN320" i="13"/>
  <c r="AQ320" i="13"/>
  <c r="AP320" i="13"/>
  <c r="AO320" i="13" s="1"/>
  <c r="AD320" i="13"/>
  <c r="Z320" i="13"/>
  <c r="X320" i="13"/>
  <c r="V320" i="13"/>
  <c r="Q320" i="13"/>
  <c r="I320" i="13" a="1"/>
  <c r="I320" i="13" s="1"/>
  <c r="BT319" i="13"/>
  <c r="AN319" i="13"/>
  <c r="AQ319" i="13"/>
  <c r="AP319" i="13"/>
  <c r="AO319" i="13" s="1"/>
  <c r="AD319" i="13"/>
  <c r="Z319" i="13"/>
  <c r="X319" i="13"/>
  <c r="V319" i="13"/>
  <c r="Q319" i="13"/>
  <c r="I319" i="13" a="1"/>
  <c r="I319" i="13" s="1"/>
  <c r="BT318" i="13"/>
  <c r="AN318" i="13"/>
  <c r="AQ318" i="13"/>
  <c r="AP318" i="13"/>
  <c r="AO318" i="13" s="1"/>
  <c r="AD318" i="13"/>
  <c r="Z318" i="13"/>
  <c r="X318" i="13"/>
  <c r="V318" i="13"/>
  <c r="Q318" i="13"/>
  <c r="I318" i="13" a="1"/>
  <c r="I318" i="13" s="1"/>
  <c r="BT317" i="13"/>
  <c r="AN317" i="13"/>
  <c r="AQ317" i="13"/>
  <c r="AP317" i="13"/>
  <c r="AO317" i="13" s="1"/>
  <c r="AD317" i="13"/>
  <c r="Z317" i="13"/>
  <c r="X317" i="13"/>
  <c r="V317" i="13"/>
  <c r="Q317" i="13"/>
  <c r="I317" i="13" a="1"/>
  <c r="I317" i="13" s="1"/>
  <c r="BT316" i="13"/>
  <c r="AN316" i="13"/>
  <c r="AQ316" i="13"/>
  <c r="AP316" i="13"/>
  <c r="AO316" i="13" s="1"/>
  <c r="AD316" i="13"/>
  <c r="Z316" i="13"/>
  <c r="X316" i="13"/>
  <c r="V316" i="13"/>
  <c r="Q316" i="13"/>
  <c r="I316" i="13" a="1"/>
  <c r="I316" i="13" s="1"/>
  <c r="BT315" i="13"/>
  <c r="AN315" i="13"/>
  <c r="AQ315" i="13"/>
  <c r="AP315" i="13"/>
  <c r="AO315" i="13" s="1"/>
  <c r="AD315" i="13"/>
  <c r="Z315" i="13"/>
  <c r="X315" i="13"/>
  <c r="V315" i="13"/>
  <c r="Q315" i="13"/>
  <c r="I315" i="13" a="1"/>
  <c r="I315" i="13" s="1"/>
  <c r="BT314" i="13"/>
  <c r="AN314" i="13"/>
  <c r="AQ314" i="13"/>
  <c r="AP314" i="13"/>
  <c r="AO314" i="13" s="1"/>
  <c r="AD314" i="13"/>
  <c r="Z314" i="13"/>
  <c r="X314" i="13"/>
  <c r="V314" i="13"/>
  <c r="Q314" i="13"/>
  <c r="I314" i="13" a="1"/>
  <c r="I314" i="13" s="1"/>
  <c r="BT313" i="13"/>
  <c r="AN313" i="13"/>
  <c r="AQ313" i="13"/>
  <c r="AP313" i="13"/>
  <c r="AO313" i="13" s="1"/>
  <c r="AD313" i="13"/>
  <c r="Z313" i="13"/>
  <c r="X313" i="13"/>
  <c r="V313" i="13"/>
  <c r="Q313" i="13"/>
  <c r="I313" i="13" a="1"/>
  <c r="I313" i="13" s="1"/>
  <c r="BT312" i="13"/>
  <c r="AN312" i="13"/>
  <c r="AQ312" i="13"/>
  <c r="AP312" i="13"/>
  <c r="AO312" i="13" s="1"/>
  <c r="AD312" i="13"/>
  <c r="Z312" i="13"/>
  <c r="X312" i="13"/>
  <c r="V312" i="13"/>
  <c r="Q312" i="13"/>
  <c r="I312" i="13" a="1"/>
  <c r="I312" i="13" s="1"/>
  <c r="BT311" i="13"/>
  <c r="AN311" i="13"/>
  <c r="AQ311" i="13"/>
  <c r="AP311" i="13"/>
  <c r="AO311" i="13" s="1"/>
  <c r="AD311" i="13"/>
  <c r="Z311" i="13"/>
  <c r="X311" i="13"/>
  <c r="V311" i="13"/>
  <c r="Q311" i="13"/>
  <c r="I311" i="13" a="1"/>
  <c r="I311" i="13" s="1"/>
  <c r="BT310" i="13"/>
  <c r="AN310" i="13"/>
  <c r="AQ310" i="13"/>
  <c r="AP310" i="13"/>
  <c r="AO310" i="13" s="1"/>
  <c r="AD310" i="13"/>
  <c r="Z310" i="13"/>
  <c r="X310" i="13"/>
  <c r="V310" i="13"/>
  <c r="Q310" i="13"/>
  <c r="I310" i="13" a="1"/>
  <c r="I310" i="13" s="1"/>
  <c r="BT309" i="13"/>
  <c r="AN309" i="13"/>
  <c r="AQ309" i="13"/>
  <c r="AP309" i="13"/>
  <c r="AO309" i="13" s="1"/>
  <c r="AD309" i="13"/>
  <c r="Z309" i="13"/>
  <c r="X309" i="13"/>
  <c r="V309" i="13"/>
  <c r="Q309" i="13"/>
  <c r="I309" i="13" a="1"/>
  <c r="I309" i="13" s="1"/>
  <c r="BT308" i="13"/>
  <c r="AN308" i="13"/>
  <c r="AQ308" i="13"/>
  <c r="AP308" i="13"/>
  <c r="AO308" i="13" s="1"/>
  <c r="AD308" i="13"/>
  <c r="Z308" i="13"/>
  <c r="X308" i="13"/>
  <c r="V308" i="13"/>
  <c r="Q308" i="13"/>
  <c r="I308" i="13" a="1"/>
  <c r="I308" i="13" s="1"/>
  <c r="BT307" i="13"/>
  <c r="AN307" i="13"/>
  <c r="AQ307" i="13"/>
  <c r="AP307" i="13"/>
  <c r="AO307" i="13" s="1"/>
  <c r="AD307" i="13"/>
  <c r="Q307" i="13"/>
  <c r="I307" i="13" a="1"/>
  <c r="I307" i="13" s="1"/>
  <c r="BT306" i="13"/>
  <c r="AN306" i="13"/>
  <c r="AQ306" i="13"/>
  <c r="AP306" i="13"/>
  <c r="AO306" i="13" s="1"/>
  <c r="AD306" i="13"/>
  <c r="Z306" i="13"/>
  <c r="X306" i="13"/>
  <c r="V306" i="13"/>
  <c r="Q306" i="13"/>
  <c r="I306" i="13" a="1"/>
  <c r="I306" i="13" s="1"/>
  <c r="BT305" i="13"/>
  <c r="AN305" i="13"/>
  <c r="AQ305" i="13"/>
  <c r="AP305" i="13"/>
  <c r="AO305" i="13" s="1"/>
  <c r="AD305" i="13"/>
  <c r="Z305" i="13"/>
  <c r="X305" i="13"/>
  <c r="V305" i="13"/>
  <c r="Q305" i="13"/>
  <c r="I305" i="13" a="1"/>
  <c r="I305" i="13" s="1"/>
  <c r="BT304" i="13"/>
  <c r="AN304" i="13"/>
  <c r="AQ304" i="13"/>
  <c r="AP304" i="13"/>
  <c r="AO304" i="13" s="1"/>
  <c r="AD304" i="13"/>
  <c r="Z304" i="13"/>
  <c r="X304" i="13"/>
  <c r="V304" i="13"/>
  <c r="Q304" i="13"/>
  <c r="I304" i="13" a="1"/>
  <c r="I304" i="13" s="1"/>
  <c r="BT303" i="13"/>
  <c r="AN303" i="13"/>
  <c r="AQ303" i="13"/>
  <c r="AP303" i="13"/>
  <c r="AO303" i="13" s="1"/>
  <c r="AD303" i="13"/>
  <c r="Z303" i="13"/>
  <c r="X303" i="13"/>
  <c r="V303" i="13"/>
  <c r="Q303" i="13"/>
  <c r="I303" i="13" a="1"/>
  <c r="I303" i="13" s="1"/>
  <c r="BT302" i="13"/>
  <c r="AN302" i="13"/>
  <c r="AQ302" i="13"/>
  <c r="AP302" i="13"/>
  <c r="AO302" i="13" s="1"/>
  <c r="AD302" i="13"/>
  <c r="Z302" i="13"/>
  <c r="X302" i="13"/>
  <c r="V302" i="13"/>
  <c r="Q302" i="13"/>
  <c r="I302" i="13" a="1"/>
  <c r="I302" i="13" s="1"/>
  <c r="BT301" i="13"/>
  <c r="AN301" i="13"/>
  <c r="AQ301" i="13"/>
  <c r="AP301" i="13"/>
  <c r="AO301" i="13" s="1"/>
  <c r="AD301" i="13"/>
  <c r="Z301" i="13"/>
  <c r="X301" i="13"/>
  <c r="V301" i="13"/>
  <c r="Q301" i="13"/>
  <c r="I301" i="13" a="1"/>
  <c r="I301" i="13" s="1"/>
  <c r="BT300" i="13"/>
  <c r="AN300" i="13"/>
  <c r="AQ300" i="13"/>
  <c r="AP300" i="13"/>
  <c r="AO300" i="13" s="1"/>
  <c r="AD300" i="13"/>
  <c r="Z300" i="13"/>
  <c r="X300" i="13"/>
  <c r="V300" i="13"/>
  <c r="Q300" i="13"/>
  <c r="I300" i="13" a="1"/>
  <c r="I300" i="13" s="1"/>
  <c r="BT299" i="13"/>
  <c r="AN299" i="13"/>
  <c r="AQ299" i="13"/>
  <c r="AP299" i="13"/>
  <c r="AO299" i="13" s="1"/>
  <c r="AD299" i="13"/>
  <c r="Z299" i="13"/>
  <c r="X299" i="13"/>
  <c r="V299" i="13"/>
  <c r="Q299" i="13"/>
  <c r="I299" i="13" a="1"/>
  <c r="I299" i="13" s="1"/>
  <c r="BT298" i="13"/>
  <c r="AN298" i="13"/>
  <c r="AQ298" i="13"/>
  <c r="AP298" i="13"/>
  <c r="AO298" i="13" s="1"/>
  <c r="AD298" i="13"/>
  <c r="Z298" i="13"/>
  <c r="X298" i="13"/>
  <c r="V298" i="13"/>
  <c r="Q298" i="13"/>
  <c r="I298" i="13" a="1"/>
  <c r="I298" i="13" s="1"/>
  <c r="BT297" i="13"/>
  <c r="AN297" i="13"/>
  <c r="AQ297" i="13"/>
  <c r="AP297" i="13"/>
  <c r="AO297" i="13" s="1"/>
  <c r="AD297" i="13"/>
  <c r="Z297" i="13"/>
  <c r="X297" i="13"/>
  <c r="V297" i="13"/>
  <c r="Q297" i="13"/>
  <c r="I297" i="13" a="1"/>
  <c r="I297" i="13" s="1"/>
  <c r="BT296" i="13"/>
  <c r="AN296" i="13"/>
  <c r="AQ296" i="13"/>
  <c r="AP296" i="13"/>
  <c r="AO296" i="13" s="1"/>
  <c r="AD296" i="13"/>
  <c r="Z296" i="13"/>
  <c r="X296" i="13"/>
  <c r="V296" i="13"/>
  <c r="Q296" i="13"/>
  <c r="I296" i="13" a="1"/>
  <c r="I296" i="13" s="1"/>
  <c r="BT295" i="13"/>
  <c r="AN295" i="13"/>
  <c r="AQ295" i="13"/>
  <c r="AP295" i="13"/>
  <c r="AO295" i="13" s="1"/>
  <c r="AD295" i="13"/>
  <c r="Z295" i="13"/>
  <c r="X295" i="13"/>
  <c r="V295" i="13"/>
  <c r="Q295" i="13"/>
  <c r="I295" i="13" a="1"/>
  <c r="I295" i="13" s="1"/>
  <c r="BT294" i="13"/>
  <c r="AN294" i="13"/>
  <c r="AQ294" i="13"/>
  <c r="AP294" i="13"/>
  <c r="AO294" i="13" s="1"/>
  <c r="AD294" i="13"/>
  <c r="Z294" i="13"/>
  <c r="X294" i="13"/>
  <c r="V294" i="13"/>
  <c r="Q294" i="13"/>
  <c r="I294" i="13" a="1"/>
  <c r="I294" i="13" s="1"/>
  <c r="BT293" i="13"/>
  <c r="AN293" i="13"/>
  <c r="AQ293" i="13"/>
  <c r="AP293" i="13"/>
  <c r="AO293" i="13" s="1"/>
  <c r="AD293" i="13"/>
  <c r="Z293" i="13"/>
  <c r="X293" i="13"/>
  <c r="V293" i="13"/>
  <c r="Q293" i="13"/>
  <c r="I293" i="13" a="1"/>
  <c r="I293" i="13" s="1"/>
  <c r="BT292" i="13"/>
  <c r="AN292" i="13"/>
  <c r="AQ292" i="13"/>
  <c r="AP292" i="13"/>
  <c r="AO292" i="13" s="1"/>
  <c r="AD292" i="13"/>
  <c r="Z292" i="13"/>
  <c r="X292" i="13"/>
  <c r="V292" i="13"/>
  <c r="Q292" i="13"/>
  <c r="I292" i="13" a="1"/>
  <c r="I292" i="13" s="1"/>
  <c r="BT291" i="13"/>
  <c r="AN291" i="13"/>
  <c r="AQ291" i="13"/>
  <c r="AP291" i="13"/>
  <c r="AO291" i="13" s="1"/>
  <c r="AD291" i="13"/>
  <c r="Z291" i="13"/>
  <c r="X291" i="13"/>
  <c r="V291" i="13"/>
  <c r="Q291" i="13"/>
  <c r="I291" i="13" a="1"/>
  <c r="I291" i="13" s="1"/>
  <c r="BT290" i="13"/>
  <c r="AN290" i="13"/>
  <c r="AQ290" i="13"/>
  <c r="AP290" i="13"/>
  <c r="AO290" i="13" s="1"/>
  <c r="AD290" i="13"/>
  <c r="Z290" i="13"/>
  <c r="X290" i="13"/>
  <c r="V290" i="13"/>
  <c r="Q290" i="13"/>
  <c r="I290" i="13" a="1"/>
  <c r="I290" i="13" s="1"/>
  <c r="BT289" i="13"/>
  <c r="AN289" i="13"/>
  <c r="AQ289" i="13"/>
  <c r="AP289" i="13"/>
  <c r="AO289" i="13" s="1"/>
  <c r="AD289" i="13"/>
  <c r="Z289" i="13"/>
  <c r="X289" i="13"/>
  <c r="V289" i="13"/>
  <c r="Q289" i="13"/>
  <c r="I289" i="13" a="1"/>
  <c r="I289" i="13" s="1"/>
  <c r="BT288" i="13"/>
  <c r="AN288" i="13"/>
  <c r="AQ288" i="13"/>
  <c r="AP288" i="13"/>
  <c r="AO288" i="13" s="1"/>
  <c r="AD288" i="13"/>
  <c r="Z288" i="13"/>
  <c r="X288" i="13"/>
  <c r="V288" i="13"/>
  <c r="Q288" i="13"/>
  <c r="I288" i="13" a="1"/>
  <c r="I288" i="13" s="1"/>
  <c r="BT287" i="13"/>
  <c r="AN287" i="13"/>
  <c r="AQ287" i="13"/>
  <c r="AP287" i="13"/>
  <c r="AO287" i="13" s="1"/>
  <c r="AD287" i="13"/>
  <c r="Z287" i="13"/>
  <c r="X287" i="13"/>
  <c r="V287" i="13"/>
  <c r="Q287" i="13"/>
  <c r="I287" i="13" a="1"/>
  <c r="I287" i="13" s="1"/>
  <c r="BT286" i="13"/>
  <c r="AN286" i="13"/>
  <c r="AQ286" i="13"/>
  <c r="AP286" i="13"/>
  <c r="AO286" i="13" s="1"/>
  <c r="AD286" i="13"/>
  <c r="Z286" i="13"/>
  <c r="X286" i="13"/>
  <c r="V286" i="13"/>
  <c r="Q286" i="13"/>
  <c r="I286" i="13" a="1"/>
  <c r="I286" i="13" s="1"/>
  <c r="BT285" i="13"/>
  <c r="AN285" i="13"/>
  <c r="AQ285" i="13"/>
  <c r="AP285" i="13"/>
  <c r="AO285" i="13" s="1"/>
  <c r="AD285" i="13"/>
  <c r="Z285" i="13"/>
  <c r="X285" i="13"/>
  <c r="V285" i="13"/>
  <c r="Q285" i="13"/>
  <c r="I285" i="13" a="1"/>
  <c r="I285" i="13" s="1"/>
  <c r="BT284" i="13"/>
  <c r="AN284" i="13"/>
  <c r="AQ284" i="13"/>
  <c r="AP284" i="13"/>
  <c r="AO284" i="13" s="1"/>
  <c r="AD284" i="13"/>
  <c r="Z284" i="13"/>
  <c r="X284" i="13"/>
  <c r="V284" i="13"/>
  <c r="Q284" i="13"/>
  <c r="I284" i="13" a="1"/>
  <c r="I284" i="13" s="1"/>
  <c r="BT283" i="13"/>
  <c r="AN283" i="13"/>
  <c r="AQ283" i="13"/>
  <c r="AP283" i="13"/>
  <c r="AO283" i="13" s="1"/>
  <c r="AD283" i="13"/>
  <c r="Z283" i="13"/>
  <c r="X283" i="13"/>
  <c r="V283" i="13"/>
  <c r="Q283" i="13"/>
  <c r="I283" i="13" a="1"/>
  <c r="I283" i="13" s="1"/>
  <c r="BT282" i="13"/>
  <c r="AN282" i="13"/>
  <c r="AQ282" i="13"/>
  <c r="AP282" i="13"/>
  <c r="AO282" i="13" s="1"/>
  <c r="AD282" i="13"/>
  <c r="Z282" i="13"/>
  <c r="X282" i="13"/>
  <c r="V282" i="13"/>
  <c r="Q282" i="13"/>
  <c r="I282" i="13" a="1"/>
  <c r="I282" i="13" s="1"/>
  <c r="BT281" i="13"/>
  <c r="AN281" i="13"/>
  <c r="AQ281" i="13"/>
  <c r="AP281" i="13"/>
  <c r="AO281" i="13" s="1"/>
  <c r="AD281" i="13"/>
  <c r="Z281" i="13"/>
  <c r="X281" i="13"/>
  <c r="V281" i="13"/>
  <c r="Q281" i="13"/>
  <c r="I281" i="13" a="1"/>
  <c r="I281" i="13" s="1"/>
  <c r="BT338" i="13"/>
  <c r="AN280" i="13"/>
  <c r="AQ280" i="13"/>
  <c r="AP280" i="13"/>
  <c r="AO280" i="13" s="1"/>
  <c r="AD280" i="13"/>
  <c r="Z280" i="13"/>
  <c r="X280" i="13"/>
  <c r="V280" i="13"/>
  <c r="Q280" i="13"/>
  <c r="I280" i="13" a="1"/>
  <c r="I280" i="13" s="1"/>
  <c r="BT279" i="13"/>
  <c r="AN279" i="13"/>
  <c r="AQ279" i="13"/>
  <c r="AP279" i="13"/>
  <c r="AO279" i="13" s="1"/>
  <c r="AD279" i="13"/>
  <c r="Z279" i="13"/>
  <c r="X279" i="13"/>
  <c r="V279" i="13"/>
  <c r="Q279" i="13"/>
  <c r="I279" i="13" a="1"/>
  <c r="I279" i="13" s="1"/>
  <c r="BT217" i="13"/>
  <c r="AN278" i="13"/>
  <c r="AQ278" i="13"/>
  <c r="AP278" i="13"/>
  <c r="AO278" i="13" s="1"/>
  <c r="AD278" i="13"/>
  <c r="Z278" i="13"/>
  <c r="X278" i="13"/>
  <c r="V278" i="13"/>
  <c r="Q278" i="13"/>
  <c r="I278" i="13" a="1"/>
  <c r="I278" i="13" s="1"/>
  <c r="BT277" i="13"/>
  <c r="AN277" i="13"/>
  <c r="AQ277" i="13"/>
  <c r="AP277" i="13"/>
  <c r="AO277" i="13" s="1"/>
  <c r="AD277" i="13"/>
  <c r="Z277" i="13"/>
  <c r="X277" i="13"/>
  <c r="V277" i="13"/>
  <c r="Q277" i="13"/>
  <c r="I277" i="13" a="1"/>
  <c r="I277" i="13" s="1"/>
  <c r="BT276" i="13"/>
  <c r="AN276" i="13"/>
  <c r="AQ276" i="13"/>
  <c r="AP276" i="13"/>
  <c r="AO276" i="13" s="1"/>
  <c r="AD276" i="13"/>
  <c r="Z276" i="13"/>
  <c r="X276" i="13"/>
  <c r="V276" i="13"/>
  <c r="Q276" i="13"/>
  <c r="I276" i="13" a="1"/>
  <c r="I276" i="13" s="1"/>
  <c r="BT275" i="13"/>
  <c r="AN275" i="13"/>
  <c r="AQ275" i="13"/>
  <c r="AP275" i="13"/>
  <c r="AO275" i="13" s="1"/>
  <c r="AD275" i="13"/>
  <c r="Z275" i="13"/>
  <c r="X275" i="13"/>
  <c r="V275" i="13"/>
  <c r="Q275" i="13"/>
  <c r="I275" i="13" a="1"/>
  <c r="I275" i="13" s="1"/>
  <c r="BT274" i="13"/>
  <c r="AN274" i="13"/>
  <c r="AQ274" i="13"/>
  <c r="AP274" i="13"/>
  <c r="AO274" i="13" s="1"/>
  <c r="AD274" i="13"/>
  <c r="Z274" i="13"/>
  <c r="X274" i="13"/>
  <c r="V274" i="13"/>
  <c r="Q274" i="13"/>
  <c r="I274" i="13" a="1"/>
  <c r="I274" i="13" s="1"/>
  <c r="BT273" i="13"/>
  <c r="AN273" i="13"/>
  <c r="AQ273" i="13"/>
  <c r="AP273" i="13"/>
  <c r="AO273" i="13" s="1"/>
  <c r="AD273" i="13"/>
  <c r="Z273" i="13"/>
  <c r="X273" i="13"/>
  <c r="V273" i="13"/>
  <c r="Q273" i="13"/>
  <c r="I273" i="13" a="1"/>
  <c r="I273" i="13" s="1"/>
  <c r="BT272" i="13"/>
  <c r="AN272" i="13"/>
  <c r="AQ272" i="13"/>
  <c r="AP272" i="13"/>
  <c r="AO272" i="13" s="1"/>
  <c r="AD272" i="13"/>
  <c r="Z272" i="13"/>
  <c r="X272" i="13"/>
  <c r="V272" i="13"/>
  <c r="Q272" i="13"/>
  <c r="I272" i="13" a="1"/>
  <c r="I272" i="13" s="1"/>
  <c r="BT271" i="13"/>
  <c r="AN271" i="13"/>
  <c r="AQ271" i="13"/>
  <c r="AP271" i="13"/>
  <c r="AO271" i="13" s="1"/>
  <c r="AD271" i="13"/>
  <c r="Z271" i="13"/>
  <c r="X271" i="13"/>
  <c r="V271" i="13"/>
  <c r="Q271" i="13"/>
  <c r="I271" i="13" a="1"/>
  <c r="I271" i="13" s="1"/>
  <c r="BT270" i="13"/>
  <c r="AN270" i="13"/>
  <c r="AQ270" i="13"/>
  <c r="AP270" i="13"/>
  <c r="AO270" i="13" s="1"/>
  <c r="AD270" i="13"/>
  <c r="Z270" i="13"/>
  <c r="X270" i="13"/>
  <c r="V270" i="13"/>
  <c r="Q270" i="13"/>
  <c r="I270" i="13" a="1"/>
  <c r="I270" i="13" s="1"/>
  <c r="BT269" i="13"/>
  <c r="AN269" i="13"/>
  <c r="AQ269" i="13"/>
  <c r="AP269" i="13"/>
  <c r="AO269" i="13" s="1"/>
  <c r="AD269" i="13"/>
  <c r="Z269" i="13"/>
  <c r="X269" i="13"/>
  <c r="V269" i="13"/>
  <c r="Q269" i="13"/>
  <c r="I269" i="13" a="1"/>
  <c r="I269" i="13" s="1"/>
  <c r="BT268" i="13"/>
  <c r="AN268" i="13"/>
  <c r="AQ268" i="13"/>
  <c r="AP268" i="13"/>
  <c r="AO268" i="13" s="1"/>
  <c r="AD268" i="13"/>
  <c r="Z268" i="13"/>
  <c r="X268" i="13"/>
  <c r="V268" i="13"/>
  <c r="Q268" i="13"/>
  <c r="I268" i="13" a="1"/>
  <c r="I268" i="13" s="1"/>
  <c r="BT267" i="13"/>
  <c r="AN267" i="13"/>
  <c r="AQ267" i="13"/>
  <c r="AP267" i="13"/>
  <c r="AO267" i="13" s="1"/>
  <c r="AD267" i="13"/>
  <c r="Z267" i="13"/>
  <c r="X267" i="13"/>
  <c r="V267" i="13"/>
  <c r="Q267" i="13"/>
  <c r="I267" i="13" a="1"/>
  <c r="I267" i="13" s="1"/>
  <c r="AB61" i="13"/>
  <c r="AC61" i="13"/>
  <c r="AD61" i="13"/>
  <c r="W359" i="13" a="1"/>
  <c r="W370" i="13" a="1"/>
  <c r="W290" i="13" a="1"/>
  <c r="W321" i="13" a="1"/>
  <c r="W391" i="13" a="1"/>
  <c r="W372" i="13" a="1"/>
  <c r="W393" i="13" a="1"/>
  <c r="W315" i="13" a="1"/>
  <c r="W284" i="13" a="1"/>
  <c r="W383" i="13" a="1"/>
  <c r="W318" i="13" a="1"/>
  <c r="W278" i="13" a="1"/>
  <c r="W296" i="13" a="1"/>
  <c r="W353" i="13" a="1"/>
  <c r="W326" i="13" a="1"/>
  <c r="W335" i="13" a="1"/>
  <c r="W308" i="13" a="1"/>
  <c r="W311" i="13" a="1"/>
  <c r="W362" i="13" a="1"/>
  <c r="W289" i="13" a="1"/>
  <c r="W310" i="13" a="1"/>
  <c r="W313" i="13" a="1"/>
  <c r="W352" i="13" a="1"/>
  <c r="W356" i="13" a="1"/>
  <c r="W363" i="13" a="1"/>
  <c r="W300" i="13" a="1"/>
  <c r="W371" i="13" a="1"/>
  <c r="W347" i="13" a="1"/>
  <c r="W367" i="13" a="1"/>
  <c r="W272" i="13" a="1"/>
  <c r="W322" i="13" a="1"/>
  <c r="W387" i="13" a="1"/>
  <c r="W270" i="13" a="1"/>
  <c r="W277" i="13" a="1"/>
  <c r="W342" i="13" a="1"/>
  <c r="W390" i="13" a="1"/>
  <c r="W329" i="13" a="1"/>
  <c r="W350" i="13" a="1"/>
  <c r="W343" i="13" a="1"/>
  <c r="W274" i="13" a="1"/>
  <c r="W373" i="13" a="1"/>
  <c r="W295" i="13" a="1"/>
  <c r="W354" i="13" a="1"/>
  <c r="W331" i="13" a="1"/>
  <c r="W281" i="13" a="1"/>
  <c r="W320" i="13" a="1"/>
  <c r="W388" i="13" a="1"/>
  <c r="W361" i="13" a="1"/>
  <c r="W346" i="13" a="1"/>
  <c r="W304" i="13" a="1"/>
  <c r="W389" i="13" a="1"/>
  <c r="W283" i="13" a="1"/>
  <c r="W319" i="13" a="1"/>
  <c r="W297" i="13" a="1"/>
  <c r="W378" i="13" a="1"/>
  <c r="W309" i="13" a="1"/>
  <c r="W268" i="13" a="1"/>
  <c r="W385" i="13" a="1"/>
  <c r="W345" i="13" a="1"/>
  <c r="W348" i="13" a="1"/>
  <c r="W285" i="13" a="1"/>
  <c r="W337" i="13" a="1"/>
  <c r="W340" i="13" a="1"/>
  <c r="W386" i="13" a="1"/>
  <c r="W288" i="13" a="1"/>
  <c r="W380" i="13" a="1"/>
  <c r="W379" i="13" a="1"/>
  <c r="W273" i="13" a="1"/>
  <c r="W382" i="13" a="1"/>
  <c r="W333" i="13" a="1"/>
  <c r="W330" i="13" a="1"/>
  <c r="W303" i="13" a="1"/>
  <c r="W286" i="13" a="1"/>
  <c r="W302" i="13" a="1"/>
  <c r="W349" i="13" a="1"/>
  <c r="W392" i="13" a="1"/>
  <c r="W365" i="13" a="1"/>
  <c r="W312" i="13" a="1"/>
  <c r="W377" i="13" a="1"/>
  <c r="W267" i="13" a="1"/>
  <c r="W351" i="13" a="1"/>
  <c r="W294" i="13" a="1"/>
  <c r="W375" i="13" a="1"/>
  <c r="W317" i="13" a="1"/>
  <c r="W369" i="13" a="1"/>
  <c r="W327" i="13" a="1"/>
  <c r="W366" i="13" a="1"/>
  <c r="W344" i="13" a="1"/>
  <c r="W306" i="13" a="1"/>
  <c r="W298" i="13" a="1"/>
  <c r="W324" i="13" a="1"/>
  <c r="W279" i="13" a="1"/>
  <c r="W381" i="13" a="1"/>
  <c r="W271" i="13" a="1"/>
  <c r="W384" i="13" a="1"/>
  <c r="W299" i="13" a="1"/>
  <c r="W301" i="13" a="1"/>
  <c r="W325" i="13" a="1"/>
  <c r="W293" i="13" a="1"/>
  <c r="W328" i="13" a="1"/>
  <c r="W357" i="13" a="1"/>
  <c r="W332" i="13" a="1"/>
  <c r="W280" i="13" a="1"/>
  <c r="W305" i="13" a="1"/>
  <c r="W291" i="13" a="1"/>
  <c r="W338" i="13" a="1"/>
  <c r="W287" i="13" a="1"/>
  <c r="W316" i="13" a="1"/>
  <c r="W292" i="13" a="1"/>
  <c r="W358" i="13" a="1"/>
  <c r="W368" i="13" a="1"/>
  <c r="W276" i="13" a="1"/>
  <c r="W334" i="13" a="1"/>
  <c r="W376" i="13" a="1"/>
  <c r="W323" i="13" a="1"/>
  <c r="W374" i="13" a="1"/>
  <c r="W269" i="13" a="1"/>
  <c r="W360" i="13" a="1"/>
  <c r="W336" i="13" a="1"/>
  <c r="W339" i="13" a="1"/>
  <c r="W364" i="13" a="1"/>
  <c r="W275" i="13" a="1"/>
  <c r="W341" i="13" a="1"/>
  <c r="W314" i="13" a="1"/>
  <c r="W282" i="13" a="1"/>
  <c r="W357" i="13" l="1"/>
  <c r="W361" i="13"/>
  <c r="W365" i="13"/>
  <c r="W369" i="13"/>
  <c r="W373" i="13"/>
  <c r="W377" i="13"/>
  <c r="W381" i="13"/>
  <c r="W385" i="13"/>
  <c r="W389" i="13"/>
  <c r="W393" i="13"/>
  <c r="W354" i="13"/>
  <c r="W358" i="13"/>
  <c r="W362" i="13"/>
  <c r="W366" i="13"/>
  <c r="W370" i="13"/>
  <c r="W374" i="13"/>
  <c r="W378" i="13"/>
  <c r="W382" i="13"/>
  <c r="W386" i="13"/>
  <c r="W390" i="13"/>
  <c r="W359" i="13"/>
  <c r="W363" i="13"/>
  <c r="W367" i="13"/>
  <c r="W371" i="13"/>
  <c r="W375" i="13"/>
  <c r="W379" i="13"/>
  <c r="W383" i="13"/>
  <c r="W387" i="13"/>
  <c r="W391" i="13"/>
  <c r="W356" i="13"/>
  <c r="W360" i="13"/>
  <c r="W364" i="13"/>
  <c r="W368" i="13"/>
  <c r="W372" i="13"/>
  <c r="W376" i="13"/>
  <c r="W380" i="13"/>
  <c r="W384" i="13"/>
  <c r="W388" i="13"/>
  <c r="W392" i="13"/>
  <c r="W284" i="13"/>
  <c r="W308" i="13"/>
  <c r="W280" i="13"/>
  <c r="W296" i="13"/>
  <c r="W269" i="13"/>
  <c r="W273" i="13"/>
  <c r="W277" i="13"/>
  <c r="W281" i="13"/>
  <c r="W285" i="13"/>
  <c r="W289" i="13"/>
  <c r="W293" i="13"/>
  <c r="W297" i="13"/>
  <c r="W301" i="13"/>
  <c r="W305" i="13"/>
  <c r="W309" i="13"/>
  <c r="W313" i="13"/>
  <c r="W317" i="13"/>
  <c r="W321" i="13"/>
  <c r="W325" i="13"/>
  <c r="W329" i="13"/>
  <c r="W333" i="13"/>
  <c r="W337" i="13"/>
  <c r="W341" i="13"/>
  <c r="W345" i="13"/>
  <c r="W349" i="13"/>
  <c r="W353" i="13"/>
  <c r="W268" i="13"/>
  <c r="W292" i="13"/>
  <c r="W272" i="13"/>
  <c r="W288" i="13"/>
  <c r="W270" i="13"/>
  <c r="W274" i="13"/>
  <c r="W278" i="13"/>
  <c r="W282" i="13"/>
  <c r="W286" i="13"/>
  <c r="W290" i="13"/>
  <c r="W294" i="13"/>
  <c r="W298" i="13"/>
  <c r="W302" i="13"/>
  <c r="W306" i="13"/>
  <c r="W310" i="13"/>
  <c r="W314" i="13"/>
  <c r="W318" i="13"/>
  <c r="W322" i="13"/>
  <c r="W326" i="13"/>
  <c r="W330" i="13"/>
  <c r="W334" i="13"/>
  <c r="W338" i="13"/>
  <c r="W342" i="13"/>
  <c r="W346" i="13"/>
  <c r="W350" i="13"/>
  <c r="W267" i="13"/>
  <c r="W271" i="13"/>
  <c r="W275" i="13"/>
  <c r="W279" i="13"/>
  <c r="W283" i="13"/>
  <c r="W287" i="13"/>
  <c r="W291" i="13"/>
  <c r="W295" i="13"/>
  <c r="W299" i="13"/>
  <c r="W303" i="13"/>
  <c r="W311" i="13"/>
  <c r="W315" i="13"/>
  <c r="W319" i="13"/>
  <c r="W323" i="13"/>
  <c r="W327" i="13"/>
  <c r="W331" i="13"/>
  <c r="W335" i="13"/>
  <c r="W339" i="13"/>
  <c r="W343" i="13"/>
  <c r="W347" i="13"/>
  <c r="W351" i="13"/>
  <c r="W300" i="13"/>
  <c r="W304" i="13"/>
  <c r="W312" i="13"/>
  <c r="W316" i="13"/>
  <c r="W320" i="13"/>
  <c r="W324" i="13"/>
  <c r="W328" i="13"/>
  <c r="W332" i="13"/>
  <c r="W336" i="13"/>
  <c r="W340" i="13"/>
  <c r="W344" i="13"/>
  <c r="W348" i="13"/>
  <c r="W352" i="13"/>
  <c r="W276" i="13"/>
  <c r="V42" i="13"/>
  <c r="W42" i="13" a="1"/>
  <c r="W42" i="13" l="1"/>
  <c r="AD224" i="13" l="1"/>
  <c r="I109" i="13" a="1"/>
  <c r="I109" i="13" s="1"/>
  <c r="I110" i="13" a="1"/>
  <c r="I110" i="13" s="1"/>
  <c r="I111" i="13" a="1"/>
  <c r="I111" i="13" s="1"/>
  <c r="I112" i="13" a="1"/>
  <c r="I112" i="13" s="1"/>
  <c r="I113" i="13" a="1"/>
  <c r="I113" i="13" s="1"/>
  <c r="I114" i="13" a="1"/>
  <c r="I114" i="13" s="1"/>
  <c r="I115" i="13" a="1"/>
  <c r="I115" i="13" s="1"/>
  <c r="I116" i="13" a="1"/>
  <c r="I116" i="13" s="1"/>
  <c r="I117" i="13" a="1"/>
  <c r="I117" i="13" s="1"/>
  <c r="I118" i="13" a="1"/>
  <c r="I118" i="13" s="1"/>
  <c r="I119" i="13" a="1"/>
  <c r="I119" i="13" s="1"/>
  <c r="I120" i="13" a="1"/>
  <c r="I120" i="13" s="1"/>
  <c r="I121" i="13" a="1"/>
  <c r="I121" i="13" s="1"/>
  <c r="I122" i="13" a="1"/>
  <c r="I122" i="13" s="1"/>
  <c r="I123" i="13" a="1"/>
  <c r="I123" i="13" s="1"/>
  <c r="I124" i="13" a="1"/>
  <c r="I124" i="13" s="1"/>
  <c r="I125" i="13" a="1"/>
  <c r="I125" i="13" s="1"/>
  <c r="I126" i="13" a="1"/>
  <c r="I126" i="13" s="1"/>
  <c r="I127" i="13" a="1"/>
  <c r="I127" i="13" s="1"/>
  <c r="I128" i="13" a="1"/>
  <c r="I128" i="13" s="1"/>
  <c r="I129" i="13" a="1"/>
  <c r="I129" i="13" s="1"/>
  <c r="I130" i="13" a="1"/>
  <c r="I130" i="13" s="1"/>
  <c r="I131" i="13" a="1"/>
  <c r="I131" i="13" s="1"/>
  <c r="I132" i="13" a="1"/>
  <c r="I132" i="13" s="1"/>
  <c r="I133" i="13" a="1"/>
  <c r="I133" i="13" s="1"/>
  <c r="I134" i="13" a="1"/>
  <c r="I134" i="13" s="1"/>
  <c r="I135" i="13" a="1"/>
  <c r="I135" i="13" s="1"/>
  <c r="I136" i="13" a="1"/>
  <c r="I136" i="13" s="1"/>
  <c r="I137" i="13" a="1"/>
  <c r="I137" i="13" s="1"/>
  <c r="I138" i="13" a="1"/>
  <c r="I138" i="13" s="1"/>
  <c r="I139" i="13" a="1"/>
  <c r="I139" i="13" s="1"/>
  <c r="I140" i="13" a="1"/>
  <c r="I140" i="13" s="1"/>
  <c r="I141" i="13" a="1"/>
  <c r="I141" i="13" s="1"/>
  <c r="I142" i="13" a="1"/>
  <c r="I142" i="13" s="1"/>
  <c r="I143" i="13" a="1"/>
  <c r="I143" i="13" s="1"/>
  <c r="I144" i="13" a="1"/>
  <c r="I144" i="13" s="1"/>
  <c r="I145" i="13" a="1"/>
  <c r="I145" i="13" s="1"/>
  <c r="I146" i="13" a="1"/>
  <c r="I146" i="13" s="1"/>
  <c r="I147" i="13" a="1"/>
  <c r="I147" i="13" s="1"/>
  <c r="I148" i="13" a="1"/>
  <c r="I148" i="13" s="1"/>
  <c r="I149" i="13" a="1"/>
  <c r="I149" i="13" s="1"/>
  <c r="I150" i="13" a="1"/>
  <c r="I150" i="13" s="1"/>
  <c r="I151" i="13" a="1"/>
  <c r="I151" i="13" s="1"/>
  <c r="I152" i="13" a="1"/>
  <c r="I152" i="13" s="1"/>
  <c r="I153" i="13" a="1"/>
  <c r="I153" i="13" s="1"/>
  <c r="I154" i="13" a="1"/>
  <c r="I154" i="13" s="1"/>
  <c r="I155" i="13" a="1"/>
  <c r="I155" i="13" s="1"/>
  <c r="I156" i="13" a="1"/>
  <c r="I156" i="13" s="1"/>
  <c r="I157" i="13" a="1"/>
  <c r="I157" i="13" s="1"/>
  <c r="I158" i="13" a="1"/>
  <c r="I158" i="13" s="1"/>
  <c r="I159" i="13" a="1"/>
  <c r="I159" i="13" s="1"/>
  <c r="I160" i="13" a="1"/>
  <c r="I160" i="13" s="1"/>
  <c r="I161" i="13" a="1"/>
  <c r="I161" i="13" s="1"/>
  <c r="I162" i="13" a="1"/>
  <c r="I162" i="13" s="1"/>
  <c r="I163" i="13" a="1"/>
  <c r="I163" i="13" s="1"/>
  <c r="I164" i="13" a="1"/>
  <c r="I164" i="13" s="1"/>
  <c r="I165" i="13" a="1"/>
  <c r="I165" i="13" s="1"/>
  <c r="I166" i="13" a="1"/>
  <c r="I166" i="13" s="1"/>
  <c r="I167" i="13" a="1"/>
  <c r="I167" i="13" s="1"/>
  <c r="I168" i="13" a="1"/>
  <c r="I168" i="13" s="1"/>
  <c r="I169" i="13" a="1"/>
  <c r="I169" i="13" s="1"/>
  <c r="I170" i="13" a="1"/>
  <c r="I170" i="13" s="1"/>
  <c r="I171" i="13" a="1"/>
  <c r="I171" i="13" s="1"/>
  <c r="I172" i="13" a="1"/>
  <c r="I172" i="13" s="1"/>
  <c r="I173" i="13" a="1"/>
  <c r="I173" i="13" s="1"/>
  <c r="I174" i="13" a="1"/>
  <c r="I174" i="13" s="1"/>
  <c r="I175" i="13" a="1"/>
  <c r="I175" i="13" s="1"/>
  <c r="I176" i="13" a="1"/>
  <c r="I176" i="13" s="1"/>
  <c r="I177" i="13" a="1"/>
  <c r="I177" i="13" s="1"/>
  <c r="I178" i="13" a="1"/>
  <c r="I178" i="13" s="1"/>
  <c r="I179" i="13" a="1"/>
  <c r="I179" i="13" s="1"/>
  <c r="I180" i="13" a="1"/>
  <c r="I180" i="13" s="1"/>
  <c r="I181" i="13" a="1"/>
  <c r="I181" i="13" s="1"/>
  <c r="I182" i="13" a="1"/>
  <c r="I182" i="13" s="1"/>
  <c r="I183" i="13" a="1"/>
  <c r="I183" i="13" s="1"/>
  <c r="I184" i="13" a="1"/>
  <c r="I184" i="13" s="1"/>
  <c r="I185" i="13" a="1"/>
  <c r="I185" i="13" s="1"/>
  <c r="I186" i="13" a="1"/>
  <c r="I186" i="13" s="1"/>
  <c r="I187" i="13" a="1"/>
  <c r="I187" i="13" s="1"/>
  <c r="I188" i="13" a="1"/>
  <c r="I188" i="13" s="1"/>
  <c r="I189" i="13" a="1"/>
  <c r="I189" i="13" s="1"/>
  <c r="I190" i="13" a="1"/>
  <c r="I190" i="13" s="1"/>
  <c r="I191" i="13" a="1"/>
  <c r="I191" i="13" s="1"/>
  <c r="I192" i="13" a="1"/>
  <c r="I192" i="13" s="1"/>
  <c r="I193" i="13" a="1"/>
  <c r="I193" i="13" s="1"/>
  <c r="I194" i="13" a="1"/>
  <c r="I194" i="13" s="1"/>
  <c r="I195" i="13" a="1"/>
  <c r="I195" i="13" s="1"/>
  <c r="I196" i="13" a="1"/>
  <c r="I196" i="13" s="1"/>
  <c r="I197" i="13" a="1"/>
  <c r="I197" i="13" s="1"/>
  <c r="I198" i="13" a="1"/>
  <c r="I198" i="13" s="1"/>
  <c r="I199" i="13" a="1"/>
  <c r="I199" i="13" s="1"/>
  <c r="I200" i="13" a="1"/>
  <c r="I200" i="13" s="1"/>
  <c r="I201" i="13" a="1"/>
  <c r="I201" i="13" s="1"/>
  <c r="I202" i="13" a="1"/>
  <c r="I202" i="13" s="1"/>
  <c r="I203" i="13" a="1"/>
  <c r="I203" i="13" s="1"/>
  <c r="I204" i="13" a="1"/>
  <c r="I204" i="13" s="1"/>
  <c r="I205" i="13" a="1"/>
  <c r="I205" i="13" s="1"/>
  <c r="I206" i="13" a="1"/>
  <c r="I206" i="13" s="1"/>
  <c r="I207" i="13" a="1"/>
  <c r="I207" i="13" s="1"/>
  <c r="I208" i="13" a="1"/>
  <c r="I208" i="13" s="1"/>
  <c r="I209" i="13" a="1"/>
  <c r="I209" i="13" s="1"/>
  <c r="I210" i="13" a="1"/>
  <c r="I210" i="13" s="1"/>
  <c r="I211" i="13" a="1"/>
  <c r="I211" i="13" s="1"/>
  <c r="I212" i="13" a="1"/>
  <c r="I212" i="13" s="1"/>
  <c r="I213" i="13" a="1"/>
  <c r="I213" i="13" s="1"/>
  <c r="I214" i="13" a="1"/>
  <c r="I214" i="13" s="1"/>
  <c r="I215" i="13" a="1"/>
  <c r="I215" i="13" s="1"/>
  <c r="I216" i="13" a="1"/>
  <c r="I216" i="13" s="1"/>
  <c r="I217" i="13" a="1"/>
  <c r="I217" i="13" s="1"/>
  <c r="I218" i="13" a="1"/>
  <c r="I218" i="13" s="1"/>
  <c r="I219" i="13" a="1"/>
  <c r="I219" i="13" s="1"/>
  <c r="I220" i="13" a="1"/>
  <c r="I220" i="13" s="1"/>
  <c r="I221" i="13" a="1"/>
  <c r="I221" i="13" s="1"/>
  <c r="I222" i="13" a="1"/>
  <c r="I222" i="13" s="1"/>
  <c r="I223" i="13" a="1"/>
  <c r="I223" i="13" s="1"/>
  <c r="I224" i="13" a="1"/>
  <c r="I224" i="13" s="1"/>
  <c r="I225" i="13" a="1"/>
  <c r="I225" i="13" s="1"/>
  <c r="I226" i="13" a="1"/>
  <c r="I226" i="13" s="1"/>
  <c r="I227" i="13" a="1"/>
  <c r="I227" i="13" s="1"/>
  <c r="I228" i="13" a="1"/>
  <c r="I228" i="13" s="1"/>
  <c r="I229" i="13" a="1"/>
  <c r="I229" i="13" s="1"/>
  <c r="I230" i="13" a="1"/>
  <c r="I230" i="13" s="1"/>
  <c r="I231" i="13" a="1"/>
  <c r="I231" i="13" s="1"/>
  <c r="I232" i="13" a="1"/>
  <c r="I232" i="13" s="1"/>
  <c r="I233" i="13" a="1"/>
  <c r="I233" i="13" s="1"/>
  <c r="I234" i="13" a="1"/>
  <c r="I234" i="13" s="1"/>
  <c r="I235" i="13" a="1"/>
  <c r="I235" i="13" s="1"/>
  <c r="I236" i="13" a="1"/>
  <c r="I236" i="13" s="1"/>
  <c r="I237" i="13" a="1"/>
  <c r="I237" i="13" s="1"/>
  <c r="I238" i="13" a="1"/>
  <c r="I238" i="13" s="1"/>
  <c r="I239" i="13" a="1"/>
  <c r="I239" i="13" s="1"/>
  <c r="I240" i="13" a="1"/>
  <c r="I240" i="13" s="1"/>
  <c r="I241" i="13" a="1"/>
  <c r="I241" i="13" s="1"/>
  <c r="I242" i="13" a="1"/>
  <c r="I242" i="13" s="1"/>
  <c r="I243" i="13" a="1"/>
  <c r="I243" i="13" s="1"/>
  <c r="I244" i="13" a="1"/>
  <c r="I244" i="13" s="1"/>
  <c r="I245" i="13" a="1"/>
  <c r="I245" i="13" s="1"/>
  <c r="I246" i="13" a="1"/>
  <c r="I246" i="13" s="1"/>
  <c r="I247" i="13" a="1"/>
  <c r="I247" i="13" s="1"/>
  <c r="I248" i="13" a="1"/>
  <c r="I248" i="13" s="1"/>
  <c r="I249" i="13" a="1"/>
  <c r="I249" i="13" s="1"/>
  <c r="I250" i="13" a="1"/>
  <c r="I250" i="13" s="1"/>
  <c r="I251" i="13" a="1"/>
  <c r="I251" i="13" s="1"/>
  <c r="I252" i="13" a="1"/>
  <c r="I252" i="13" s="1"/>
  <c r="I253" i="13" a="1"/>
  <c r="I253" i="13" s="1"/>
  <c r="I254" i="13" a="1"/>
  <c r="I254" i="13" s="1"/>
  <c r="I255" i="13" a="1"/>
  <c r="I255" i="13" s="1"/>
  <c r="I256" i="13" a="1"/>
  <c r="I256" i="13" s="1"/>
  <c r="I257" i="13" a="1"/>
  <c r="I257" i="13" s="1"/>
  <c r="I258" i="13" a="1"/>
  <c r="I258" i="13" s="1"/>
  <c r="I259" i="13" a="1"/>
  <c r="I259" i="13" s="1"/>
  <c r="I260" i="13" a="1"/>
  <c r="I260" i="13" s="1"/>
  <c r="I261" i="13" a="1"/>
  <c r="I261" i="13" s="1"/>
  <c r="I262" i="13" a="1"/>
  <c r="I262" i="13" s="1"/>
  <c r="I263" i="13" a="1"/>
  <c r="I263" i="13" s="1"/>
  <c r="I265" i="13" a="1"/>
  <c r="I265" i="13" s="1"/>
  <c r="I266" i="13" a="1"/>
  <c r="I266" i="13" s="1"/>
  <c r="I4" i="13" a="1"/>
  <c r="I4" i="13" s="1"/>
  <c r="I5" i="13" a="1"/>
  <c r="I5" i="13" s="1"/>
  <c r="I6" i="13" a="1"/>
  <c r="I6" i="13" s="1"/>
  <c r="I7" i="13" a="1"/>
  <c r="I7" i="13" s="1"/>
  <c r="I8" i="13" a="1"/>
  <c r="I8" i="13" s="1"/>
  <c r="I9" i="13" a="1"/>
  <c r="I9" i="13" s="1"/>
  <c r="I10" i="13" a="1"/>
  <c r="I10" i="13" s="1"/>
  <c r="I11" i="13" a="1"/>
  <c r="I11" i="13" s="1"/>
  <c r="I12" i="13" a="1"/>
  <c r="I12" i="13" s="1"/>
  <c r="I13" i="13" a="1"/>
  <c r="I13" i="13" s="1"/>
  <c r="I14" i="13" a="1"/>
  <c r="I14" i="13" s="1"/>
  <c r="I15" i="13" a="1"/>
  <c r="I15" i="13" s="1"/>
  <c r="I16" i="13" a="1"/>
  <c r="I16" i="13" s="1"/>
  <c r="I17" i="13" a="1"/>
  <c r="I17" i="13" s="1"/>
  <c r="I18" i="13" a="1"/>
  <c r="I18" i="13" s="1"/>
  <c r="I19" i="13" a="1"/>
  <c r="I19" i="13" s="1"/>
  <c r="I20" i="13" a="1"/>
  <c r="I20" i="13" s="1"/>
  <c r="I21" i="13" a="1"/>
  <c r="I21" i="13" s="1"/>
  <c r="I22" i="13" a="1"/>
  <c r="I22" i="13" s="1"/>
  <c r="I23" i="13" a="1"/>
  <c r="I23" i="13" s="1"/>
  <c r="I24" i="13" a="1"/>
  <c r="I24" i="13" s="1"/>
  <c r="I25" i="13" a="1"/>
  <c r="I25" i="13" s="1"/>
  <c r="I26" i="13" a="1"/>
  <c r="I26" i="13" s="1"/>
  <c r="I27" i="13" a="1"/>
  <c r="I27" i="13" s="1"/>
  <c r="I28" i="13" a="1"/>
  <c r="I28" i="13" s="1"/>
  <c r="I29" i="13" a="1"/>
  <c r="I29" i="13" s="1"/>
  <c r="I30" i="13" a="1"/>
  <c r="I30" i="13" s="1"/>
  <c r="I31" i="13" a="1"/>
  <c r="I31" i="13" s="1"/>
  <c r="I32" i="13" a="1"/>
  <c r="I32" i="13" s="1"/>
  <c r="I33" i="13" a="1"/>
  <c r="I33" i="13" s="1"/>
  <c r="I34" i="13" a="1"/>
  <c r="I34" i="13" s="1"/>
  <c r="I35" i="13" a="1"/>
  <c r="I35" i="13" s="1"/>
  <c r="I36" i="13" a="1"/>
  <c r="I36" i="13" s="1"/>
  <c r="I37" i="13" a="1"/>
  <c r="I37" i="13" s="1"/>
  <c r="I38" i="13" a="1"/>
  <c r="I38" i="13" s="1"/>
  <c r="I39" i="13" a="1"/>
  <c r="I39" i="13" s="1"/>
  <c r="I40" i="13" a="1"/>
  <c r="I40" i="13" s="1"/>
  <c r="I41" i="13" a="1"/>
  <c r="I41" i="13" s="1"/>
  <c r="I42" i="13" a="1"/>
  <c r="I42" i="13" s="1"/>
  <c r="I43" i="13" a="1"/>
  <c r="I43" i="13" s="1"/>
  <c r="I44" i="13" a="1"/>
  <c r="I44" i="13" s="1"/>
  <c r="I45" i="13" a="1"/>
  <c r="I45" i="13" s="1"/>
  <c r="I46" i="13" a="1"/>
  <c r="I46" i="13" s="1"/>
  <c r="I47" i="13" a="1"/>
  <c r="I47" i="13" s="1"/>
  <c r="I48" i="13" a="1"/>
  <c r="I48" i="13" s="1"/>
  <c r="I49" i="13" a="1"/>
  <c r="I49" i="13" s="1"/>
  <c r="I50" i="13" a="1"/>
  <c r="I50" i="13" s="1"/>
  <c r="I51" i="13" a="1"/>
  <c r="I51" i="13" s="1"/>
  <c r="I52" i="13" a="1"/>
  <c r="I52" i="13" s="1"/>
  <c r="I53" i="13" a="1"/>
  <c r="I53" i="13" s="1"/>
  <c r="I54" i="13" a="1"/>
  <c r="I54" i="13" s="1"/>
  <c r="I55" i="13" a="1"/>
  <c r="I55" i="13" s="1"/>
  <c r="I56" i="13" a="1"/>
  <c r="I56" i="13" s="1"/>
  <c r="I57" i="13" a="1"/>
  <c r="I57" i="13" s="1"/>
  <c r="I58" i="13" a="1"/>
  <c r="I58" i="13" s="1"/>
  <c r="I59" i="13" a="1"/>
  <c r="I59" i="13" s="1"/>
  <c r="I60" i="13" a="1"/>
  <c r="I60" i="13" s="1"/>
  <c r="I61" i="13" a="1"/>
  <c r="I61" i="13" s="1"/>
  <c r="I62" i="13" a="1"/>
  <c r="I62" i="13" s="1"/>
  <c r="I63" i="13" a="1"/>
  <c r="I63" i="13" s="1"/>
  <c r="I64" i="13" a="1"/>
  <c r="I64" i="13" s="1"/>
  <c r="I65" i="13" a="1"/>
  <c r="I65" i="13" s="1"/>
  <c r="I66" i="13" a="1"/>
  <c r="I66" i="13" s="1"/>
  <c r="I67" i="13" a="1"/>
  <c r="I67" i="13" s="1"/>
  <c r="I68" i="13" a="1"/>
  <c r="I68" i="13" s="1"/>
  <c r="I69" i="13" a="1"/>
  <c r="I69" i="13" s="1"/>
  <c r="I70" i="13" a="1"/>
  <c r="I70" i="13" s="1"/>
  <c r="I71" i="13" a="1"/>
  <c r="I71" i="13" s="1"/>
  <c r="I72" i="13" a="1"/>
  <c r="I72" i="13" s="1"/>
  <c r="I73" i="13" a="1"/>
  <c r="I73" i="13" s="1"/>
  <c r="I74" i="13" a="1"/>
  <c r="I74" i="13" s="1"/>
  <c r="I75" i="13" a="1"/>
  <c r="I75" i="13" s="1"/>
  <c r="I76" i="13" a="1"/>
  <c r="I76" i="13" s="1"/>
  <c r="I77" i="13" a="1"/>
  <c r="I77" i="13" s="1"/>
  <c r="I78" i="13" a="1"/>
  <c r="I78" i="13" s="1"/>
  <c r="I79" i="13" a="1"/>
  <c r="I79" i="13" s="1"/>
  <c r="I80" i="13" a="1"/>
  <c r="I80" i="13" s="1"/>
  <c r="I81" i="13" a="1"/>
  <c r="I81" i="13" s="1"/>
  <c r="I82" i="13" a="1"/>
  <c r="I82" i="13" s="1"/>
  <c r="I83" i="13" a="1"/>
  <c r="I83" i="13" s="1"/>
  <c r="I84" i="13" a="1"/>
  <c r="I84" i="13" s="1"/>
  <c r="I85" i="13" a="1"/>
  <c r="I85" i="13" s="1"/>
  <c r="I86" i="13" a="1"/>
  <c r="I86" i="13" s="1"/>
  <c r="I87" i="13" a="1"/>
  <c r="I87" i="13" s="1"/>
  <c r="I88" i="13" a="1"/>
  <c r="I88" i="13" s="1"/>
  <c r="I89" i="13" a="1"/>
  <c r="I89" i="13" s="1"/>
  <c r="I90" i="13" a="1"/>
  <c r="I90" i="13" s="1"/>
  <c r="I91" i="13" a="1"/>
  <c r="I91" i="13" s="1"/>
  <c r="I92" i="13" a="1"/>
  <c r="I92" i="13" s="1"/>
  <c r="I93" i="13" a="1"/>
  <c r="I93" i="13" s="1"/>
  <c r="I94" i="13" a="1"/>
  <c r="I94" i="13" s="1"/>
  <c r="I95" i="13" a="1"/>
  <c r="I95" i="13" s="1"/>
  <c r="I96" i="13" a="1"/>
  <c r="I96" i="13" s="1"/>
  <c r="I97" i="13" a="1"/>
  <c r="I97" i="13" s="1"/>
  <c r="I98" i="13" a="1"/>
  <c r="I98" i="13" s="1"/>
  <c r="I99" i="13" a="1"/>
  <c r="I99" i="13" s="1"/>
  <c r="I100" i="13" a="1"/>
  <c r="I100" i="13" s="1"/>
  <c r="I101" i="13" a="1"/>
  <c r="I101" i="13" s="1"/>
  <c r="I102" i="13" a="1"/>
  <c r="I102" i="13" s="1"/>
  <c r="I103" i="13" a="1"/>
  <c r="I103" i="13" s="1"/>
  <c r="I104" i="13" a="1"/>
  <c r="I104" i="13" s="1"/>
  <c r="I105" i="13" a="1"/>
  <c r="I105" i="13" s="1"/>
  <c r="I106" i="13" a="1"/>
  <c r="I106" i="13" s="1"/>
  <c r="I107" i="13" a="1"/>
  <c r="I107" i="13" s="1"/>
  <c r="I108" i="13" a="1"/>
  <c r="I108" i="13" s="1"/>
  <c r="AN216" i="13"/>
  <c r="AN217" i="13"/>
  <c r="AN218" i="13"/>
  <c r="AN219" i="13"/>
  <c r="AN220" i="13"/>
  <c r="AN221" i="13"/>
  <c r="AN222" i="13"/>
  <c r="AN223" i="13"/>
  <c r="AN224" i="13"/>
  <c r="AN225" i="13"/>
  <c r="AN226" i="13"/>
  <c r="AN227" i="13"/>
  <c r="AN228" i="13"/>
  <c r="AN229" i="13"/>
  <c r="AN230" i="13"/>
  <c r="AN231" i="13"/>
  <c r="AN232" i="13"/>
  <c r="AN233" i="13"/>
  <c r="AN234" i="13"/>
  <c r="AN235" i="13"/>
  <c r="AN236" i="13"/>
  <c r="AN237" i="13"/>
  <c r="AN238" i="13"/>
  <c r="AN239" i="13"/>
  <c r="AN240" i="13"/>
  <c r="AN241" i="13"/>
  <c r="AN242" i="13"/>
  <c r="AN243" i="13"/>
  <c r="AN244" i="13"/>
  <c r="AN245" i="13"/>
  <c r="AN246" i="13"/>
  <c r="AN247" i="13"/>
  <c r="AN248" i="13"/>
  <c r="AQ216" i="13"/>
  <c r="AQ217" i="13"/>
  <c r="AQ218" i="13"/>
  <c r="AQ219" i="13"/>
  <c r="AQ220" i="13"/>
  <c r="AQ221" i="13"/>
  <c r="AQ222" i="13"/>
  <c r="AQ223" i="13"/>
  <c r="AQ224" i="13"/>
  <c r="AQ225" i="13"/>
  <c r="AQ226" i="13"/>
  <c r="AQ227" i="13"/>
  <c r="AQ228" i="13"/>
  <c r="AQ229" i="13"/>
  <c r="AQ230" i="13"/>
  <c r="AQ231" i="13"/>
  <c r="AQ232" i="13"/>
  <c r="AQ233" i="13"/>
  <c r="AQ234" i="13"/>
  <c r="AQ235" i="13"/>
  <c r="AQ236" i="13"/>
  <c r="AQ237" i="13"/>
  <c r="AQ238" i="13"/>
  <c r="AQ239" i="13"/>
  <c r="AQ240" i="13"/>
  <c r="AQ241" i="13"/>
  <c r="AQ242" i="13"/>
  <c r="AQ243" i="13"/>
  <c r="AQ244" i="13"/>
  <c r="AQ245" i="13"/>
  <c r="AQ246" i="13"/>
  <c r="AQ247" i="13"/>
  <c r="AQ248" i="13"/>
  <c r="AP219" i="13"/>
  <c r="AP220" i="13"/>
  <c r="AP221" i="13"/>
  <c r="AP222" i="13"/>
  <c r="AP223" i="13"/>
  <c r="AP224" i="13"/>
  <c r="AP225" i="13"/>
  <c r="AP226" i="13"/>
  <c r="AP227" i="13"/>
  <c r="AP228" i="13"/>
  <c r="AP229" i="13"/>
  <c r="AP230" i="13"/>
  <c r="AP231" i="13"/>
  <c r="AP232" i="13"/>
  <c r="AP233" i="13"/>
  <c r="AP234" i="13"/>
  <c r="AP235" i="13"/>
  <c r="AP236" i="13"/>
  <c r="AP237" i="13"/>
  <c r="AP238" i="13"/>
  <c r="AP239" i="13"/>
  <c r="AP240" i="13"/>
  <c r="AP241" i="13"/>
  <c r="AP242" i="13"/>
  <c r="AP243" i="13"/>
  <c r="AP244" i="13"/>
  <c r="AP245" i="13"/>
  <c r="AP246" i="13"/>
  <c r="AP247" i="13"/>
  <c r="AP248" i="13"/>
  <c r="AM216" i="13"/>
  <c r="AM217" i="13"/>
  <c r="AM218" i="13"/>
  <c r="AM219" i="13"/>
  <c r="AM220" i="13"/>
  <c r="AM221" i="13"/>
  <c r="AM222" i="13"/>
  <c r="AM223" i="13"/>
  <c r="AM224" i="13"/>
  <c r="AM225" i="13"/>
  <c r="AM226" i="13"/>
  <c r="AM227" i="13"/>
  <c r="AM228" i="13"/>
  <c r="AM229" i="13"/>
  <c r="AM230" i="13"/>
  <c r="AM231" i="13"/>
  <c r="AM232" i="13"/>
  <c r="AM233" i="13"/>
  <c r="AM234" i="13"/>
  <c r="AM235" i="13"/>
  <c r="AM236" i="13"/>
  <c r="AM237" i="13"/>
  <c r="AM238" i="13"/>
  <c r="AM239" i="13"/>
  <c r="AM240" i="13"/>
  <c r="AM241" i="13"/>
  <c r="AM242" i="13"/>
  <c r="AM243" i="13"/>
  <c r="AM244" i="13"/>
  <c r="AM245" i="13"/>
  <c r="AM246" i="13"/>
  <c r="AM247" i="13"/>
  <c r="AM248" i="13"/>
  <c r="AD3" i="13"/>
  <c r="AD4" i="13"/>
  <c r="AD5" i="13"/>
  <c r="AD6" i="13"/>
  <c r="AD7" i="13"/>
  <c r="AD8" i="13"/>
  <c r="AD9" i="13"/>
  <c r="AD10" i="13"/>
  <c r="AD11" i="13"/>
  <c r="AD12" i="13"/>
  <c r="AD13" i="13"/>
  <c r="AD14" i="13"/>
  <c r="AD15" i="13"/>
  <c r="AD16" i="13"/>
  <c r="AD17" i="13"/>
  <c r="AD18" i="13"/>
  <c r="AD19" i="13"/>
  <c r="AD20" i="13"/>
  <c r="AD21" i="13"/>
  <c r="AD22" i="13"/>
  <c r="AD23" i="13"/>
  <c r="AD24" i="13"/>
  <c r="AD25" i="13"/>
  <c r="AD26" i="13"/>
  <c r="AD27" i="13"/>
  <c r="AD28" i="13"/>
  <c r="AD29" i="13"/>
  <c r="AD30" i="13"/>
  <c r="AD31" i="13"/>
  <c r="AD32" i="13"/>
  <c r="AD33" i="13"/>
  <c r="AD34" i="13"/>
  <c r="AD35" i="13"/>
  <c r="AD36" i="13"/>
  <c r="AD37" i="13"/>
  <c r="AD38" i="13"/>
  <c r="AD39" i="13"/>
  <c r="AD40" i="13"/>
  <c r="AD41" i="13"/>
  <c r="AD42" i="13"/>
  <c r="AD43" i="13"/>
  <c r="AD44" i="13"/>
  <c r="AD45" i="13"/>
  <c r="AD46" i="13"/>
  <c r="AD47" i="13"/>
  <c r="AD48" i="13"/>
  <c r="AD49" i="13"/>
  <c r="AD50" i="13"/>
  <c r="AD51" i="13"/>
  <c r="AD52" i="13"/>
  <c r="AD53" i="13"/>
  <c r="AD54" i="13"/>
  <c r="AD55" i="13"/>
  <c r="AD56" i="13"/>
  <c r="AD57" i="13"/>
  <c r="AD58" i="13"/>
  <c r="AD59" i="13"/>
  <c r="AD60" i="13"/>
  <c r="AD62" i="13"/>
  <c r="AD63" i="13"/>
  <c r="AD64" i="13"/>
  <c r="AD65" i="13"/>
  <c r="AD66" i="13"/>
  <c r="AD67" i="13"/>
  <c r="AD68" i="13"/>
  <c r="AD69" i="13"/>
  <c r="AD70" i="13"/>
  <c r="AD71" i="13"/>
  <c r="AD72" i="13"/>
  <c r="AD73" i="13"/>
  <c r="AD74" i="13"/>
  <c r="AD75" i="13"/>
  <c r="AD76" i="13"/>
  <c r="AD77" i="13"/>
  <c r="AD78" i="13"/>
  <c r="AD79" i="13"/>
  <c r="AD80" i="13"/>
  <c r="AD81" i="13"/>
  <c r="AD82" i="13"/>
  <c r="AD83" i="13"/>
  <c r="AD84" i="13"/>
  <c r="AD85" i="13"/>
  <c r="AD86" i="13"/>
  <c r="AD87" i="13"/>
  <c r="AD88" i="13"/>
  <c r="AD89" i="13"/>
  <c r="AD90" i="13"/>
  <c r="AD91" i="13"/>
  <c r="AD92" i="13"/>
  <c r="AD93" i="13"/>
  <c r="AD94" i="13"/>
  <c r="AD95" i="13"/>
  <c r="AD96" i="13"/>
  <c r="AD97" i="13"/>
  <c r="AD98" i="13"/>
  <c r="AD99" i="13"/>
  <c r="AD100" i="13"/>
  <c r="AD101" i="13"/>
  <c r="AD102" i="13"/>
  <c r="AD103" i="13"/>
  <c r="AD104" i="13"/>
  <c r="AD105" i="13"/>
  <c r="AD106" i="13"/>
  <c r="AD107" i="13"/>
  <c r="AD108" i="13"/>
  <c r="AD109" i="13"/>
  <c r="AD110" i="13"/>
  <c r="AD111" i="13"/>
  <c r="AD112" i="13"/>
  <c r="AD113" i="13"/>
  <c r="AD114" i="13"/>
  <c r="AD115" i="13"/>
  <c r="AD116" i="13"/>
  <c r="AD117" i="13"/>
  <c r="AD118" i="13"/>
  <c r="AD119" i="13"/>
  <c r="AD120" i="13"/>
  <c r="AD121" i="13"/>
  <c r="AD122" i="13"/>
  <c r="AD123" i="13"/>
  <c r="AD124" i="13"/>
  <c r="AD125" i="13"/>
  <c r="AD126" i="13"/>
  <c r="AD127" i="13"/>
  <c r="AD128" i="13"/>
  <c r="AD129" i="13"/>
  <c r="AD130" i="13"/>
  <c r="AD131" i="13"/>
  <c r="AD132" i="13"/>
  <c r="AD133" i="13"/>
  <c r="AD134" i="13"/>
  <c r="AD135" i="13"/>
  <c r="AD136" i="13"/>
  <c r="AD137" i="13"/>
  <c r="AD138" i="13"/>
  <c r="AD139" i="13"/>
  <c r="AD140" i="13"/>
  <c r="AD141" i="13"/>
  <c r="AD142" i="13"/>
  <c r="AD143" i="13"/>
  <c r="AD144" i="13"/>
  <c r="AD145" i="13"/>
  <c r="AD146" i="13"/>
  <c r="AD147" i="13"/>
  <c r="AD148" i="13"/>
  <c r="AD149" i="13"/>
  <c r="AD150" i="13"/>
  <c r="AD151" i="13"/>
  <c r="AD152" i="13"/>
  <c r="AD153" i="13"/>
  <c r="AD154" i="13"/>
  <c r="AD155" i="13"/>
  <c r="AD156" i="13"/>
  <c r="AD157" i="13"/>
  <c r="AD158" i="13"/>
  <c r="AD159" i="13"/>
  <c r="AD160" i="13"/>
  <c r="AD161" i="13"/>
  <c r="AD162" i="13"/>
  <c r="AD163" i="13"/>
  <c r="AD164" i="13"/>
  <c r="AD165" i="13"/>
  <c r="AD166" i="13"/>
  <c r="AD167" i="13"/>
  <c r="AD168" i="13"/>
  <c r="AD169" i="13"/>
  <c r="AD170" i="13"/>
  <c r="AD171" i="13"/>
  <c r="AD172" i="13"/>
  <c r="AD173" i="13"/>
  <c r="AD174" i="13"/>
  <c r="AD175" i="13"/>
  <c r="AD176" i="13"/>
  <c r="AD177" i="13"/>
  <c r="AD178" i="13"/>
  <c r="AD179" i="13"/>
  <c r="AD180" i="13"/>
  <c r="AD181" i="13"/>
  <c r="AD182" i="13"/>
  <c r="AD183" i="13"/>
  <c r="AD184" i="13"/>
  <c r="AD185" i="13"/>
  <c r="AD186" i="13"/>
  <c r="AD187" i="13"/>
  <c r="AD188" i="13"/>
  <c r="AD189" i="13"/>
  <c r="AD190" i="13"/>
  <c r="AD191" i="13"/>
  <c r="AD192" i="13"/>
  <c r="AD193" i="13"/>
  <c r="AD194" i="13"/>
  <c r="AD195" i="13"/>
  <c r="AD196" i="13"/>
  <c r="AD197" i="13"/>
  <c r="AD198" i="13"/>
  <c r="AD199" i="13"/>
  <c r="AD200" i="13"/>
  <c r="AD201" i="13"/>
  <c r="AD202" i="13"/>
  <c r="AD203" i="13"/>
  <c r="AD204" i="13"/>
  <c r="AD205" i="13"/>
  <c r="AD206" i="13"/>
  <c r="AD207" i="13"/>
  <c r="AD208" i="13"/>
  <c r="AD209" i="13"/>
  <c r="AD210" i="13"/>
  <c r="AD211" i="13"/>
  <c r="AD212" i="13"/>
  <c r="AD213" i="13"/>
  <c r="AD214" i="13"/>
  <c r="AD215" i="13"/>
  <c r="AD216" i="13"/>
  <c r="AD217" i="13"/>
  <c r="AD218" i="13"/>
  <c r="AD219" i="13"/>
  <c r="AD220" i="13"/>
  <c r="AD221" i="13"/>
  <c r="AD222" i="13"/>
  <c r="AD223" i="13"/>
  <c r="AD225" i="13"/>
  <c r="AD226" i="13"/>
  <c r="AD227" i="13"/>
  <c r="AD228" i="13"/>
  <c r="AD229" i="13"/>
  <c r="AD230" i="13"/>
  <c r="AD231" i="13"/>
  <c r="AD232" i="13"/>
  <c r="AD233" i="13"/>
  <c r="AD234" i="13"/>
  <c r="AD235" i="13"/>
  <c r="AD236" i="13"/>
  <c r="AD237" i="13"/>
  <c r="AD238" i="13"/>
  <c r="AD239" i="13"/>
  <c r="AD240" i="13"/>
  <c r="AD241" i="13"/>
  <c r="AD242" i="13"/>
  <c r="AD243" i="13"/>
  <c r="AD244" i="13"/>
  <c r="AD245" i="13"/>
  <c r="AD246" i="13"/>
  <c r="AD247" i="13"/>
  <c r="AD248" i="13"/>
  <c r="AD249" i="13"/>
  <c r="AD250" i="13"/>
  <c r="AD251" i="13"/>
  <c r="AD252" i="13"/>
  <c r="AD253" i="13"/>
  <c r="AD254" i="13"/>
  <c r="AD255" i="13"/>
  <c r="AD256" i="13"/>
  <c r="AD257" i="13"/>
  <c r="AD258" i="13"/>
  <c r="AD259" i="13"/>
  <c r="AD260" i="13"/>
  <c r="AD261" i="13"/>
  <c r="AD262" i="13"/>
  <c r="AD263" i="13"/>
  <c r="AD264" i="13"/>
  <c r="AD265" i="13"/>
  <c r="AD266" i="13"/>
  <c r="AD2" i="13"/>
  <c r="AC3" i="13"/>
  <c r="AC4" i="13"/>
  <c r="AC5" i="13"/>
  <c r="AC6" i="13"/>
  <c r="AC7" i="13"/>
  <c r="AC8" i="13"/>
  <c r="AC9" i="13"/>
  <c r="AC10" i="13"/>
  <c r="AC11" i="13"/>
  <c r="AC12" i="13"/>
  <c r="AC13" i="13"/>
  <c r="AC14" i="13"/>
  <c r="AC15" i="13"/>
  <c r="AC16" i="13"/>
  <c r="AC17" i="13"/>
  <c r="AC18" i="13"/>
  <c r="AC19" i="13"/>
  <c r="AC20" i="13"/>
  <c r="AC21" i="13"/>
  <c r="AC22" i="13"/>
  <c r="AC23" i="13"/>
  <c r="AC24" i="13"/>
  <c r="AC25" i="13"/>
  <c r="AC26" i="13"/>
  <c r="AC27" i="13"/>
  <c r="AC28" i="13"/>
  <c r="AC29" i="13"/>
  <c r="AC30" i="13"/>
  <c r="AC31" i="13"/>
  <c r="AC32" i="13"/>
  <c r="AC33" i="13"/>
  <c r="AC34" i="13"/>
  <c r="AC35" i="13"/>
  <c r="AC36" i="13"/>
  <c r="AC37" i="13"/>
  <c r="AC38" i="13"/>
  <c r="AC39" i="13"/>
  <c r="AC40" i="13"/>
  <c r="AC41" i="13"/>
  <c r="AC42" i="13"/>
  <c r="AC43" i="13"/>
  <c r="AC44" i="13"/>
  <c r="AC45" i="13"/>
  <c r="AC46" i="13"/>
  <c r="AC47" i="13"/>
  <c r="AC48" i="13"/>
  <c r="AC49" i="13"/>
  <c r="AC50" i="13"/>
  <c r="AC51" i="13"/>
  <c r="AC52" i="13"/>
  <c r="AC53" i="13"/>
  <c r="AC54" i="13"/>
  <c r="AC55" i="13"/>
  <c r="AC56" i="13"/>
  <c r="AC57" i="13"/>
  <c r="AC58" i="13"/>
  <c r="AC59" i="13"/>
  <c r="AC60" i="13"/>
  <c r="AC62" i="13"/>
  <c r="AC63" i="13"/>
  <c r="AC64" i="13"/>
  <c r="AC65" i="13"/>
  <c r="AC66" i="13"/>
  <c r="AC67" i="13"/>
  <c r="AC68" i="13"/>
  <c r="AC69" i="13"/>
  <c r="AC70" i="13"/>
  <c r="AC71" i="13"/>
  <c r="AC72" i="13"/>
  <c r="AC73" i="13"/>
  <c r="AC74" i="13"/>
  <c r="AC75" i="13"/>
  <c r="AC76" i="13"/>
  <c r="AC77" i="13"/>
  <c r="AC78" i="13"/>
  <c r="AC79" i="13"/>
  <c r="AC80" i="13"/>
  <c r="AC81" i="13"/>
  <c r="AC82" i="13"/>
  <c r="AC83" i="13"/>
  <c r="AC84" i="13"/>
  <c r="AC85" i="13"/>
  <c r="AC86" i="13"/>
  <c r="AC87" i="13"/>
  <c r="AC88" i="13"/>
  <c r="AC89" i="13"/>
  <c r="AC90" i="13"/>
  <c r="AC91" i="13"/>
  <c r="AC92" i="13"/>
  <c r="AC93" i="13"/>
  <c r="AC94" i="13"/>
  <c r="AC95" i="13"/>
  <c r="AC96" i="13"/>
  <c r="AC97" i="13"/>
  <c r="AC98" i="13"/>
  <c r="AC99" i="13"/>
  <c r="AC100" i="13"/>
  <c r="AC101" i="13"/>
  <c r="AC102" i="13"/>
  <c r="AC103" i="13"/>
  <c r="AC104" i="13"/>
  <c r="AC105" i="13"/>
  <c r="AC106" i="13"/>
  <c r="AC107" i="13"/>
  <c r="AC108" i="13"/>
  <c r="AC109" i="13"/>
  <c r="AC110" i="13"/>
  <c r="AC111" i="13"/>
  <c r="AC112" i="13"/>
  <c r="AC113" i="13"/>
  <c r="AC114" i="13"/>
  <c r="AC115" i="13"/>
  <c r="AC116" i="13"/>
  <c r="AC117" i="13"/>
  <c r="AC118" i="13"/>
  <c r="AC119" i="13"/>
  <c r="AC120" i="13"/>
  <c r="AC121" i="13"/>
  <c r="AC122" i="13"/>
  <c r="AC123" i="13"/>
  <c r="AC124" i="13"/>
  <c r="AC125" i="13"/>
  <c r="AC126" i="13"/>
  <c r="AC127" i="13"/>
  <c r="AC128" i="13"/>
  <c r="AC129" i="13"/>
  <c r="AC130" i="13"/>
  <c r="AC131" i="13"/>
  <c r="AC132" i="13"/>
  <c r="AC133" i="13"/>
  <c r="AC134" i="13"/>
  <c r="AC135" i="13"/>
  <c r="AC136" i="13"/>
  <c r="AC137" i="13"/>
  <c r="AC138" i="13"/>
  <c r="AC139" i="13"/>
  <c r="AC140" i="13"/>
  <c r="AC141" i="13"/>
  <c r="AC142" i="13"/>
  <c r="AC143" i="13"/>
  <c r="AC144" i="13"/>
  <c r="AC145" i="13"/>
  <c r="AC146" i="13"/>
  <c r="AC147" i="13"/>
  <c r="AC148" i="13"/>
  <c r="AC149" i="13"/>
  <c r="AC150" i="13"/>
  <c r="AC151" i="13"/>
  <c r="AC152" i="13"/>
  <c r="AC153" i="13"/>
  <c r="AC154" i="13"/>
  <c r="AC155" i="13"/>
  <c r="AC156" i="13"/>
  <c r="AC157" i="13"/>
  <c r="AC158" i="13"/>
  <c r="AC159" i="13"/>
  <c r="AC160" i="13"/>
  <c r="AC161" i="13"/>
  <c r="AC162" i="13"/>
  <c r="AC163" i="13"/>
  <c r="AC164" i="13"/>
  <c r="AC165" i="13"/>
  <c r="AC166" i="13"/>
  <c r="AC167" i="13"/>
  <c r="AC168" i="13"/>
  <c r="AC169" i="13"/>
  <c r="AC170" i="13"/>
  <c r="AC171" i="13"/>
  <c r="AC172" i="13"/>
  <c r="AC173" i="13"/>
  <c r="AC174" i="13"/>
  <c r="AC175" i="13"/>
  <c r="AC176" i="13"/>
  <c r="AC177" i="13"/>
  <c r="AC178" i="13"/>
  <c r="AC179" i="13"/>
  <c r="AC180" i="13"/>
  <c r="AC181" i="13"/>
  <c r="AC182" i="13"/>
  <c r="AC183" i="13"/>
  <c r="AC184" i="13"/>
  <c r="AC185" i="13"/>
  <c r="AC186" i="13"/>
  <c r="AC187" i="13"/>
  <c r="AC188" i="13"/>
  <c r="AC189" i="13"/>
  <c r="AC190" i="13"/>
  <c r="AC191" i="13"/>
  <c r="AC192" i="13"/>
  <c r="AC193" i="13"/>
  <c r="AC194" i="13"/>
  <c r="AC195" i="13"/>
  <c r="AC196" i="13"/>
  <c r="AC197" i="13"/>
  <c r="AC198" i="13"/>
  <c r="AC199" i="13"/>
  <c r="AC200" i="13"/>
  <c r="AC201" i="13"/>
  <c r="AC202" i="13"/>
  <c r="AC203" i="13"/>
  <c r="AC204" i="13"/>
  <c r="AC205" i="13"/>
  <c r="AC206" i="13"/>
  <c r="AC207" i="13"/>
  <c r="AC208" i="13"/>
  <c r="AC209" i="13"/>
  <c r="AC210" i="13"/>
  <c r="AC211" i="13"/>
  <c r="AC212" i="13"/>
  <c r="AC213" i="13"/>
  <c r="AC214" i="13"/>
  <c r="AC215" i="13"/>
  <c r="AC216" i="13"/>
  <c r="AC217" i="13"/>
  <c r="AC218" i="13"/>
  <c r="AC219" i="13"/>
  <c r="AC220" i="13"/>
  <c r="AC221" i="13"/>
  <c r="AC222" i="13"/>
  <c r="AC223" i="13"/>
  <c r="AC224" i="13"/>
  <c r="AC225" i="13"/>
  <c r="AC226" i="13"/>
  <c r="AC227" i="13"/>
  <c r="AC228" i="13"/>
  <c r="AC229" i="13"/>
  <c r="AC230" i="13"/>
  <c r="AC231" i="13"/>
  <c r="AC232" i="13"/>
  <c r="AC233" i="13"/>
  <c r="AC234" i="13"/>
  <c r="AC235" i="13"/>
  <c r="AC236" i="13"/>
  <c r="AC237" i="13"/>
  <c r="AC238" i="13"/>
  <c r="AC239" i="13"/>
  <c r="AC240" i="13"/>
  <c r="AC241" i="13"/>
  <c r="AC242" i="13"/>
  <c r="AC243" i="13"/>
  <c r="AC244" i="13"/>
  <c r="AC245" i="13"/>
  <c r="AC246" i="13"/>
  <c r="AC247" i="13"/>
  <c r="AC248" i="13"/>
  <c r="AC249" i="13"/>
  <c r="AC250" i="13"/>
  <c r="AC251" i="13"/>
  <c r="AC252" i="13"/>
  <c r="AC253" i="13"/>
  <c r="AC254" i="13"/>
  <c r="AC255" i="13"/>
  <c r="AC256" i="13"/>
  <c r="AC257" i="13"/>
  <c r="AC258" i="13"/>
  <c r="AC259" i="13"/>
  <c r="AC260" i="13"/>
  <c r="AC261" i="13"/>
  <c r="AC262" i="13"/>
  <c r="AC263" i="13"/>
  <c r="AB3" i="13"/>
  <c r="AB4" i="13"/>
  <c r="AB5" i="13"/>
  <c r="AB6" i="13"/>
  <c r="AB7" i="13"/>
  <c r="AB8" i="13"/>
  <c r="AB9" i="13"/>
  <c r="AB10" i="13"/>
  <c r="AB11" i="13"/>
  <c r="AB12" i="13"/>
  <c r="AB13" i="13"/>
  <c r="AB14" i="13"/>
  <c r="AB15" i="13"/>
  <c r="AB16" i="13"/>
  <c r="AB17" i="13"/>
  <c r="AB18" i="13"/>
  <c r="AB19" i="13"/>
  <c r="AB20" i="13"/>
  <c r="AB21" i="13"/>
  <c r="AB22" i="13"/>
  <c r="AB23" i="13"/>
  <c r="AB24" i="13"/>
  <c r="AB25" i="13"/>
  <c r="AB26" i="13"/>
  <c r="AB27" i="13"/>
  <c r="AB28" i="13"/>
  <c r="AB29" i="13"/>
  <c r="AB30" i="13"/>
  <c r="AB31" i="13"/>
  <c r="AB32" i="13"/>
  <c r="AB33" i="13"/>
  <c r="AB34" i="13"/>
  <c r="AB35" i="13"/>
  <c r="AB36" i="13"/>
  <c r="AB37" i="13"/>
  <c r="AB38" i="13"/>
  <c r="AB39" i="13"/>
  <c r="AB40" i="13"/>
  <c r="AB41" i="13"/>
  <c r="AB42" i="13"/>
  <c r="AB43" i="13"/>
  <c r="AB44" i="13"/>
  <c r="AB45" i="13"/>
  <c r="AB46" i="13"/>
  <c r="AB47" i="13"/>
  <c r="AB48" i="13"/>
  <c r="AB49" i="13"/>
  <c r="AB50" i="13"/>
  <c r="AB51" i="13"/>
  <c r="AB52" i="13"/>
  <c r="AB53" i="13"/>
  <c r="AB54" i="13"/>
  <c r="AB55" i="13"/>
  <c r="AB56" i="13"/>
  <c r="AB57" i="13"/>
  <c r="AB58" i="13"/>
  <c r="AB59" i="13"/>
  <c r="AB60" i="13"/>
  <c r="AB62" i="13"/>
  <c r="AB63" i="13"/>
  <c r="AB64" i="13"/>
  <c r="AB65" i="13"/>
  <c r="AB66" i="13"/>
  <c r="AB67" i="13"/>
  <c r="AB68" i="13"/>
  <c r="AB69" i="13"/>
  <c r="AB70" i="13"/>
  <c r="AB71" i="13"/>
  <c r="AB72" i="13"/>
  <c r="AB73" i="13"/>
  <c r="AB74" i="13"/>
  <c r="AB75" i="13"/>
  <c r="AB76" i="13"/>
  <c r="AB77" i="13"/>
  <c r="AB78" i="13"/>
  <c r="AB79" i="13"/>
  <c r="AB80" i="13"/>
  <c r="AB81" i="13"/>
  <c r="AB82" i="13"/>
  <c r="AB83" i="13"/>
  <c r="AB84" i="13"/>
  <c r="AB85" i="13"/>
  <c r="AB86" i="13"/>
  <c r="AB87" i="13"/>
  <c r="AB88" i="13"/>
  <c r="AB89" i="13"/>
  <c r="AB90" i="13"/>
  <c r="AB91" i="13"/>
  <c r="AB92" i="13"/>
  <c r="AB93" i="13"/>
  <c r="AB94" i="13"/>
  <c r="AB95" i="13"/>
  <c r="AB96" i="13"/>
  <c r="AB97" i="13"/>
  <c r="AB98" i="13"/>
  <c r="AB99" i="13"/>
  <c r="AB100" i="13"/>
  <c r="AB101" i="13"/>
  <c r="AB102" i="13"/>
  <c r="AB103" i="13"/>
  <c r="AB104" i="13"/>
  <c r="AB105" i="13"/>
  <c r="AB106" i="13"/>
  <c r="AB107" i="13"/>
  <c r="AB108" i="13"/>
  <c r="AB109" i="13"/>
  <c r="AB110" i="13"/>
  <c r="AB111" i="13"/>
  <c r="AB112" i="13"/>
  <c r="AB113" i="13"/>
  <c r="AB114" i="13"/>
  <c r="AB115" i="13"/>
  <c r="AB116" i="13"/>
  <c r="AB117" i="13"/>
  <c r="AB118" i="13"/>
  <c r="AB119" i="13"/>
  <c r="AB120" i="13"/>
  <c r="AB121" i="13"/>
  <c r="AB122" i="13"/>
  <c r="AB123" i="13"/>
  <c r="AB124" i="13"/>
  <c r="AB125" i="13"/>
  <c r="AB126" i="13"/>
  <c r="AB127" i="13"/>
  <c r="AB128" i="13"/>
  <c r="AB129" i="13"/>
  <c r="AB130" i="13"/>
  <c r="AB131" i="13"/>
  <c r="AB132" i="13"/>
  <c r="AB133" i="13"/>
  <c r="AB134" i="13"/>
  <c r="AB135" i="13"/>
  <c r="AB136" i="13"/>
  <c r="AB137" i="13"/>
  <c r="AB138" i="13"/>
  <c r="AB139" i="13"/>
  <c r="AB140" i="13"/>
  <c r="AB141" i="13"/>
  <c r="AB142" i="13"/>
  <c r="AB143" i="13"/>
  <c r="AB144" i="13"/>
  <c r="AB145" i="13"/>
  <c r="AB146" i="13"/>
  <c r="AB147" i="13"/>
  <c r="AB148" i="13"/>
  <c r="AB149" i="13"/>
  <c r="AB150" i="13"/>
  <c r="AB151" i="13"/>
  <c r="AB152" i="13"/>
  <c r="AB153" i="13"/>
  <c r="AB154" i="13"/>
  <c r="AB155" i="13"/>
  <c r="AB156" i="13"/>
  <c r="AB157" i="13"/>
  <c r="AB158" i="13"/>
  <c r="AB159" i="13"/>
  <c r="AB160" i="13"/>
  <c r="AB161" i="13"/>
  <c r="AB162" i="13"/>
  <c r="AB163" i="13"/>
  <c r="AB164" i="13"/>
  <c r="AB165" i="13"/>
  <c r="AB166" i="13"/>
  <c r="AB167" i="13"/>
  <c r="AB168" i="13"/>
  <c r="AB169" i="13"/>
  <c r="AB170" i="13"/>
  <c r="AB171" i="13"/>
  <c r="AB172" i="13"/>
  <c r="AB173" i="13"/>
  <c r="AB174" i="13"/>
  <c r="AB175" i="13"/>
  <c r="AB176" i="13"/>
  <c r="AB177" i="13"/>
  <c r="AB178" i="13"/>
  <c r="AB179" i="13"/>
  <c r="AB180" i="13"/>
  <c r="AB181" i="13"/>
  <c r="AB182" i="13"/>
  <c r="AB183" i="13"/>
  <c r="AB184" i="13"/>
  <c r="AB185" i="13"/>
  <c r="AB186" i="13"/>
  <c r="AB187" i="13"/>
  <c r="AB188" i="13"/>
  <c r="AB189" i="13"/>
  <c r="AB190" i="13"/>
  <c r="AB191" i="13"/>
  <c r="AB192" i="13"/>
  <c r="AB193" i="13"/>
  <c r="AB194" i="13"/>
  <c r="AB195" i="13"/>
  <c r="AB196" i="13"/>
  <c r="AB197" i="13"/>
  <c r="AB198" i="13"/>
  <c r="AB199" i="13"/>
  <c r="AB200" i="13"/>
  <c r="AB201" i="13"/>
  <c r="AB202" i="13"/>
  <c r="AB203" i="13"/>
  <c r="AB204" i="13"/>
  <c r="AB205" i="13"/>
  <c r="AB206" i="13"/>
  <c r="AB207" i="13"/>
  <c r="AB208" i="13"/>
  <c r="AB209" i="13"/>
  <c r="AB210" i="13"/>
  <c r="AB211" i="13"/>
  <c r="AB212" i="13"/>
  <c r="AB213" i="13"/>
  <c r="AB214" i="13"/>
  <c r="AB215" i="13"/>
  <c r="AB216" i="13"/>
  <c r="AB217" i="13"/>
  <c r="AB218" i="13"/>
  <c r="AB219" i="13"/>
  <c r="AB220" i="13"/>
  <c r="AB221" i="13"/>
  <c r="AB222" i="13"/>
  <c r="AB223" i="13"/>
  <c r="AB224" i="13"/>
  <c r="AB225" i="13"/>
  <c r="AB226" i="13"/>
  <c r="AB227" i="13"/>
  <c r="AB228" i="13"/>
  <c r="AB229" i="13"/>
  <c r="AB230" i="13"/>
  <c r="AB231" i="13"/>
  <c r="AB232" i="13"/>
  <c r="AB233" i="13"/>
  <c r="AB234" i="13"/>
  <c r="AB235" i="13"/>
  <c r="AB236" i="13"/>
  <c r="AB237" i="13"/>
  <c r="AB238" i="13"/>
  <c r="AB239" i="13"/>
  <c r="AB240" i="13"/>
  <c r="AB241" i="13"/>
  <c r="AB242" i="13"/>
  <c r="AB243" i="13"/>
  <c r="AB244" i="13"/>
  <c r="AB245" i="13"/>
  <c r="AB246" i="13"/>
  <c r="AB247" i="13"/>
  <c r="AB248" i="13"/>
  <c r="AB249" i="13"/>
  <c r="AB250" i="13"/>
  <c r="AB251" i="13"/>
  <c r="AB252" i="13"/>
  <c r="AB253" i="13"/>
  <c r="AB254" i="13"/>
  <c r="AB255" i="13"/>
  <c r="AB256" i="13"/>
  <c r="AB257" i="13"/>
  <c r="AB258" i="13"/>
  <c r="AB259" i="13"/>
  <c r="AB260" i="13"/>
  <c r="AB261" i="13"/>
  <c r="AB262" i="13"/>
  <c r="AB263" i="13"/>
  <c r="Z2" i="13"/>
  <c r="Z3" i="13"/>
  <c r="Z4" i="13"/>
  <c r="Z5" i="13"/>
  <c r="Z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6" i="13"/>
  <c r="Z37" i="13"/>
  <c r="Z38"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9" i="13"/>
  <c r="Z70" i="13"/>
  <c r="Z71" i="13"/>
  <c r="Z72"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Z99" i="13"/>
  <c r="Z100" i="13"/>
  <c r="Z101" i="13"/>
  <c r="Z102" i="13"/>
  <c r="Z103" i="13"/>
  <c r="Z104" i="13"/>
  <c r="Z105" i="13"/>
  <c r="Z106" i="13"/>
  <c r="Z107" i="13"/>
  <c r="Z108" i="13"/>
  <c r="Z109" i="13"/>
  <c r="Z110" i="13"/>
  <c r="Z111" i="13"/>
  <c r="Z112" i="13"/>
  <c r="Z113" i="13"/>
  <c r="Z114" i="13"/>
  <c r="Z115" i="13"/>
  <c r="Z116" i="13"/>
  <c r="Z117" i="13"/>
  <c r="Z118" i="13"/>
  <c r="Z119" i="13"/>
  <c r="Z120" i="13"/>
  <c r="Z121" i="13"/>
  <c r="Z122" i="13"/>
  <c r="Z123" i="13"/>
  <c r="Z124" i="13"/>
  <c r="Z125" i="13"/>
  <c r="Z126" i="13"/>
  <c r="Z127" i="13"/>
  <c r="Z128" i="13"/>
  <c r="Z129" i="13"/>
  <c r="Z130" i="13"/>
  <c r="Z131" i="13"/>
  <c r="Z132" i="13"/>
  <c r="Z133" i="13"/>
  <c r="Z134" i="13"/>
  <c r="Z135" i="13"/>
  <c r="Z136" i="13"/>
  <c r="Z137" i="13"/>
  <c r="Z138" i="13"/>
  <c r="Z139" i="13"/>
  <c r="Z140" i="13"/>
  <c r="Z141" i="13"/>
  <c r="Z142" i="13"/>
  <c r="Z143" i="13"/>
  <c r="Z144" i="13"/>
  <c r="Z145" i="13"/>
  <c r="Z146" i="13"/>
  <c r="Z147" i="13"/>
  <c r="Z148" i="13"/>
  <c r="Z149" i="13"/>
  <c r="Z150" i="13"/>
  <c r="Z151" i="13"/>
  <c r="Z152" i="13"/>
  <c r="Z153" i="13"/>
  <c r="Z154" i="13"/>
  <c r="Z155" i="13"/>
  <c r="Z156" i="13"/>
  <c r="Z157" i="13"/>
  <c r="Z158" i="13"/>
  <c r="Z159" i="13"/>
  <c r="Z160" i="13"/>
  <c r="Z161" i="13"/>
  <c r="Z162" i="13"/>
  <c r="Z163" i="13"/>
  <c r="Z164" i="13"/>
  <c r="Z165" i="13"/>
  <c r="Z166" i="13"/>
  <c r="Z167" i="13"/>
  <c r="Z168" i="13"/>
  <c r="Z169" i="13"/>
  <c r="Z170" i="13"/>
  <c r="Z171" i="13"/>
  <c r="Z172" i="13"/>
  <c r="Z173" i="13"/>
  <c r="Z174" i="13"/>
  <c r="Z175" i="13"/>
  <c r="Z176" i="13"/>
  <c r="Z177" i="13"/>
  <c r="Z178" i="13"/>
  <c r="Z179" i="13"/>
  <c r="Z180" i="13"/>
  <c r="Z181" i="13"/>
  <c r="Z182" i="13"/>
  <c r="Z183" i="13"/>
  <c r="Z184" i="13"/>
  <c r="Z185" i="13"/>
  <c r="Z186" i="13"/>
  <c r="Z187" i="13"/>
  <c r="Z188" i="13"/>
  <c r="Z189" i="13"/>
  <c r="Z190" i="13"/>
  <c r="Z191" i="13"/>
  <c r="Z192" i="13"/>
  <c r="Z193" i="13"/>
  <c r="Z194" i="13"/>
  <c r="Z195" i="13"/>
  <c r="Z196" i="13"/>
  <c r="Z197" i="13"/>
  <c r="Z198" i="13"/>
  <c r="Z199" i="13"/>
  <c r="Z200" i="13"/>
  <c r="Z201" i="13"/>
  <c r="Z202" i="13"/>
  <c r="Z203" i="13"/>
  <c r="Z204" i="13"/>
  <c r="Z205" i="13"/>
  <c r="Z206" i="13"/>
  <c r="Z207" i="13"/>
  <c r="Z208" i="13"/>
  <c r="Z209" i="13"/>
  <c r="Z210" i="13"/>
  <c r="Z211" i="13"/>
  <c r="Z212" i="13"/>
  <c r="Z213" i="13"/>
  <c r="Z214" i="13"/>
  <c r="Z215" i="13"/>
  <c r="Z216" i="13"/>
  <c r="Z217" i="13"/>
  <c r="Z218" i="13"/>
  <c r="Z219" i="13"/>
  <c r="Z220" i="13"/>
  <c r="Z221" i="13"/>
  <c r="Z222" i="13"/>
  <c r="Z223" i="13"/>
  <c r="Z224" i="13"/>
  <c r="Z225" i="13"/>
  <c r="Z226" i="13"/>
  <c r="Z227" i="13"/>
  <c r="Z228" i="13"/>
  <c r="Z229" i="13"/>
  <c r="Z230" i="13"/>
  <c r="Z231" i="13"/>
  <c r="Z232" i="13"/>
  <c r="Z233" i="13"/>
  <c r="Z234" i="13"/>
  <c r="Z235" i="13"/>
  <c r="Z236" i="13"/>
  <c r="Z237" i="13"/>
  <c r="Z238" i="13"/>
  <c r="Z239" i="13"/>
  <c r="Z240" i="13"/>
  <c r="Z241" i="13"/>
  <c r="Z242" i="13"/>
  <c r="Z243" i="13"/>
  <c r="Z244" i="13"/>
  <c r="Z245" i="13"/>
  <c r="Z246" i="13"/>
  <c r="Z247" i="13"/>
  <c r="Z248" i="13"/>
  <c r="Z249" i="13"/>
  <c r="Z250" i="13"/>
  <c r="Z251" i="13"/>
  <c r="Z252" i="13"/>
  <c r="Z253" i="13"/>
  <c r="Z254" i="13"/>
  <c r="Z255" i="13"/>
  <c r="Z256" i="13"/>
  <c r="Z257" i="13"/>
  <c r="Z258" i="13"/>
  <c r="Z259" i="13"/>
  <c r="Z260" i="13"/>
  <c r="Z261" i="13"/>
  <c r="Z262" i="13"/>
  <c r="Z263" i="13"/>
  <c r="Z264" i="13"/>
  <c r="Z265" i="13"/>
  <c r="Z266" i="13"/>
  <c r="X216" i="13"/>
  <c r="X217" i="13"/>
  <c r="X218" i="13"/>
  <c r="X219" i="13"/>
  <c r="X220" i="13"/>
  <c r="X221" i="13"/>
  <c r="X222" i="13"/>
  <c r="X223" i="13"/>
  <c r="X224" i="13"/>
  <c r="X225" i="13"/>
  <c r="X226" i="13"/>
  <c r="X227" i="13"/>
  <c r="X228" i="13"/>
  <c r="X229" i="13"/>
  <c r="X230" i="13"/>
  <c r="X231" i="13"/>
  <c r="X232" i="13"/>
  <c r="X233" i="13"/>
  <c r="X234" i="13"/>
  <c r="X235" i="13"/>
  <c r="X236" i="13"/>
  <c r="X237" i="13"/>
  <c r="X238" i="13"/>
  <c r="X239" i="13"/>
  <c r="X240" i="13"/>
  <c r="X241" i="13"/>
  <c r="X242" i="13"/>
  <c r="X243" i="13"/>
  <c r="X244" i="13"/>
  <c r="X245" i="13"/>
  <c r="X246" i="13"/>
  <c r="X247" i="13"/>
  <c r="X248" i="13"/>
  <c r="V219" i="13"/>
  <c r="V220" i="13"/>
  <c r="V221" i="13"/>
  <c r="V222" i="13"/>
  <c r="V223" i="13"/>
  <c r="V224" i="13"/>
  <c r="V225" i="13"/>
  <c r="V226" i="13"/>
  <c r="V227" i="13"/>
  <c r="V228" i="13"/>
  <c r="V229" i="13"/>
  <c r="V230" i="13"/>
  <c r="V231" i="13"/>
  <c r="V232" i="13"/>
  <c r="V233" i="13"/>
  <c r="V234" i="13"/>
  <c r="V235" i="13"/>
  <c r="V236" i="13"/>
  <c r="V237" i="13"/>
  <c r="V238" i="13"/>
  <c r="V239" i="13"/>
  <c r="V240" i="13"/>
  <c r="V241" i="13"/>
  <c r="V242" i="13"/>
  <c r="V243" i="13"/>
  <c r="V244" i="13"/>
  <c r="V245" i="13"/>
  <c r="V246" i="13"/>
  <c r="V247" i="13"/>
  <c r="V248" i="13"/>
  <c r="Q105" i="13"/>
  <c r="Q106" i="13"/>
  <c r="Q107" i="13"/>
  <c r="Q108" i="13"/>
  <c r="Q109" i="13"/>
  <c r="Q110" i="13"/>
  <c r="Q111" i="13"/>
  <c r="Q112" i="13"/>
  <c r="Q113" i="13"/>
  <c r="Q114" i="13"/>
  <c r="Q115" i="13"/>
  <c r="Q116" i="13"/>
  <c r="Q117" i="13"/>
  <c r="Q118" i="13"/>
  <c r="Q119" i="13"/>
  <c r="Q120" i="13"/>
  <c r="Q121" i="13"/>
  <c r="Q122" i="13"/>
  <c r="Q123" i="13"/>
  <c r="Q124" i="13"/>
  <c r="Q125" i="13"/>
  <c r="Q126" i="13"/>
  <c r="Q127" i="13"/>
  <c r="Q128" i="13"/>
  <c r="Q129" i="13"/>
  <c r="Q130" i="13"/>
  <c r="Q131" i="13"/>
  <c r="Q132" i="13"/>
  <c r="Q133" i="13"/>
  <c r="Q134" i="13"/>
  <c r="Q135" i="13"/>
  <c r="Q136" i="13"/>
  <c r="Q137" i="13"/>
  <c r="Q138" i="13"/>
  <c r="Q139" i="13"/>
  <c r="Q140" i="13"/>
  <c r="Q141" i="13"/>
  <c r="Q142" i="13"/>
  <c r="Q143" i="13"/>
  <c r="Q144" i="13"/>
  <c r="Q145" i="13"/>
  <c r="Q146" i="13"/>
  <c r="Q147" i="13"/>
  <c r="Q148" i="13"/>
  <c r="Q149" i="13"/>
  <c r="Q150" i="13"/>
  <c r="Q151" i="13"/>
  <c r="Q152" i="13"/>
  <c r="Q153" i="13"/>
  <c r="Q154" i="13"/>
  <c r="Q155" i="13"/>
  <c r="Q156" i="13"/>
  <c r="Q157" i="13"/>
  <c r="Q158" i="13"/>
  <c r="Q159" i="13"/>
  <c r="Q160" i="13"/>
  <c r="Q161" i="13"/>
  <c r="Q162" i="13"/>
  <c r="Q163" i="13"/>
  <c r="Q164" i="13"/>
  <c r="Q165" i="13"/>
  <c r="Q166" i="13"/>
  <c r="Q167" i="13"/>
  <c r="Q168" i="13"/>
  <c r="Q169" i="13"/>
  <c r="Q170" i="13"/>
  <c r="Q171" i="13"/>
  <c r="Q172" i="13"/>
  <c r="Q173" i="13"/>
  <c r="Q174" i="13"/>
  <c r="Q175" i="13"/>
  <c r="Q176" i="13"/>
  <c r="Q177" i="13"/>
  <c r="Q178" i="13"/>
  <c r="Q179" i="13"/>
  <c r="Q180" i="13"/>
  <c r="Q181" i="13"/>
  <c r="Q182" i="13"/>
  <c r="Q183" i="13"/>
  <c r="Q184" i="13"/>
  <c r="Q185" i="13"/>
  <c r="Q186" i="13"/>
  <c r="Q187" i="13"/>
  <c r="Q188" i="13"/>
  <c r="Q189" i="13"/>
  <c r="Q190" i="13"/>
  <c r="Q191" i="13"/>
  <c r="Q192" i="13"/>
  <c r="Q193" i="13"/>
  <c r="Q194" i="13"/>
  <c r="Q195" i="13"/>
  <c r="Q196" i="13"/>
  <c r="Q197" i="13"/>
  <c r="Q198" i="13"/>
  <c r="Q199" i="13"/>
  <c r="Q200" i="13"/>
  <c r="Q201" i="13"/>
  <c r="Q202" i="13"/>
  <c r="Q203" i="13"/>
  <c r="Q204" i="13"/>
  <c r="Q205" i="13"/>
  <c r="Q206" i="13"/>
  <c r="Q207" i="13"/>
  <c r="Q208" i="13"/>
  <c r="Q209" i="13"/>
  <c r="Q210" i="13"/>
  <c r="Q211" i="13"/>
  <c r="Q212" i="13"/>
  <c r="Q213" i="13"/>
  <c r="Q214" i="13"/>
  <c r="Q215" i="13"/>
  <c r="Q216" i="13"/>
  <c r="Q217" i="13"/>
  <c r="Q218" i="13"/>
  <c r="Q219" i="13"/>
  <c r="Q220" i="13"/>
  <c r="Q221" i="13"/>
  <c r="Q222" i="13"/>
  <c r="Q223" i="13"/>
  <c r="Q224" i="13"/>
  <c r="Q225" i="13"/>
  <c r="Q226" i="13"/>
  <c r="Q227" i="13"/>
  <c r="Q228" i="13"/>
  <c r="Q229" i="13"/>
  <c r="Q230" i="13"/>
  <c r="Q231" i="13"/>
  <c r="Q232" i="13"/>
  <c r="Q233" i="13"/>
  <c r="Q234" i="13"/>
  <c r="Q235" i="13"/>
  <c r="Q236" i="13"/>
  <c r="Q237" i="13"/>
  <c r="Q238" i="13"/>
  <c r="Q239" i="13"/>
  <c r="Q240" i="13"/>
  <c r="Q241" i="13"/>
  <c r="Q242" i="13"/>
  <c r="Q243" i="13"/>
  <c r="Q244" i="13"/>
  <c r="Q245" i="13"/>
  <c r="Q246" i="13"/>
  <c r="Q247" i="13"/>
  <c r="Q248" i="13"/>
  <c r="Q249" i="13"/>
  <c r="Q250" i="13"/>
  <c r="Q251" i="13"/>
  <c r="Q252" i="13"/>
  <c r="Q253" i="13"/>
  <c r="Q254" i="13"/>
  <c r="Q255" i="13"/>
  <c r="Q256" i="13"/>
  <c r="Q257" i="13"/>
  <c r="Q258" i="13"/>
  <c r="Q259" i="13"/>
  <c r="Q260" i="13"/>
  <c r="Q261" i="13"/>
  <c r="Q262" i="13"/>
  <c r="Q263" i="13"/>
  <c r="Q264" i="13"/>
  <c r="Q265" i="13"/>
  <c r="Q266" i="13"/>
  <c r="V218" i="13"/>
  <c r="AP218" i="13"/>
  <c r="V217" i="13"/>
  <c r="AP217" i="13"/>
  <c r="V216" i="13"/>
  <c r="AP216" i="13"/>
  <c r="Z35" i="13"/>
  <c r="X123" i="13"/>
  <c r="BT227" i="13"/>
  <c r="BT208" i="13"/>
  <c r="BT44" i="13"/>
  <c r="BT45" i="13"/>
  <c r="BT46" i="13"/>
  <c r="BT47" i="13"/>
  <c r="BT48" i="13"/>
  <c r="BT49" i="13"/>
  <c r="BT50" i="13"/>
  <c r="BT51" i="13"/>
  <c r="BT52" i="13"/>
  <c r="BT53" i="13"/>
  <c r="BT54" i="13"/>
  <c r="BT55" i="13"/>
  <c r="BT56" i="13"/>
  <c r="BT57" i="13"/>
  <c r="BT58" i="13"/>
  <c r="BT59" i="13"/>
  <c r="BT60" i="13"/>
  <c r="BT61" i="13"/>
  <c r="BT62" i="13"/>
  <c r="BT63" i="13"/>
  <c r="BT64" i="13"/>
  <c r="BT65" i="13"/>
  <c r="BT71" i="13"/>
  <c r="BT67" i="13"/>
  <c r="BT72" i="13"/>
  <c r="BT69" i="13"/>
  <c r="BT70" i="13"/>
  <c r="BT154" i="13"/>
  <c r="BT114" i="13"/>
  <c r="BT190" i="13"/>
  <c r="BT192" i="13"/>
  <c r="BT126" i="13"/>
  <c r="BT76" i="13"/>
  <c r="BT77" i="13"/>
  <c r="BT129" i="13"/>
  <c r="BT79" i="13"/>
  <c r="BT80" i="13"/>
  <c r="BT123" i="13"/>
  <c r="BT124" i="13"/>
  <c r="BT83" i="13"/>
  <c r="BT84" i="13"/>
  <c r="BT85" i="13"/>
  <c r="BT86" i="13"/>
  <c r="BT87" i="13"/>
  <c r="BT88" i="13"/>
  <c r="BT89" i="13"/>
  <c r="BT90" i="13"/>
  <c r="BT91" i="13"/>
  <c r="BT92" i="13"/>
  <c r="BT93" i="13"/>
  <c r="BT94" i="13"/>
  <c r="BT95" i="13"/>
  <c r="BT96" i="13"/>
  <c r="BT97" i="13"/>
  <c r="BT98" i="13"/>
  <c r="BT209" i="13"/>
  <c r="BT100" i="13"/>
  <c r="BT101" i="13"/>
  <c r="BT102" i="13"/>
  <c r="BT103" i="13"/>
  <c r="BT104" i="13"/>
  <c r="BT105" i="13"/>
  <c r="BT108" i="13"/>
  <c r="BT107" i="13"/>
  <c r="BT218" i="13"/>
  <c r="BT219" i="13"/>
  <c r="BT229" i="13"/>
  <c r="BT73" i="13"/>
  <c r="BT113" i="13"/>
  <c r="BT134" i="13"/>
  <c r="BT231" i="13"/>
  <c r="BT116" i="13"/>
  <c r="BT135" i="13"/>
  <c r="BT118" i="13"/>
  <c r="BT119" i="13"/>
  <c r="BT210" i="13"/>
  <c r="BT74" i="13"/>
  <c r="BT122" i="13"/>
  <c r="BT75" i="13"/>
  <c r="BT78" i="13"/>
  <c r="BT222" i="13"/>
  <c r="BT233" i="13"/>
  <c r="BT127" i="13"/>
  <c r="BT128" i="13"/>
  <c r="BT223" i="13"/>
  <c r="BT130" i="13"/>
  <c r="BT131" i="13"/>
  <c r="BT132" i="13"/>
  <c r="BT133" i="13"/>
  <c r="BT211" i="13"/>
  <c r="BT214" i="13"/>
  <c r="BT136" i="13"/>
  <c r="BT137" i="13"/>
  <c r="BT138" i="13"/>
  <c r="BT139" i="13"/>
  <c r="BT140" i="13"/>
  <c r="BT141" i="13"/>
  <c r="BT142" i="13"/>
  <c r="BT66" i="13"/>
  <c r="BT144" i="13"/>
  <c r="BT145" i="13"/>
  <c r="BT146" i="13"/>
  <c r="BT147" i="13"/>
  <c r="BT148" i="13"/>
  <c r="BT68" i="13"/>
  <c r="BT150" i="13"/>
  <c r="BT151" i="13"/>
  <c r="BT152" i="13"/>
  <c r="BT224" i="13"/>
  <c r="BT225" i="13"/>
  <c r="BT155" i="13"/>
  <c r="BT81" i="13"/>
  <c r="BT157" i="13"/>
  <c r="BT158" i="13"/>
  <c r="BT159" i="13"/>
  <c r="BT160" i="13"/>
  <c r="BT235" i="13"/>
  <c r="BT162" i="13"/>
  <c r="BT163" i="13"/>
  <c r="BT82" i="13"/>
  <c r="BT165" i="13"/>
  <c r="BT166" i="13"/>
  <c r="BT167" i="13"/>
  <c r="BT168" i="13"/>
  <c r="BT169" i="13"/>
  <c r="BT170" i="13"/>
  <c r="BT215" i="13"/>
  <c r="BT172" i="13"/>
  <c r="BT173" i="13"/>
  <c r="BT174" i="13"/>
  <c r="BT156" i="13"/>
  <c r="BT176" i="13"/>
  <c r="BT177" i="13"/>
  <c r="BT178" i="13"/>
  <c r="BT179" i="13"/>
  <c r="BT180" i="13"/>
  <c r="BT181" i="13"/>
  <c r="BT182" i="13"/>
  <c r="BT236" i="13"/>
  <c r="BT184" i="13"/>
  <c r="BT185" i="13"/>
  <c r="BT238" i="13"/>
  <c r="BT187" i="13"/>
  <c r="BT241" i="13"/>
  <c r="BT196" i="13"/>
  <c r="BT278" i="13"/>
  <c r="BT191" i="13"/>
  <c r="BT161" i="13"/>
  <c r="BT193" i="13"/>
  <c r="BT194" i="13"/>
  <c r="BT195" i="13"/>
  <c r="BT216" i="13"/>
  <c r="BT197" i="13"/>
  <c r="BT198" i="13"/>
  <c r="BT199" i="13"/>
  <c r="BT125" i="13"/>
  <c r="BT201" i="13"/>
  <c r="BT202" i="13"/>
  <c r="BT203" i="13"/>
  <c r="BT143" i="13"/>
  <c r="BT205" i="13"/>
  <c r="BT206" i="13"/>
  <c r="BT149" i="13"/>
  <c r="BT153" i="13"/>
  <c r="BT200" i="13"/>
  <c r="BT204" i="13"/>
  <c r="BT207" i="13"/>
  <c r="BT212" i="13"/>
  <c r="BT213" i="13"/>
  <c r="BT164" i="13"/>
  <c r="BT171" i="13"/>
  <c r="BT343" i="13"/>
  <c r="BT353" i="13"/>
  <c r="BT220" i="13"/>
  <c r="BT264" i="13"/>
  <c r="BT265" i="13"/>
  <c r="BT266" i="13"/>
  <c r="AN44" i="13"/>
  <c r="AN45" i="13"/>
  <c r="AN46" i="13"/>
  <c r="AN47" i="13"/>
  <c r="AN48" i="13"/>
  <c r="AN49" i="13"/>
  <c r="AN50" i="13"/>
  <c r="AN51" i="13"/>
  <c r="AN52" i="13"/>
  <c r="AN53" i="13"/>
  <c r="AN54" i="13"/>
  <c r="AN55" i="13"/>
  <c r="AN56" i="13"/>
  <c r="AN57" i="13"/>
  <c r="AN58" i="13"/>
  <c r="AN59" i="13"/>
  <c r="AN60" i="13"/>
  <c r="AN61" i="13"/>
  <c r="AN62" i="13"/>
  <c r="AN63" i="13"/>
  <c r="AN64" i="13"/>
  <c r="AN65" i="13"/>
  <c r="AN66" i="13"/>
  <c r="AN67" i="13"/>
  <c r="AN68" i="13"/>
  <c r="AN69" i="13"/>
  <c r="AN70" i="13"/>
  <c r="AN71" i="13"/>
  <c r="AN72" i="13"/>
  <c r="AN73" i="13"/>
  <c r="AN74" i="13"/>
  <c r="AN75" i="13"/>
  <c r="AN76" i="13"/>
  <c r="AN77" i="13"/>
  <c r="AN78" i="13"/>
  <c r="AN79" i="13"/>
  <c r="AN80" i="13"/>
  <c r="AN81" i="13"/>
  <c r="AN82" i="13"/>
  <c r="AN83" i="13"/>
  <c r="AN84" i="13"/>
  <c r="AN85" i="13"/>
  <c r="AN86" i="13"/>
  <c r="AN87" i="13"/>
  <c r="AN88" i="13"/>
  <c r="AN89" i="13"/>
  <c r="AN90" i="13"/>
  <c r="AN91" i="13"/>
  <c r="AN92" i="13"/>
  <c r="AN93" i="13"/>
  <c r="AN94" i="13"/>
  <c r="AN95" i="13"/>
  <c r="AN96" i="13"/>
  <c r="AN97" i="13"/>
  <c r="AN98" i="13"/>
  <c r="AN99" i="13"/>
  <c r="AN100" i="13"/>
  <c r="AN101" i="13"/>
  <c r="AN102" i="13"/>
  <c r="AN103" i="13"/>
  <c r="AN104" i="13"/>
  <c r="AN105" i="13"/>
  <c r="AN106" i="13"/>
  <c r="AN107" i="13"/>
  <c r="AN108" i="13"/>
  <c r="AN109" i="13"/>
  <c r="AN110" i="13"/>
  <c r="AN111" i="13"/>
  <c r="AN112" i="13"/>
  <c r="AN113" i="13"/>
  <c r="AN114" i="13"/>
  <c r="AN115" i="13"/>
  <c r="AN116" i="13"/>
  <c r="AN117" i="13"/>
  <c r="AN118" i="13"/>
  <c r="AN119" i="13"/>
  <c r="AN120" i="13"/>
  <c r="AN121" i="13"/>
  <c r="AN122" i="13"/>
  <c r="AN123" i="13"/>
  <c r="AN124" i="13"/>
  <c r="AN125" i="13"/>
  <c r="AN126" i="13"/>
  <c r="AN127" i="13"/>
  <c r="AN128" i="13"/>
  <c r="AN129" i="13"/>
  <c r="AN130" i="13"/>
  <c r="AN131" i="13"/>
  <c r="AN132" i="13"/>
  <c r="AN133" i="13"/>
  <c r="AN134" i="13"/>
  <c r="AN135" i="13"/>
  <c r="AN136" i="13"/>
  <c r="AN137" i="13"/>
  <c r="AN138" i="13"/>
  <c r="AN139" i="13"/>
  <c r="AN140" i="13"/>
  <c r="AN141" i="13"/>
  <c r="AN142" i="13"/>
  <c r="AN143" i="13"/>
  <c r="AN144" i="13"/>
  <c r="AN145" i="13"/>
  <c r="AN146" i="13"/>
  <c r="AN147" i="13"/>
  <c r="AN148" i="13"/>
  <c r="AN149" i="13"/>
  <c r="AN150" i="13"/>
  <c r="AN151" i="13"/>
  <c r="AN152" i="13"/>
  <c r="AN153" i="13"/>
  <c r="AN154" i="13"/>
  <c r="AN155" i="13"/>
  <c r="AN156" i="13"/>
  <c r="AN157" i="13"/>
  <c r="AN158" i="13"/>
  <c r="AN159" i="13"/>
  <c r="AN160" i="13"/>
  <c r="AN161" i="13"/>
  <c r="AN162" i="13"/>
  <c r="AN163" i="13"/>
  <c r="AN164" i="13"/>
  <c r="AN165" i="13"/>
  <c r="AN166" i="13"/>
  <c r="AN167" i="13"/>
  <c r="AN168" i="13"/>
  <c r="AN169" i="13"/>
  <c r="AN170" i="13"/>
  <c r="AN171" i="13"/>
  <c r="AN172" i="13"/>
  <c r="AN173" i="13"/>
  <c r="AN174" i="13"/>
  <c r="AN175" i="13"/>
  <c r="AN176" i="13"/>
  <c r="AN177" i="13"/>
  <c r="AN178" i="13"/>
  <c r="AN179" i="13"/>
  <c r="AN180" i="13"/>
  <c r="AN181" i="13"/>
  <c r="AN182" i="13"/>
  <c r="AN183" i="13"/>
  <c r="AN184" i="13"/>
  <c r="AN185" i="13"/>
  <c r="AN186" i="13"/>
  <c r="AN187" i="13"/>
  <c r="AN188" i="13"/>
  <c r="AN189" i="13"/>
  <c r="AN190" i="13"/>
  <c r="AN191" i="13"/>
  <c r="AN192" i="13"/>
  <c r="AN193" i="13"/>
  <c r="AN194" i="13"/>
  <c r="AN195" i="13"/>
  <c r="AN196" i="13"/>
  <c r="AN197" i="13"/>
  <c r="AN198" i="13"/>
  <c r="AN199" i="13"/>
  <c r="AN200" i="13"/>
  <c r="AN201" i="13"/>
  <c r="AN202" i="13"/>
  <c r="AN203" i="13"/>
  <c r="AN204" i="13"/>
  <c r="AN205" i="13"/>
  <c r="AN206" i="13"/>
  <c r="AN207" i="13"/>
  <c r="AN208" i="13"/>
  <c r="AN209" i="13"/>
  <c r="AN210" i="13"/>
  <c r="AN211" i="13"/>
  <c r="AN212" i="13"/>
  <c r="AN213" i="13"/>
  <c r="AN214" i="13"/>
  <c r="AN215" i="13"/>
  <c r="AN249" i="13"/>
  <c r="AN250" i="13"/>
  <c r="AN251" i="13"/>
  <c r="AN252" i="13"/>
  <c r="AN253" i="13"/>
  <c r="AN254" i="13"/>
  <c r="AN255" i="13"/>
  <c r="AN256" i="13"/>
  <c r="AN257" i="13"/>
  <c r="AN258" i="13"/>
  <c r="AN259" i="13"/>
  <c r="AN260" i="13"/>
  <c r="AN261" i="13"/>
  <c r="AN262" i="13"/>
  <c r="AN263" i="13"/>
  <c r="AN264" i="13"/>
  <c r="AN265" i="13"/>
  <c r="AN266" i="13"/>
  <c r="AP258" i="13"/>
  <c r="AO258" i="13" s="1"/>
  <c r="AP259" i="13"/>
  <c r="AO259" i="13" s="1"/>
  <c r="AP260" i="13"/>
  <c r="AO260" i="13" s="1"/>
  <c r="AP261" i="13"/>
  <c r="AO261" i="13" s="1"/>
  <c r="AP262" i="13"/>
  <c r="AO262" i="13" s="1"/>
  <c r="AP263" i="13"/>
  <c r="AO263" i="13" s="1"/>
  <c r="AP264" i="13"/>
  <c r="AO264" i="13" s="1"/>
  <c r="AP265" i="13"/>
  <c r="AO265" i="13" s="1"/>
  <c r="AP266" i="13"/>
  <c r="AO266" i="13" s="1"/>
  <c r="AQ44" i="13"/>
  <c r="AQ45" i="13"/>
  <c r="AQ46" i="13"/>
  <c r="AQ47" i="13"/>
  <c r="AQ48" i="13"/>
  <c r="AQ49" i="13"/>
  <c r="AQ50" i="13"/>
  <c r="AQ51" i="13"/>
  <c r="AQ52" i="13"/>
  <c r="AQ53" i="13"/>
  <c r="AQ54" i="13"/>
  <c r="AQ55" i="13"/>
  <c r="AQ56" i="13"/>
  <c r="AQ57" i="13"/>
  <c r="AQ58" i="13"/>
  <c r="AQ59" i="13"/>
  <c r="AQ60" i="13"/>
  <c r="AQ61" i="13"/>
  <c r="AQ62" i="13"/>
  <c r="AQ63" i="13"/>
  <c r="AQ64" i="13"/>
  <c r="AQ65" i="13"/>
  <c r="AQ66" i="13"/>
  <c r="AQ67" i="13"/>
  <c r="AQ68" i="13"/>
  <c r="AQ69" i="13"/>
  <c r="AQ70" i="13"/>
  <c r="AQ71" i="13"/>
  <c r="AQ72" i="13"/>
  <c r="AQ73" i="13"/>
  <c r="AQ74" i="13"/>
  <c r="AQ75" i="13"/>
  <c r="AQ76" i="13"/>
  <c r="AQ77" i="13"/>
  <c r="AQ78" i="13"/>
  <c r="AQ79" i="13"/>
  <c r="AQ80" i="13"/>
  <c r="AQ81" i="13"/>
  <c r="AQ82" i="13"/>
  <c r="AQ83" i="13"/>
  <c r="AQ84" i="13"/>
  <c r="AQ85" i="13"/>
  <c r="AQ86" i="13"/>
  <c r="AQ87" i="13"/>
  <c r="AQ88" i="13"/>
  <c r="AQ89" i="13"/>
  <c r="AQ90" i="13"/>
  <c r="AQ91" i="13"/>
  <c r="AQ92" i="13"/>
  <c r="AQ93" i="13"/>
  <c r="AQ94" i="13"/>
  <c r="AQ95" i="13"/>
  <c r="AQ96" i="13"/>
  <c r="AQ97" i="13"/>
  <c r="AQ98" i="13"/>
  <c r="AQ99" i="13"/>
  <c r="AQ100" i="13"/>
  <c r="AQ101" i="13"/>
  <c r="AQ102" i="13"/>
  <c r="AQ103" i="13"/>
  <c r="AQ104" i="13"/>
  <c r="AQ105" i="13"/>
  <c r="AQ106" i="13"/>
  <c r="AQ107" i="13"/>
  <c r="AQ108" i="13"/>
  <c r="AQ109" i="13"/>
  <c r="AQ110" i="13"/>
  <c r="AQ111" i="13"/>
  <c r="AQ112" i="13"/>
  <c r="AQ113" i="13"/>
  <c r="AQ114" i="13"/>
  <c r="AQ115" i="13"/>
  <c r="AQ116" i="13"/>
  <c r="AQ117" i="13"/>
  <c r="AQ118" i="13"/>
  <c r="AQ119" i="13"/>
  <c r="AQ120" i="13"/>
  <c r="AQ121" i="13"/>
  <c r="AQ122" i="13"/>
  <c r="AQ123" i="13"/>
  <c r="AQ124" i="13"/>
  <c r="AQ125" i="13"/>
  <c r="AQ126" i="13"/>
  <c r="AQ127" i="13"/>
  <c r="AQ128" i="13"/>
  <c r="AQ129" i="13"/>
  <c r="AQ130" i="13"/>
  <c r="AQ131" i="13"/>
  <c r="AQ132" i="13"/>
  <c r="AQ133" i="13"/>
  <c r="AQ134" i="13"/>
  <c r="AQ135" i="13"/>
  <c r="AQ136" i="13"/>
  <c r="AQ137" i="13"/>
  <c r="AQ138" i="13"/>
  <c r="AQ139" i="13"/>
  <c r="AQ140" i="13"/>
  <c r="AQ141" i="13"/>
  <c r="AQ142" i="13"/>
  <c r="AQ143" i="13"/>
  <c r="AQ144" i="13"/>
  <c r="AQ145" i="13"/>
  <c r="AQ146" i="13"/>
  <c r="AQ147" i="13"/>
  <c r="AQ148" i="13"/>
  <c r="AQ149" i="13"/>
  <c r="AQ150" i="13"/>
  <c r="AQ151" i="13"/>
  <c r="AQ152" i="13"/>
  <c r="AQ153" i="13"/>
  <c r="AQ154" i="13"/>
  <c r="AQ155" i="13"/>
  <c r="AQ156" i="13"/>
  <c r="AQ157" i="13"/>
  <c r="AQ158" i="13"/>
  <c r="AQ159" i="13"/>
  <c r="AQ160" i="13"/>
  <c r="AQ161" i="13"/>
  <c r="AQ162" i="13"/>
  <c r="AQ163" i="13"/>
  <c r="AQ164" i="13"/>
  <c r="AQ165" i="13"/>
  <c r="AQ166" i="13"/>
  <c r="AQ167" i="13"/>
  <c r="AQ168" i="13"/>
  <c r="AQ169" i="13"/>
  <c r="AQ170" i="13"/>
  <c r="AQ171" i="13"/>
  <c r="AQ172" i="13"/>
  <c r="AQ173" i="13"/>
  <c r="AQ174" i="13"/>
  <c r="AQ175" i="13"/>
  <c r="AQ176" i="13"/>
  <c r="AQ177" i="13"/>
  <c r="AQ178" i="13"/>
  <c r="AQ179" i="13"/>
  <c r="AQ180" i="13"/>
  <c r="AQ181" i="13"/>
  <c r="AQ182" i="13"/>
  <c r="AQ183" i="13"/>
  <c r="AQ184" i="13"/>
  <c r="AQ185" i="13"/>
  <c r="AQ186" i="13"/>
  <c r="AQ187" i="13"/>
  <c r="AQ188" i="13"/>
  <c r="AQ189" i="13"/>
  <c r="AQ190" i="13"/>
  <c r="AQ191" i="13"/>
  <c r="AQ192" i="13"/>
  <c r="AQ193" i="13"/>
  <c r="AQ194" i="13"/>
  <c r="AQ195" i="13"/>
  <c r="AQ196" i="13"/>
  <c r="AQ197" i="13"/>
  <c r="AQ198" i="13"/>
  <c r="AQ199" i="13"/>
  <c r="AQ200" i="13"/>
  <c r="AQ201" i="13"/>
  <c r="AQ202" i="13"/>
  <c r="AQ203" i="13"/>
  <c r="AQ204" i="13"/>
  <c r="AQ205" i="13"/>
  <c r="AQ206" i="13"/>
  <c r="AQ207" i="13"/>
  <c r="AQ208" i="13"/>
  <c r="AQ209" i="13"/>
  <c r="AQ210" i="13"/>
  <c r="AQ211" i="13"/>
  <c r="AQ212" i="13"/>
  <c r="AQ213" i="13"/>
  <c r="AQ214" i="13"/>
  <c r="AQ215" i="13"/>
  <c r="AQ249" i="13"/>
  <c r="AQ250" i="13"/>
  <c r="AQ251" i="13"/>
  <c r="AQ252" i="13"/>
  <c r="AQ253" i="13"/>
  <c r="AQ254" i="13"/>
  <c r="AQ255" i="13"/>
  <c r="AQ256" i="13"/>
  <c r="AQ257" i="13"/>
  <c r="AQ258" i="13"/>
  <c r="AQ259" i="13"/>
  <c r="AQ260" i="13"/>
  <c r="AQ261" i="13"/>
  <c r="AQ262" i="13"/>
  <c r="AQ263" i="13"/>
  <c r="AQ264" i="13"/>
  <c r="AQ265" i="13"/>
  <c r="AQ266" i="13"/>
  <c r="V105" i="13"/>
  <c r="V106" i="13"/>
  <c r="V107" i="13"/>
  <c r="V108" i="13"/>
  <c r="V109" i="13"/>
  <c r="V110" i="13"/>
  <c r="V111" i="13"/>
  <c r="V112" i="13"/>
  <c r="V113" i="13"/>
  <c r="V114" i="13"/>
  <c r="V115" i="13"/>
  <c r="V116" i="13"/>
  <c r="V117" i="13"/>
  <c r="V118" i="13"/>
  <c r="V119" i="13"/>
  <c r="V120" i="13"/>
  <c r="V121" i="13"/>
  <c r="V122" i="13"/>
  <c r="V123" i="13"/>
  <c r="V124" i="13"/>
  <c r="V125" i="13"/>
  <c r="V126" i="13"/>
  <c r="V127" i="13"/>
  <c r="V128" i="13"/>
  <c r="V129" i="13"/>
  <c r="V130" i="13"/>
  <c r="V131" i="13"/>
  <c r="V132" i="13"/>
  <c r="V133" i="13"/>
  <c r="V134" i="13"/>
  <c r="V135" i="13"/>
  <c r="V136" i="13"/>
  <c r="V137" i="13"/>
  <c r="V138" i="13"/>
  <c r="V139" i="13"/>
  <c r="V140" i="13"/>
  <c r="V141" i="13"/>
  <c r="V142" i="13"/>
  <c r="V143" i="13"/>
  <c r="V144" i="13"/>
  <c r="V145" i="13"/>
  <c r="V146" i="13"/>
  <c r="V147" i="13"/>
  <c r="V148" i="13"/>
  <c r="V149" i="13"/>
  <c r="V150" i="13"/>
  <c r="V151" i="13"/>
  <c r="V152" i="13"/>
  <c r="V153" i="13"/>
  <c r="V154" i="13"/>
  <c r="V155" i="13"/>
  <c r="V156" i="13"/>
  <c r="V157" i="13"/>
  <c r="V158" i="13"/>
  <c r="V159" i="13"/>
  <c r="V160" i="13"/>
  <c r="V161" i="13"/>
  <c r="V162" i="13"/>
  <c r="V163" i="13"/>
  <c r="V164" i="13"/>
  <c r="V165" i="13"/>
  <c r="V166" i="13"/>
  <c r="V167" i="13"/>
  <c r="V168" i="13"/>
  <c r="V169" i="13"/>
  <c r="V170" i="13"/>
  <c r="V171" i="13"/>
  <c r="V172" i="13"/>
  <c r="V173" i="13"/>
  <c r="V174" i="13"/>
  <c r="V175" i="13"/>
  <c r="V176" i="13"/>
  <c r="V177" i="13"/>
  <c r="V178" i="13"/>
  <c r="V179" i="13"/>
  <c r="V180" i="13"/>
  <c r="V181" i="13"/>
  <c r="V182" i="13"/>
  <c r="V183" i="13"/>
  <c r="V184" i="13"/>
  <c r="V185" i="13"/>
  <c r="V186" i="13"/>
  <c r="V187" i="13"/>
  <c r="V188" i="13"/>
  <c r="V189" i="13"/>
  <c r="V190" i="13"/>
  <c r="V191" i="13"/>
  <c r="V192" i="13"/>
  <c r="V193" i="13"/>
  <c r="V194" i="13"/>
  <c r="V195" i="13"/>
  <c r="V196" i="13"/>
  <c r="V197" i="13"/>
  <c r="V198" i="13"/>
  <c r="V199" i="13"/>
  <c r="V200" i="13"/>
  <c r="V201" i="13"/>
  <c r="V202" i="13"/>
  <c r="V203" i="13"/>
  <c r="V204" i="13"/>
  <c r="V205" i="13"/>
  <c r="V206" i="13"/>
  <c r="V207" i="13"/>
  <c r="V208" i="13"/>
  <c r="V209" i="13"/>
  <c r="V210" i="13"/>
  <c r="V211" i="13"/>
  <c r="V212" i="13"/>
  <c r="V213" i="13"/>
  <c r="V214" i="13"/>
  <c r="V215" i="13"/>
  <c r="V249" i="13"/>
  <c r="V250" i="13"/>
  <c r="V251" i="13"/>
  <c r="V252" i="13"/>
  <c r="V253" i="13"/>
  <c r="V254" i="13"/>
  <c r="V255" i="13"/>
  <c r="V256" i="13"/>
  <c r="V257" i="13"/>
  <c r="V258" i="13"/>
  <c r="V259" i="13"/>
  <c r="V260" i="13"/>
  <c r="V261" i="13"/>
  <c r="V262" i="13"/>
  <c r="V263" i="13"/>
  <c r="V264" i="13"/>
  <c r="V265" i="13"/>
  <c r="V266"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167" i="13"/>
  <c r="X168" i="13"/>
  <c r="X169" i="13"/>
  <c r="X170" i="13"/>
  <c r="X171" i="13"/>
  <c r="X172" i="13"/>
  <c r="X173" i="13"/>
  <c r="X174" i="13"/>
  <c r="X175" i="13"/>
  <c r="X176" i="13"/>
  <c r="X177" i="13"/>
  <c r="X178" i="13"/>
  <c r="X179" i="13"/>
  <c r="X180" i="13"/>
  <c r="X181" i="13"/>
  <c r="X182" i="13"/>
  <c r="X183" i="13"/>
  <c r="X184" i="13"/>
  <c r="X185" i="13"/>
  <c r="X186" i="13"/>
  <c r="X187" i="13"/>
  <c r="X188" i="13"/>
  <c r="X189" i="13"/>
  <c r="X190" i="13"/>
  <c r="X191" i="13"/>
  <c r="X192" i="13"/>
  <c r="X193" i="13"/>
  <c r="X194" i="13"/>
  <c r="X195" i="13"/>
  <c r="X196" i="13"/>
  <c r="X197" i="13"/>
  <c r="X198" i="13"/>
  <c r="X199" i="13"/>
  <c r="X200" i="13"/>
  <c r="X201" i="13"/>
  <c r="X202" i="13"/>
  <c r="X203" i="13"/>
  <c r="X204" i="13"/>
  <c r="X205" i="13"/>
  <c r="X206" i="13"/>
  <c r="X207" i="13"/>
  <c r="X208" i="13"/>
  <c r="X209" i="13"/>
  <c r="X210" i="13"/>
  <c r="X211" i="13"/>
  <c r="X212" i="13"/>
  <c r="X213" i="13"/>
  <c r="X214" i="13"/>
  <c r="X215" i="13"/>
  <c r="X249" i="13"/>
  <c r="X250" i="13"/>
  <c r="X251" i="13"/>
  <c r="X252" i="13"/>
  <c r="X253" i="13"/>
  <c r="X254" i="13"/>
  <c r="X255" i="13"/>
  <c r="X256" i="13"/>
  <c r="X257" i="13"/>
  <c r="X258" i="13"/>
  <c r="X259" i="13"/>
  <c r="X260" i="13"/>
  <c r="X261" i="13"/>
  <c r="X262" i="13"/>
  <c r="X263" i="13"/>
  <c r="X264" i="13"/>
  <c r="X265" i="13"/>
  <c r="X266" i="13"/>
  <c r="AM105" i="13"/>
  <c r="AM106" i="13"/>
  <c r="AM107" i="13"/>
  <c r="AM108" i="13"/>
  <c r="AM109" i="13"/>
  <c r="AM110" i="13"/>
  <c r="AM112" i="13"/>
  <c r="AM113" i="13"/>
  <c r="AM114" i="13"/>
  <c r="AM115" i="13"/>
  <c r="AM116" i="13"/>
  <c r="AM117" i="13"/>
  <c r="AM118" i="13"/>
  <c r="AM119" i="13"/>
  <c r="AM120" i="13"/>
  <c r="AM121" i="13"/>
  <c r="AM122" i="13"/>
  <c r="AM123" i="13"/>
  <c r="AM124" i="13"/>
  <c r="AM125" i="13"/>
  <c r="AM126" i="13"/>
  <c r="AM127" i="13"/>
  <c r="AM128" i="13"/>
  <c r="AM129" i="13"/>
  <c r="AM130" i="13"/>
  <c r="AM131" i="13"/>
  <c r="AM132" i="13"/>
  <c r="AM133" i="13"/>
  <c r="AM134" i="13"/>
  <c r="AM135" i="13"/>
  <c r="AM136" i="13"/>
  <c r="AM137" i="13"/>
  <c r="AM138" i="13"/>
  <c r="AM139" i="13"/>
  <c r="AM140" i="13"/>
  <c r="AM141" i="13"/>
  <c r="AM142" i="13"/>
  <c r="AM143" i="13"/>
  <c r="AM144" i="13"/>
  <c r="AM145" i="13"/>
  <c r="AM146" i="13"/>
  <c r="AM147" i="13"/>
  <c r="AM148" i="13"/>
  <c r="AM149" i="13"/>
  <c r="AM150" i="13"/>
  <c r="AM151" i="13"/>
  <c r="AM152" i="13"/>
  <c r="AM153" i="13"/>
  <c r="AM154" i="13"/>
  <c r="AM155" i="13"/>
  <c r="AM156" i="13"/>
  <c r="AM157" i="13"/>
  <c r="AM158" i="13"/>
  <c r="AM159" i="13"/>
  <c r="AM160" i="13"/>
  <c r="AM161" i="13"/>
  <c r="AM162" i="13"/>
  <c r="AM163" i="13"/>
  <c r="AM164" i="13"/>
  <c r="AM165" i="13"/>
  <c r="AM166" i="13"/>
  <c r="AM167" i="13"/>
  <c r="AM168" i="13"/>
  <c r="AM169" i="13"/>
  <c r="AM170" i="13"/>
  <c r="AM171" i="13"/>
  <c r="AM172" i="13"/>
  <c r="AM173" i="13"/>
  <c r="AM174" i="13"/>
  <c r="AM175" i="13"/>
  <c r="AM176" i="13"/>
  <c r="AM177" i="13"/>
  <c r="AM178" i="13"/>
  <c r="AM179" i="13"/>
  <c r="AM180" i="13"/>
  <c r="AM181" i="13"/>
  <c r="AM182" i="13"/>
  <c r="AM183" i="13"/>
  <c r="AM184" i="13"/>
  <c r="AM185" i="13"/>
  <c r="AM186" i="13"/>
  <c r="AM187" i="13"/>
  <c r="AM188" i="13"/>
  <c r="AM189" i="13"/>
  <c r="AM190" i="13"/>
  <c r="AM191" i="13"/>
  <c r="AM192" i="13"/>
  <c r="AM193" i="13"/>
  <c r="AM194" i="13"/>
  <c r="AM195" i="13"/>
  <c r="AM196" i="13"/>
  <c r="AM197" i="13"/>
  <c r="AM198" i="13"/>
  <c r="AM199" i="13"/>
  <c r="AM200" i="13"/>
  <c r="AM201" i="13"/>
  <c r="AM202" i="13"/>
  <c r="AM203" i="13"/>
  <c r="AM204" i="13"/>
  <c r="AM205" i="13"/>
  <c r="AM206" i="13"/>
  <c r="AM207" i="13"/>
  <c r="AM208" i="13"/>
  <c r="AM209" i="13"/>
  <c r="AM210" i="13"/>
  <c r="AM211" i="13"/>
  <c r="AM212" i="13"/>
  <c r="AM213" i="13"/>
  <c r="AM214" i="13"/>
  <c r="AM215" i="13"/>
  <c r="AM249" i="13"/>
  <c r="AM250" i="13"/>
  <c r="AM251" i="13"/>
  <c r="AM252" i="13"/>
  <c r="AM253" i="13"/>
  <c r="AM254" i="13"/>
  <c r="AM255" i="13"/>
  <c r="AP3" i="13"/>
  <c r="AP4" i="13"/>
  <c r="AP5" i="13"/>
  <c r="AP6" i="13"/>
  <c r="AP7" i="13"/>
  <c r="AP8" i="13"/>
  <c r="AP9" i="13"/>
  <c r="AP10" i="13"/>
  <c r="AP11" i="13"/>
  <c r="AP12" i="13"/>
  <c r="AP13" i="13"/>
  <c r="AP14" i="13"/>
  <c r="AP15" i="13"/>
  <c r="AP16" i="13"/>
  <c r="AP17" i="13"/>
  <c r="AP18" i="13"/>
  <c r="AP19" i="13"/>
  <c r="AP20" i="13"/>
  <c r="AP21" i="13"/>
  <c r="AP22" i="13"/>
  <c r="AP23" i="13"/>
  <c r="AP24" i="13"/>
  <c r="AP25" i="13"/>
  <c r="AP26" i="13"/>
  <c r="AP27" i="13"/>
  <c r="AP28" i="13"/>
  <c r="AP29" i="13"/>
  <c r="AP30" i="13"/>
  <c r="AP31" i="13"/>
  <c r="AP32" i="13"/>
  <c r="AP33" i="13"/>
  <c r="AP34" i="13"/>
  <c r="AP35" i="13"/>
  <c r="AP36" i="13"/>
  <c r="AP37" i="13"/>
  <c r="AP38" i="13"/>
  <c r="AP39" i="13"/>
  <c r="AP40" i="13"/>
  <c r="AP41" i="13"/>
  <c r="AP42" i="13"/>
  <c r="AP43" i="13"/>
  <c r="AP44" i="13"/>
  <c r="AP45" i="13"/>
  <c r="AP46" i="13"/>
  <c r="AP47" i="13"/>
  <c r="AP48" i="13"/>
  <c r="AP49" i="13"/>
  <c r="AP50" i="13"/>
  <c r="AP51" i="13"/>
  <c r="AP52" i="13"/>
  <c r="AP53" i="13"/>
  <c r="AP54" i="13"/>
  <c r="AP55" i="13"/>
  <c r="AP56" i="13"/>
  <c r="AP57" i="13"/>
  <c r="AP58" i="13"/>
  <c r="AP59" i="13"/>
  <c r="AP60" i="13"/>
  <c r="AP61" i="13"/>
  <c r="AP62" i="13"/>
  <c r="AP63" i="13"/>
  <c r="AP64" i="13"/>
  <c r="AP65" i="13"/>
  <c r="AP66" i="13"/>
  <c r="AP67" i="13"/>
  <c r="AP68" i="13"/>
  <c r="AP69" i="13"/>
  <c r="AP70" i="13"/>
  <c r="AP71" i="13"/>
  <c r="AP72" i="13"/>
  <c r="AP73" i="13"/>
  <c r="AP74" i="13"/>
  <c r="AP75" i="13"/>
  <c r="AP76" i="13"/>
  <c r="AP77" i="13"/>
  <c r="AP78" i="13"/>
  <c r="AP79" i="13"/>
  <c r="AP80" i="13"/>
  <c r="AP81" i="13"/>
  <c r="AP82" i="13"/>
  <c r="AP83" i="13"/>
  <c r="AP84" i="13"/>
  <c r="AP85" i="13"/>
  <c r="AP86" i="13"/>
  <c r="AP87" i="13"/>
  <c r="AP88" i="13"/>
  <c r="AP89" i="13"/>
  <c r="AP90" i="13"/>
  <c r="AP91" i="13"/>
  <c r="AP92" i="13"/>
  <c r="AP93" i="13"/>
  <c r="AP94" i="13"/>
  <c r="AP95" i="13"/>
  <c r="AP96" i="13"/>
  <c r="AP97" i="13"/>
  <c r="AP98" i="13"/>
  <c r="AP99" i="13"/>
  <c r="AP100" i="13"/>
  <c r="AP101" i="13"/>
  <c r="AP102" i="13"/>
  <c r="AP103" i="13"/>
  <c r="AP104" i="13"/>
  <c r="AP105" i="13"/>
  <c r="AP106" i="13"/>
  <c r="AP107" i="13"/>
  <c r="AP108" i="13"/>
  <c r="AP109" i="13"/>
  <c r="AP110" i="13"/>
  <c r="AP111" i="13"/>
  <c r="AP112" i="13"/>
  <c r="AP113" i="13"/>
  <c r="AP114" i="13"/>
  <c r="AP115" i="13"/>
  <c r="AP116" i="13"/>
  <c r="AP117" i="13"/>
  <c r="AP118" i="13"/>
  <c r="AP119" i="13"/>
  <c r="AP120" i="13"/>
  <c r="AP121" i="13"/>
  <c r="AP122" i="13"/>
  <c r="AP123" i="13"/>
  <c r="AP124" i="13"/>
  <c r="AP125" i="13"/>
  <c r="AP126" i="13"/>
  <c r="AP127" i="13"/>
  <c r="AP128" i="13"/>
  <c r="AP129" i="13"/>
  <c r="AP130" i="13"/>
  <c r="AP131" i="13"/>
  <c r="AP132" i="13"/>
  <c r="AP133" i="13"/>
  <c r="AP134" i="13"/>
  <c r="AP135" i="13"/>
  <c r="AP136" i="13"/>
  <c r="AP137" i="13"/>
  <c r="AP138" i="13"/>
  <c r="AP139" i="13"/>
  <c r="AP140" i="13"/>
  <c r="AP141" i="13"/>
  <c r="AP142" i="13"/>
  <c r="AP143" i="13"/>
  <c r="AP144" i="13"/>
  <c r="AP145" i="13"/>
  <c r="AP146" i="13"/>
  <c r="AP147" i="13"/>
  <c r="AP148" i="13"/>
  <c r="AP149" i="13"/>
  <c r="AP150" i="13"/>
  <c r="AP151" i="13"/>
  <c r="AP152" i="13"/>
  <c r="AP153" i="13"/>
  <c r="AP154" i="13"/>
  <c r="AP155" i="13"/>
  <c r="AP156" i="13"/>
  <c r="AP157" i="13"/>
  <c r="AP158" i="13"/>
  <c r="AP159" i="13"/>
  <c r="AP160" i="13"/>
  <c r="AP161" i="13"/>
  <c r="AP162" i="13"/>
  <c r="AP163" i="13"/>
  <c r="AP164" i="13"/>
  <c r="AP165" i="13"/>
  <c r="AP166" i="13"/>
  <c r="AP167" i="13"/>
  <c r="AP168" i="13"/>
  <c r="AP169" i="13"/>
  <c r="AP170" i="13"/>
  <c r="AP171" i="13"/>
  <c r="AP172" i="13"/>
  <c r="AP173" i="13"/>
  <c r="AP174" i="13"/>
  <c r="AP175" i="13"/>
  <c r="AP176" i="13"/>
  <c r="AP177" i="13"/>
  <c r="AP178" i="13"/>
  <c r="AP179" i="13"/>
  <c r="AP180" i="13"/>
  <c r="AP181" i="13"/>
  <c r="AP182" i="13"/>
  <c r="AP183" i="13"/>
  <c r="AP184" i="13"/>
  <c r="AP185" i="13"/>
  <c r="AP186" i="13"/>
  <c r="AP187" i="13"/>
  <c r="AP188" i="13"/>
  <c r="AP189" i="13"/>
  <c r="AP190" i="13"/>
  <c r="AP191" i="13"/>
  <c r="AP192" i="13"/>
  <c r="AP193" i="13"/>
  <c r="AP194" i="13"/>
  <c r="AP195" i="13"/>
  <c r="AP196" i="13"/>
  <c r="AP197" i="13"/>
  <c r="AP198" i="13"/>
  <c r="AP199" i="13"/>
  <c r="AP200" i="13"/>
  <c r="AP201" i="13"/>
  <c r="AP202" i="13"/>
  <c r="AP203" i="13"/>
  <c r="AP204" i="13"/>
  <c r="AP205" i="13"/>
  <c r="AP206" i="13"/>
  <c r="AP207" i="13"/>
  <c r="AP208" i="13"/>
  <c r="AP209" i="13"/>
  <c r="AP210" i="13"/>
  <c r="AP211" i="13"/>
  <c r="AP212" i="13"/>
  <c r="AP213" i="13"/>
  <c r="AP214" i="13"/>
  <c r="AP215" i="13"/>
  <c r="AP249" i="13"/>
  <c r="AP250" i="13"/>
  <c r="AP251" i="13"/>
  <c r="AP252" i="13"/>
  <c r="AP253" i="13"/>
  <c r="AP254" i="13"/>
  <c r="AP255" i="13"/>
  <c r="AP256" i="13"/>
  <c r="AP257" i="13"/>
  <c r="AM3" i="13"/>
  <c r="AM4" i="13"/>
  <c r="AM5" i="13"/>
  <c r="AM6" i="13"/>
  <c r="AM7" i="13"/>
  <c r="AM8" i="13"/>
  <c r="AM10" i="13"/>
  <c r="AM11" i="13"/>
  <c r="AM12" i="13"/>
  <c r="AM13" i="13"/>
  <c r="AM14" i="13"/>
  <c r="AM15" i="13"/>
  <c r="AM16" i="13"/>
  <c r="AM17" i="13"/>
  <c r="AM18" i="13"/>
  <c r="AM19" i="13"/>
  <c r="AM20" i="13"/>
  <c r="AM21" i="13"/>
  <c r="AM22" i="13"/>
  <c r="AM23" i="13"/>
  <c r="AM24" i="13"/>
  <c r="AM25" i="13"/>
  <c r="AM26" i="13"/>
  <c r="AM27" i="13"/>
  <c r="AM28" i="13"/>
  <c r="AM29" i="13"/>
  <c r="AM30" i="13"/>
  <c r="AM31" i="13"/>
  <c r="AM32" i="13"/>
  <c r="AM33" i="13"/>
  <c r="AM34" i="13"/>
  <c r="AM35" i="13"/>
  <c r="AM36" i="13"/>
  <c r="AM37" i="13"/>
  <c r="AM38" i="13"/>
  <c r="AM39" i="13"/>
  <c r="AM40" i="13"/>
  <c r="AM41" i="13"/>
  <c r="AM42" i="13"/>
  <c r="AM43" i="13"/>
  <c r="AM44" i="13"/>
  <c r="AM45" i="13"/>
  <c r="AM46" i="13"/>
  <c r="AM47" i="13"/>
  <c r="AM48" i="13"/>
  <c r="AM49" i="13"/>
  <c r="AM50" i="13"/>
  <c r="AM51" i="13"/>
  <c r="AM52" i="13"/>
  <c r="AM53" i="13"/>
  <c r="AM54" i="13"/>
  <c r="AM55" i="13"/>
  <c r="AM56" i="13"/>
  <c r="AM57" i="13"/>
  <c r="AM58" i="13"/>
  <c r="AM59" i="13"/>
  <c r="AM60" i="13"/>
  <c r="AM61" i="13"/>
  <c r="AM62" i="13"/>
  <c r="AM63" i="13"/>
  <c r="AM64" i="13"/>
  <c r="AM65" i="13"/>
  <c r="AM66" i="13"/>
  <c r="AM67" i="13"/>
  <c r="AM68" i="13"/>
  <c r="AM69" i="13"/>
  <c r="AM70" i="13"/>
  <c r="AM71" i="13"/>
  <c r="AM72" i="13"/>
  <c r="AM73" i="13"/>
  <c r="AM74" i="13"/>
  <c r="AM75" i="13"/>
  <c r="AM76" i="13"/>
  <c r="AM77" i="13"/>
  <c r="AM78" i="13"/>
  <c r="AM79" i="13"/>
  <c r="AM80" i="13"/>
  <c r="AM81" i="13"/>
  <c r="AM82" i="13"/>
  <c r="AM83" i="13"/>
  <c r="AM84" i="13"/>
  <c r="AM85" i="13"/>
  <c r="AM86" i="13"/>
  <c r="AM87" i="13"/>
  <c r="AM88" i="13"/>
  <c r="AM89" i="13"/>
  <c r="AM90" i="13"/>
  <c r="AM91" i="13"/>
  <c r="AM92" i="13"/>
  <c r="AM93" i="13"/>
  <c r="AM94" i="13"/>
  <c r="AM95" i="13"/>
  <c r="AM96" i="13"/>
  <c r="AM97" i="13"/>
  <c r="AM98" i="13"/>
  <c r="AM99" i="13"/>
  <c r="AM100" i="13"/>
  <c r="AM101" i="13"/>
  <c r="AM102" i="13"/>
  <c r="AM103" i="13"/>
  <c r="AM104" i="13"/>
  <c r="X3"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V3" i="13"/>
  <c r="V4" i="13"/>
  <c r="V5"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3" i="13"/>
  <c r="V44" i="13"/>
  <c r="V45" i="13"/>
  <c r="V46" i="13"/>
  <c r="V47" i="13"/>
  <c r="V48" i="13"/>
  <c r="V49" i="13"/>
  <c r="V50" i="13"/>
  <c r="V51" i="13"/>
  <c r="V52" i="13"/>
  <c r="V53" i="13"/>
  <c r="V54" i="13"/>
  <c r="V55" i="13"/>
  <c r="V56" i="13"/>
  <c r="V57" i="13"/>
  <c r="V58" i="13"/>
  <c r="V59" i="13"/>
  <c r="V60" i="13"/>
  <c r="V61" i="13"/>
  <c r="V62" i="13"/>
  <c r="V63" i="13"/>
  <c r="V64" i="13"/>
  <c r="V65" i="13"/>
  <c r="V66" i="13"/>
  <c r="V67" i="13"/>
  <c r="V68" i="13"/>
  <c r="V69" i="13"/>
  <c r="V70" i="13"/>
  <c r="V71" i="13"/>
  <c r="V72" i="13"/>
  <c r="V73" i="13"/>
  <c r="V74" i="13"/>
  <c r="V75" i="13"/>
  <c r="V76" i="13"/>
  <c r="V77" i="13"/>
  <c r="V78" i="13"/>
  <c r="V79" i="13"/>
  <c r="V80" i="13"/>
  <c r="V81" i="13"/>
  <c r="V82" i="13"/>
  <c r="V83" i="13"/>
  <c r="V84" i="13"/>
  <c r="V85" i="13"/>
  <c r="V86" i="13"/>
  <c r="V87" i="13"/>
  <c r="V88" i="13"/>
  <c r="V89" i="13"/>
  <c r="V90" i="13"/>
  <c r="V91" i="13"/>
  <c r="V92" i="13"/>
  <c r="V93" i="13"/>
  <c r="V94" i="13"/>
  <c r="V95" i="13"/>
  <c r="V96" i="13"/>
  <c r="V97" i="13"/>
  <c r="V98" i="13"/>
  <c r="V99" i="13"/>
  <c r="V100" i="13"/>
  <c r="V101" i="13"/>
  <c r="V102" i="13"/>
  <c r="V103" i="13"/>
  <c r="V104" i="13"/>
  <c r="Q3" i="13"/>
  <c r="Q4" i="13"/>
  <c r="Q5"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Q57" i="13"/>
  <c r="Q58" i="13"/>
  <c r="Q59" i="13"/>
  <c r="Q60" i="13"/>
  <c r="Q61" i="13"/>
  <c r="Q62" i="13"/>
  <c r="Q63" i="13"/>
  <c r="Q64" i="13"/>
  <c r="Q65" i="13"/>
  <c r="Q66" i="13"/>
  <c r="Q67" i="13"/>
  <c r="Q68" i="13"/>
  <c r="Q69" i="13"/>
  <c r="Q70" i="13"/>
  <c r="Q71" i="13"/>
  <c r="Q72" i="13"/>
  <c r="Q73" i="13"/>
  <c r="Q74" i="13"/>
  <c r="Q75" i="13"/>
  <c r="Q76" i="13"/>
  <c r="Q77" i="13"/>
  <c r="Q78" i="13"/>
  <c r="Q79" i="13"/>
  <c r="Q80" i="13"/>
  <c r="Q81" i="13"/>
  <c r="Q82" i="13"/>
  <c r="Q83" i="13"/>
  <c r="Q84" i="13"/>
  <c r="Q85" i="13"/>
  <c r="Q86" i="13"/>
  <c r="Q87" i="13"/>
  <c r="Q88" i="13"/>
  <c r="Q89" i="13"/>
  <c r="Q90" i="13"/>
  <c r="Q91" i="13"/>
  <c r="Q92" i="13"/>
  <c r="Q93" i="13"/>
  <c r="Q94" i="13"/>
  <c r="Q95" i="13"/>
  <c r="Q96" i="13"/>
  <c r="Q97" i="13"/>
  <c r="Q98" i="13"/>
  <c r="Q99" i="13"/>
  <c r="Q100" i="13"/>
  <c r="Q101" i="13"/>
  <c r="Q102" i="13"/>
  <c r="Q103" i="13"/>
  <c r="Q104" i="13"/>
  <c r="Q2" i="13"/>
  <c r="X2" i="13"/>
  <c r="W189" i="13" a="1"/>
  <c r="W160" i="13" a="1"/>
  <c r="W264" i="13" a="1"/>
  <c r="W144" i="13" a="1"/>
  <c r="W148" i="13" a="1"/>
  <c r="W253" i="13" a="1"/>
  <c r="W222" i="13" a="1"/>
  <c r="W265" i="13" a="1"/>
  <c r="W142" i="13" a="1"/>
  <c r="W184" i="13" a="1"/>
  <c r="W186" i="13" a="1"/>
  <c r="W173" i="13" a="1"/>
  <c r="W266" i="13" a="1"/>
  <c r="W176" i="13" a="1"/>
  <c r="W174" i="13" a="1"/>
  <c r="W239" i="13" a="1"/>
  <c r="W249" i="13" a="1"/>
  <c r="W261" i="13" a="1"/>
  <c r="W200" i="13" a="1"/>
  <c r="W145" i="13" a="1"/>
  <c r="W137" i="13" a="1"/>
  <c r="W171" i="13" a="1"/>
  <c r="W166" i="13" a="1"/>
  <c r="W170" i="13" a="1"/>
  <c r="W143" i="13" a="1"/>
  <c r="W226" i="13" a="1"/>
  <c r="W231" i="13" a="1"/>
  <c r="W232" i="13" a="1"/>
  <c r="W158" i="13" a="1"/>
  <c r="W218" i="13" a="1"/>
  <c r="W229" i="13" a="1"/>
  <c r="W125" i="13" a="1"/>
  <c r="W202" i="13" a="1"/>
  <c r="W135" i="13" a="1"/>
  <c r="W227" i="13" a="1"/>
  <c r="W177" i="13" a="1"/>
  <c r="W132" i="13" a="1"/>
  <c r="W203" i="13" a="1"/>
  <c r="W188" i="13" a="1"/>
  <c r="W236" i="13" a="1"/>
  <c r="W133" i="13" a="1"/>
  <c r="W157" i="13" a="1"/>
  <c r="W221" i="13" a="1"/>
  <c r="W129" i="13" a="1"/>
  <c r="W217" i="13" a="1"/>
  <c r="W141" i="13" a="1"/>
  <c r="W180" i="13" a="1"/>
  <c r="W163" i="13" a="1"/>
  <c r="W240" i="13" a="1"/>
  <c r="W225" i="13" a="1"/>
  <c r="W257" i="13" a="1"/>
  <c r="W245" i="13" a="1"/>
  <c r="W179" i="13" a="1"/>
  <c r="W246" i="13" a="1"/>
  <c r="W247" i="13" a="1"/>
  <c r="W193" i="13" a="1"/>
  <c r="W146" i="13" a="1"/>
  <c r="W124" i="13" a="1"/>
  <c r="W195" i="13" a="1"/>
  <c r="W256" i="13" a="1"/>
  <c r="W263" i="13" a="1"/>
  <c r="W208" i="13" a="1"/>
  <c r="W219" i="13" a="1"/>
  <c r="W134" i="13" a="1"/>
  <c r="W211" i="13" a="1"/>
  <c r="W169" i="13" a="1"/>
  <c r="W126" i="13" a="1"/>
  <c r="W194" i="13" a="1"/>
  <c r="W248" i="13" a="1"/>
  <c r="W123" i="13" a="1"/>
  <c r="W234" i="13" a="1"/>
  <c r="W127" i="13" a="1"/>
  <c r="W224" i="13" a="1"/>
  <c r="W215" i="13" a="1"/>
  <c r="W185" i="13" a="1"/>
  <c r="W199" i="13" a="1"/>
  <c r="W198" i="13" a="1"/>
  <c r="W243" i="13" a="1"/>
  <c r="W220" i="13" a="1"/>
  <c r="W159" i="13" a="1"/>
  <c r="W251" i="13" a="1"/>
  <c r="W182" i="13" a="1"/>
  <c r="W210" i="13" a="1"/>
  <c r="W223" i="13" a="1"/>
  <c r="W201" i="13" a="1"/>
  <c r="W216" i="13" a="1"/>
  <c r="W254" i="13" a="1"/>
  <c r="W244" i="13" a="1"/>
  <c r="W238" i="13" a="1"/>
  <c r="W191" i="13" a="1"/>
  <c r="W139" i="13" a="1"/>
  <c r="W172" i="13" a="1"/>
  <c r="W175" i="13" a="1"/>
  <c r="W228" i="13" a="1"/>
  <c r="W128" i="13" a="1"/>
  <c r="W140" i="13" a="1"/>
  <c r="W214" i="13" a="1"/>
  <c r="W190" i="13" a="1"/>
  <c r="W196" i="13" a="1"/>
  <c r="W167" i="13" a="1"/>
  <c r="W255" i="13" a="1"/>
  <c r="W156" i="13" a="1"/>
  <c r="W183" i="13" a="1"/>
  <c r="W213" i="13" a="1"/>
  <c r="W237" i="13" a="1"/>
  <c r="W153" i="13" a="1"/>
  <c r="W187" i="13" a="1"/>
  <c r="W147" i="13" a="1"/>
  <c r="W149" i="13" a="1"/>
  <c r="W164" i="13" a="1"/>
  <c r="W138" i="13" a="1"/>
  <c r="W205" i="13" a="1"/>
  <c r="W154" i="13" a="1"/>
  <c r="W212" i="13" a="1"/>
  <c r="W258" i="13" a="1"/>
  <c r="W259" i="13" a="1"/>
  <c r="W131" i="13" a="1"/>
  <c r="W178" i="13" a="1"/>
  <c r="W250" i="13" a="1"/>
  <c r="W206" i="13" a="1"/>
  <c r="W230" i="13" a="1"/>
  <c r="W260" i="13" a="1"/>
  <c r="W168" i="13" a="1"/>
  <c r="W150" i="13" a="1"/>
  <c r="W241" i="13" a="1"/>
  <c r="W161" i="13" a="1"/>
  <c r="W165" i="13" a="1"/>
  <c r="W162" i="13" a="1"/>
  <c r="W155" i="13" a="1"/>
  <c r="W136" i="13" a="1"/>
  <c r="W242" i="13" a="1"/>
  <c r="W152" i="13" a="1"/>
  <c r="W235" i="13" a="1"/>
  <c r="W151" i="13" a="1"/>
  <c r="W130" i="13" a="1"/>
  <c r="W252" i="13" a="1"/>
  <c r="W204" i="13" a="1"/>
  <c r="W207" i="13" a="1"/>
  <c r="W233" i="13" a="1"/>
  <c r="W192" i="13" a="1"/>
  <c r="W209" i="13" a="1"/>
  <c r="W181" i="13" a="1"/>
  <c r="W197" i="13" a="1"/>
  <c r="W262" i="13" a="1"/>
  <c r="AO125" i="13" l="1"/>
  <c r="AO251" i="13"/>
  <c r="AO206" i="13"/>
  <c r="AO194" i="13"/>
  <c r="AO182" i="13"/>
  <c r="AO170" i="13"/>
  <c r="AO158" i="13"/>
  <c r="AO240" i="13"/>
  <c r="AO228" i="13"/>
  <c r="AO239" i="13"/>
  <c r="AO227" i="13"/>
  <c r="AO99" i="13"/>
  <c r="AO87" i="13"/>
  <c r="AO75" i="13"/>
  <c r="AO63" i="13"/>
  <c r="AO51" i="13"/>
  <c r="AO39" i="13"/>
  <c r="AO27" i="13"/>
  <c r="AO15" i="13"/>
  <c r="AO3" i="13"/>
  <c r="AO242" i="13"/>
  <c r="AO230" i="13"/>
  <c r="AO237" i="13"/>
  <c r="AO225" i="13"/>
  <c r="AO208" i="13"/>
  <c r="AO172" i="13"/>
  <c r="AO148" i="13"/>
  <c r="AO124" i="13"/>
  <c r="AO253" i="13"/>
  <c r="AO196" i="13"/>
  <c r="AO184" i="13"/>
  <c r="AO160" i="13"/>
  <c r="AO136" i="13"/>
  <c r="AO112" i="13"/>
  <c r="AO95" i="13"/>
  <c r="AO83" i="13"/>
  <c r="AO71" i="13"/>
  <c r="AO59" i="13"/>
  <c r="AO47" i="13"/>
  <c r="AO35" i="13"/>
  <c r="AO23" i="13"/>
  <c r="AO11" i="13"/>
  <c r="AO238" i="13"/>
  <c r="AO226" i="13"/>
  <c r="AO215" i="13"/>
  <c r="AO98" i="13"/>
  <c r="AO86" i="13"/>
  <c r="AO74" i="13"/>
  <c r="AO62" i="13"/>
  <c r="AO50" i="13"/>
  <c r="AO38" i="13"/>
  <c r="AO26" i="13"/>
  <c r="AO14" i="13"/>
  <c r="AO244" i="13"/>
  <c r="AO232" i="13"/>
  <c r="AO220" i="13"/>
  <c r="AO248" i="13"/>
  <c r="AO236" i="13"/>
  <c r="AO103" i="13"/>
  <c r="AO91" i="13"/>
  <c r="AO79" i="13"/>
  <c r="AO67" i="13"/>
  <c r="AO55" i="13"/>
  <c r="AO43" i="13"/>
  <c r="AO31" i="13"/>
  <c r="AO19" i="13"/>
  <c r="AO7" i="13"/>
  <c r="AO256" i="13"/>
  <c r="AO252" i="13"/>
  <c r="AO207" i="13"/>
  <c r="AO195" i="13"/>
  <c r="AO183" i="13"/>
  <c r="AO171" i="13"/>
  <c r="AO159" i="13"/>
  <c r="AO147" i="13"/>
  <c r="AO135" i="13"/>
  <c r="AO123" i="13"/>
  <c r="AO111" i="13"/>
  <c r="AO146" i="13"/>
  <c r="AO134" i="13"/>
  <c r="AO122" i="13"/>
  <c r="AO110" i="13"/>
  <c r="AO96" i="13"/>
  <c r="AO84" i="13"/>
  <c r="AO72" i="13"/>
  <c r="AO60" i="13"/>
  <c r="AO48" i="13"/>
  <c r="AO36" i="13"/>
  <c r="AO24" i="13"/>
  <c r="AO12" i="13"/>
  <c r="AO250" i="13"/>
  <c r="AO205" i="13"/>
  <c r="AO193" i="13"/>
  <c r="AO181" i="13"/>
  <c r="AO169" i="13"/>
  <c r="AO157" i="13"/>
  <c r="AO145" i="13"/>
  <c r="AO133" i="13"/>
  <c r="AO121" i="13"/>
  <c r="AO109" i="13"/>
  <c r="AO224" i="13"/>
  <c r="AO249" i="13"/>
  <c r="AO204" i="13"/>
  <c r="AO192" i="13"/>
  <c r="AO180" i="13"/>
  <c r="AO168" i="13"/>
  <c r="AO156" i="13"/>
  <c r="AO144" i="13"/>
  <c r="AO132" i="13"/>
  <c r="AO120" i="13"/>
  <c r="AO108" i="13"/>
  <c r="AO247" i="13"/>
  <c r="AO235" i="13"/>
  <c r="AO223" i="13"/>
  <c r="AO94" i="13"/>
  <c r="AO82" i="13"/>
  <c r="AO70" i="13"/>
  <c r="AO58" i="13"/>
  <c r="AO46" i="13"/>
  <c r="AO34" i="13"/>
  <c r="AO22" i="13"/>
  <c r="AO10" i="13"/>
  <c r="AO203" i="13"/>
  <c r="AO93" i="13"/>
  <c r="AO81" i="13"/>
  <c r="AO69" i="13"/>
  <c r="AO57" i="13"/>
  <c r="AO45" i="13"/>
  <c r="AO33" i="13"/>
  <c r="AO21" i="13"/>
  <c r="AO9" i="13"/>
  <c r="AO213" i="13"/>
  <c r="AO201" i="13"/>
  <c r="AO189" i="13"/>
  <c r="AO177" i="13"/>
  <c r="AO165" i="13"/>
  <c r="AO153" i="13"/>
  <c r="AO141" i="13"/>
  <c r="AO129" i="13"/>
  <c r="AO117" i="13"/>
  <c r="AO105" i="13"/>
  <c r="AO243" i="13"/>
  <c r="AO231" i="13"/>
  <c r="AO219" i="13"/>
  <c r="AO211" i="13"/>
  <c r="AO199" i="13"/>
  <c r="AO187" i="13"/>
  <c r="AO175" i="13"/>
  <c r="AO163" i="13"/>
  <c r="AO151" i="13"/>
  <c r="AO139" i="13"/>
  <c r="AO127" i="13"/>
  <c r="AO115" i="13"/>
  <c r="AO216" i="13"/>
  <c r="AO97" i="13"/>
  <c r="AO85" i="13"/>
  <c r="AO73" i="13"/>
  <c r="AO61" i="13"/>
  <c r="AO49" i="13"/>
  <c r="AO37" i="13"/>
  <c r="AO25" i="13"/>
  <c r="AO13" i="13"/>
  <c r="AO191" i="13"/>
  <c r="AO179" i="13"/>
  <c r="AO167" i="13"/>
  <c r="AO155" i="13"/>
  <c r="AO143" i="13"/>
  <c r="AO131" i="13"/>
  <c r="AO119" i="13"/>
  <c r="AO107" i="13"/>
  <c r="AO246" i="13"/>
  <c r="AO234" i="13"/>
  <c r="AO222" i="13"/>
  <c r="AO104" i="13"/>
  <c r="AO92" i="13"/>
  <c r="AO80" i="13"/>
  <c r="AO68" i="13"/>
  <c r="AO56" i="13"/>
  <c r="AO44" i="13"/>
  <c r="AO32" i="13"/>
  <c r="AO20" i="13"/>
  <c r="AO8" i="13"/>
  <c r="AO214" i="13"/>
  <c r="AO202" i="13"/>
  <c r="AO190" i="13"/>
  <c r="AO178" i="13"/>
  <c r="AO166" i="13"/>
  <c r="AO154" i="13"/>
  <c r="AO142" i="13"/>
  <c r="AO130" i="13"/>
  <c r="AO118" i="13"/>
  <c r="AO106" i="13"/>
  <c r="AO245" i="13"/>
  <c r="AO233" i="13"/>
  <c r="AO221" i="13"/>
  <c r="AO102" i="13"/>
  <c r="AO90" i="13"/>
  <c r="AO78" i="13"/>
  <c r="AO66" i="13"/>
  <c r="AO54" i="13"/>
  <c r="AO42" i="13"/>
  <c r="AO30" i="13"/>
  <c r="AO18" i="13"/>
  <c r="AO6" i="13"/>
  <c r="AO257" i="13"/>
  <c r="AO212" i="13"/>
  <c r="AO200" i="13"/>
  <c r="AO188" i="13"/>
  <c r="AO176" i="13"/>
  <c r="AO164" i="13"/>
  <c r="AO152" i="13"/>
  <c r="AO140" i="13"/>
  <c r="AO128" i="13"/>
  <c r="AO116" i="13"/>
  <c r="AO218" i="13"/>
  <c r="AO89" i="13"/>
  <c r="AO65" i="13"/>
  <c r="AO53" i="13"/>
  <c r="AO41" i="13"/>
  <c r="AO29" i="13"/>
  <c r="AO5" i="13"/>
  <c r="AO100" i="13"/>
  <c r="AO88" i="13"/>
  <c r="AO76" i="13"/>
  <c r="AO64" i="13"/>
  <c r="AO52" i="13"/>
  <c r="AO40" i="13"/>
  <c r="AO28" i="13"/>
  <c r="AO16" i="13"/>
  <c r="AO4" i="13"/>
  <c r="AO255" i="13"/>
  <c r="AO210" i="13"/>
  <c r="AO198" i="13"/>
  <c r="AO186" i="13"/>
  <c r="AO174" i="13"/>
  <c r="AO162" i="13"/>
  <c r="AO150" i="13"/>
  <c r="AO138" i="13"/>
  <c r="AO126" i="13"/>
  <c r="AO114" i="13"/>
  <c r="AO241" i="13"/>
  <c r="AO229" i="13"/>
  <c r="AO217" i="13"/>
  <c r="AO101" i="13"/>
  <c r="AO77" i="13"/>
  <c r="AO17" i="13"/>
  <c r="AO254" i="13"/>
  <c r="AO209" i="13"/>
  <c r="AO197" i="13"/>
  <c r="AO185" i="13"/>
  <c r="AO173" i="13"/>
  <c r="AO161" i="13"/>
  <c r="AO149" i="13"/>
  <c r="AO137" i="13"/>
  <c r="AO113" i="13"/>
  <c r="W245" i="13"/>
  <c r="W239" i="13"/>
  <c r="W233" i="13"/>
  <c r="W227" i="13"/>
  <c r="W221" i="13"/>
  <c r="W244" i="13"/>
  <c r="W238" i="13"/>
  <c r="W232" i="13"/>
  <c r="W226" i="13"/>
  <c r="W220" i="13"/>
  <c r="W243" i="13"/>
  <c r="W237" i="13"/>
  <c r="W231" i="13"/>
  <c r="W225" i="13"/>
  <c r="W219" i="13"/>
  <c r="W248" i="13"/>
  <c r="W242" i="13"/>
  <c r="W236" i="13"/>
  <c r="W230" i="13"/>
  <c r="W224" i="13"/>
  <c r="W218" i="13"/>
  <c r="W247" i="13"/>
  <c r="W241" i="13"/>
  <c r="W235" i="13"/>
  <c r="W229" i="13"/>
  <c r="W223" i="13"/>
  <c r="W217" i="13"/>
  <c r="W246" i="13"/>
  <c r="W240" i="13"/>
  <c r="W234" i="13"/>
  <c r="W228" i="13"/>
  <c r="W222" i="13"/>
  <c r="W216" i="13"/>
  <c r="W188" i="13"/>
  <c r="W128" i="13"/>
  <c r="W206" i="13"/>
  <c r="W134" i="13"/>
  <c r="W262" i="13"/>
  <c r="W256" i="13"/>
  <c r="W250" i="13"/>
  <c r="W211" i="13"/>
  <c r="W205" i="13"/>
  <c r="W199" i="13"/>
  <c r="W193" i="13"/>
  <c r="W187" i="13"/>
  <c r="W181" i="13"/>
  <c r="W175" i="13"/>
  <c r="W169" i="13"/>
  <c r="W163" i="13"/>
  <c r="W157" i="13"/>
  <c r="W151" i="13"/>
  <c r="W145" i="13"/>
  <c r="W139" i="13"/>
  <c r="W133" i="13"/>
  <c r="W127" i="13"/>
  <c r="W140" i="13"/>
  <c r="W263" i="13"/>
  <c r="W146" i="13"/>
  <c r="W261" i="13"/>
  <c r="W255" i="13"/>
  <c r="W249" i="13"/>
  <c r="W210" i="13"/>
  <c r="W204" i="13"/>
  <c r="W198" i="13"/>
  <c r="W192" i="13"/>
  <c r="W186" i="13"/>
  <c r="W180" i="13"/>
  <c r="W174" i="13"/>
  <c r="W168" i="13"/>
  <c r="W162" i="13"/>
  <c r="W156" i="13"/>
  <c r="W150" i="13"/>
  <c r="W144" i="13"/>
  <c r="W138" i="13"/>
  <c r="W132" i="13"/>
  <c r="W126" i="13"/>
  <c r="W152" i="13"/>
  <c r="W257" i="13"/>
  <c r="W176" i="13"/>
  <c r="W266" i="13"/>
  <c r="W260" i="13"/>
  <c r="W254" i="13"/>
  <c r="W215" i="13"/>
  <c r="W209" i="13"/>
  <c r="W203" i="13"/>
  <c r="W197" i="13"/>
  <c r="W191" i="13"/>
  <c r="W185" i="13"/>
  <c r="W179" i="13"/>
  <c r="W173" i="13"/>
  <c r="W167" i="13"/>
  <c r="W161" i="13"/>
  <c r="W155" i="13"/>
  <c r="W149" i="13"/>
  <c r="W143" i="13"/>
  <c r="W137" i="13"/>
  <c r="W131" i="13"/>
  <c r="W125" i="13"/>
  <c r="W158" i="13"/>
  <c r="W212" i="13"/>
  <c r="W194" i="13"/>
  <c r="W164" i="13"/>
  <c r="W265" i="13"/>
  <c r="W259" i="13"/>
  <c r="W253" i="13"/>
  <c r="W214" i="13"/>
  <c r="W208" i="13"/>
  <c r="W202" i="13"/>
  <c r="W196" i="13"/>
  <c r="W190" i="13"/>
  <c r="W184" i="13"/>
  <c r="W178" i="13"/>
  <c r="W172" i="13"/>
  <c r="W166" i="13"/>
  <c r="W160" i="13"/>
  <c r="W154" i="13"/>
  <c r="W148" i="13"/>
  <c r="W142" i="13"/>
  <c r="W136" i="13"/>
  <c r="W130" i="13"/>
  <c r="W124" i="13"/>
  <c r="W170" i="13"/>
  <c r="W251" i="13"/>
  <c r="W200" i="13"/>
  <c r="W182" i="13"/>
  <c r="W264" i="13"/>
  <c r="W258" i="13"/>
  <c r="W252" i="13"/>
  <c r="W213" i="13"/>
  <c r="W207" i="13"/>
  <c r="W201" i="13"/>
  <c r="W195" i="13"/>
  <c r="W189" i="13"/>
  <c r="W183" i="13"/>
  <c r="W177" i="13"/>
  <c r="W171" i="13"/>
  <c r="W165" i="13"/>
  <c r="W159" i="13"/>
  <c r="W153" i="13"/>
  <c r="W147" i="13"/>
  <c r="W141" i="13"/>
  <c r="W135" i="13"/>
  <c r="W129" i="13"/>
  <c r="W123" i="13"/>
  <c r="AC2" i="13"/>
  <c r="AB2" i="13"/>
  <c r="AN2" i="13"/>
  <c r="AN3" i="13"/>
  <c r="AN4" i="13"/>
  <c r="AN5" i="13"/>
  <c r="AN6" i="13"/>
  <c r="AN7" i="13"/>
  <c r="AN8" i="13"/>
  <c r="AN9" i="13"/>
  <c r="AN10" i="13"/>
  <c r="AN11" i="13"/>
  <c r="AN12" i="13"/>
  <c r="AN13" i="13"/>
  <c r="AN14" i="13"/>
  <c r="AN15" i="13"/>
  <c r="AN16" i="13"/>
  <c r="AN17" i="13"/>
  <c r="AN18" i="13"/>
  <c r="AN19" i="13"/>
  <c r="AN20" i="13"/>
  <c r="AN21" i="13"/>
  <c r="AN22" i="13"/>
  <c r="AN23" i="13"/>
  <c r="AN24" i="13"/>
  <c r="AN25" i="13"/>
  <c r="AN26" i="13"/>
  <c r="AN27" i="13"/>
  <c r="AN28" i="13"/>
  <c r="AN30" i="13"/>
  <c r="AN31" i="13"/>
  <c r="AN32" i="13"/>
  <c r="AN33" i="13"/>
  <c r="AN34" i="13"/>
  <c r="AN35" i="13"/>
  <c r="AN36" i="13"/>
  <c r="AN37" i="13"/>
  <c r="AN38" i="13"/>
  <c r="AN39" i="13"/>
  <c r="AN40" i="13"/>
  <c r="AN41" i="13"/>
  <c r="AN42" i="13"/>
  <c r="AN43" i="13"/>
  <c r="AQ2" i="13"/>
  <c r="AQ3" i="13"/>
  <c r="AQ4" i="13"/>
  <c r="AQ5" i="13"/>
  <c r="AQ6" i="13"/>
  <c r="AQ7" i="13"/>
  <c r="AQ8" i="13"/>
  <c r="AQ9" i="13"/>
  <c r="AQ10" i="13"/>
  <c r="AQ11" i="13"/>
  <c r="AQ12" i="13"/>
  <c r="AQ13" i="13"/>
  <c r="AQ14" i="13"/>
  <c r="AQ15" i="13"/>
  <c r="AQ16" i="13"/>
  <c r="AQ17" i="13"/>
  <c r="AQ18" i="13"/>
  <c r="AQ19" i="13"/>
  <c r="AQ20" i="13"/>
  <c r="AQ21" i="13"/>
  <c r="AQ22" i="13"/>
  <c r="AQ23" i="13"/>
  <c r="AQ24" i="13"/>
  <c r="AQ25" i="13"/>
  <c r="AQ26" i="13"/>
  <c r="AQ27" i="13"/>
  <c r="AQ28" i="13"/>
  <c r="AQ29" i="13"/>
  <c r="AQ30" i="13"/>
  <c r="AQ31" i="13"/>
  <c r="AQ32" i="13"/>
  <c r="AQ33" i="13"/>
  <c r="AQ34" i="13"/>
  <c r="AQ35" i="13"/>
  <c r="AQ36" i="13"/>
  <c r="AQ37" i="13"/>
  <c r="AQ38" i="13"/>
  <c r="AQ39" i="13"/>
  <c r="AQ40" i="13"/>
  <c r="AQ41" i="13"/>
  <c r="AQ42" i="13"/>
  <c r="AQ43" i="13"/>
  <c r="AP2" i="13"/>
  <c r="AM2" i="13"/>
  <c r="V2" i="13"/>
  <c r="W74" i="13" a="1"/>
  <c r="W16" i="13" a="1"/>
  <c r="W38" i="13" a="1"/>
  <c r="W108" i="13" a="1"/>
  <c r="W8" i="13" a="1"/>
  <c r="W111" i="13" a="1"/>
  <c r="W58" i="13" a="1"/>
  <c r="W4" i="13" a="1"/>
  <c r="W11" i="13" a="1"/>
  <c r="W48" i="13" a="1"/>
  <c r="W81" i="13" a="1"/>
  <c r="W64" i="13" a="1"/>
  <c r="W63" i="13" a="1"/>
  <c r="W91" i="13" a="1"/>
  <c r="W95" i="13" a="1"/>
  <c r="W41" i="13" a="1"/>
  <c r="W34" i="13" a="1"/>
  <c r="W44" i="13" a="1"/>
  <c r="W14" i="13" a="1"/>
  <c r="W72" i="13" a="1"/>
  <c r="W71" i="13" a="1"/>
  <c r="W43" i="13" a="1"/>
  <c r="W94" i="13" a="1"/>
  <c r="W61" i="13" a="1"/>
  <c r="W77" i="13" a="1"/>
  <c r="W25" i="13" a="1"/>
  <c r="W51" i="13" a="1"/>
  <c r="W5" i="13" a="1"/>
  <c r="W28" i="13" a="1"/>
  <c r="W99" i="13" a="1"/>
  <c r="W84" i="13" a="1"/>
  <c r="W27" i="13" a="1"/>
  <c r="W102" i="13" a="1"/>
  <c r="W30" i="13" a="1"/>
  <c r="W101" i="13" a="1"/>
  <c r="W120" i="13" a="1"/>
  <c r="W76" i="13" a="1"/>
  <c r="W3" i="13" a="1"/>
  <c r="W29" i="13" a="1"/>
  <c r="W52" i="13" a="1"/>
  <c r="W60" i="13" a="1"/>
  <c r="W66" i="13" a="1"/>
  <c r="W54" i="13" a="1"/>
  <c r="W90" i="13" a="1"/>
  <c r="W122" i="13" a="1"/>
  <c r="W117" i="13" a="1"/>
  <c r="W109" i="13" a="1"/>
  <c r="W115" i="13" a="1"/>
  <c r="W121" i="13" a="1"/>
  <c r="W9" i="13" a="1"/>
  <c r="W55" i="13" a="1"/>
  <c r="W70" i="13" a="1"/>
  <c r="W47" i="13" a="1"/>
  <c r="W68" i="13" a="1"/>
  <c r="W75" i="13" a="1"/>
  <c r="W26" i="13" a="1"/>
  <c r="W87" i="13" a="1"/>
  <c r="W6" i="13" a="1"/>
  <c r="W113" i="13" a="1"/>
  <c r="W114" i="13" a="1"/>
  <c r="W56" i="13" a="1"/>
  <c r="W36" i="13" a="1"/>
  <c r="W40" i="13" a="1"/>
  <c r="W119" i="13" a="1"/>
  <c r="W39" i="13" a="1"/>
  <c r="W96" i="13" a="1"/>
  <c r="W32" i="13" a="1"/>
  <c r="W112" i="13" a="1"/>
  <c r="W13" i="13" a="1"/>
  <c r="W59" i="13" a="1"/>
  <c r="W65" i="13" a="1"/>
  <c r="W19" i="13" a="1"/>
  <c r="W118" i="13" a="1"/>
  <c r="W53" i="13" a="1"/>
  <c r="W83" i="13" a="1"/>
  <c r="W22" i="13" a="1"/>
  <c r="W88" i="13" a="1"/>
  <c r="W100" i="13" a="1"/>
  <c r="W45" i="13" a="1"/>
  <c r="W85" i="13" a="1"/>
  <c r="W62" i="13" a="1"/>
  <c r="W21" i="13" a="1"/>
  <c r="W24" i="13" a="1"/>
  <c r="W37" i="13" a="1"/>
  <c r="W116" i="13" a="1"/>
  <c r="W57" i="13" a="1"/>
  <c r="W86" i="13" a="1"/>
  <c r="W98" i="13" a="1"/>
  <c r="W97" i="13" a="1"/>
  <c r="W23" i="13" a="1"/>
  <c r="W93" i="13" a="1"/>
  <c r="W78" i="13" a="1"/>
  <c r="W7" i="13" a="1"/>
  <c r="W2" i="13" a="1"/>
  <c r="W89" i="13" a="1"/>
  <c r="W67" i="13" a="1"/>
  <c r="W103" i="13" a="1"/>
  <c r="W80" i="13" a="1"/>
  <c r="W31" i="13" a="1"/>
  <c r="W82" i="13" a="1"/>
  <c r="W79" i="13" a="1"/>
  <c r="W105" i="13" a="1"/>
  <c r="W35" i="13" a="1"/>
  <c r="W107" i="13" a="1"/>
  <c r="W106" i="13" a="1"/>
  <c r="W73" i="13" a="1"/>
  <c r="W15" i="13" a="1"/>
  <c r="W49" i="13" a="1"/>
  <c r="W104" i="13" a="1"/>
  <c r="W92" i="13" a="1"/>
  <c r="W20" i="13" a="1"/>
  <c r="W50" i="13" a="1"/>
  <c r="W46" i="13" a="1"/>
  <c r="W110" i="13" a="1"/>
  <c r="W10" i="13" a="1"/>
  <c r="W33" i="13" a="1"/>
  <c r="W69" i="13" a="1"/>
  <c r="W17" i="13" a="1"/>
  <c r="W18" i="13" a="1"/>
  <c r="W12" i="13" a="1"/>
  <c r="AO2" i="13" l="1"/>
  <c r="W115" i="13"/>
  <c r="W97" i="13"/>
  <c r="W85" i="13"/>
  <c r="W67" i="13"/>
  <c r="W49" i="13"/>
  <c r="W37" i="13"/>
  <c r="W119" i="13"/>
  <c r="W113" i="13"/>
  <c r="W107" i="13"/>
  <c r="W101" i="13"/>
  <c r="W95" i="13"/>
  <c r="W89" i="13"/>
  <c r="W83" i="13"/>
  <c r="W77" i="13"/>
  <c r="W71" i="13"/>
  <c r="W65" i="13"/>
  <c r="W59" i="13"/>
  <c r="W53" i="13"/>
  <c r="W47" i="13"/>
  <c r="W41" i="13"/>
  <c r="W35" i="13"/>
  <c r="W29" i="13"/>
  <c r="W100" i="13"/>
  <c r="W64" i="13"/>
  <c r="W28" i="13"/>
  <c r="W118" i="13"/>
  <c r="W106" i="13"/>
  <c r="W88" i="13"/>
  <c r="W76" i="13"/>
  <c r="W46" i="13"/>
  <c r="W34" i="13"/>
  <c r="W117" i="13"/>
  <c r="W111" i="13"/>
  <c r="W105" i="13"/>
  <c r="W99" i="13"/>
  <c r="W93" i="13"/>
  <c r="W87" i="13"/>
  <c r="W81" i="13"/>
  <c r="W75" i="13"/>
  <c r="W69" i="13"/>
  <c r="W63" i="13"/>
  <c r="W57" i="13"/>
  <c r="W51" i="13"/>
  <c r="W45" i="13"/>
  <c r="W39" i="13"/>
  <c r="W33" i="13"/>
  <c r="W27" i="13"/>
  <c r="W58" i="13"/>
  <c r="W112" i="13"/>
  <c r="W94" i="13"/>
  <c r="W82" i="13"/>
  <c r="W70" i="13"/>
  <c r="W52" i="13"/>
  <c r="W40" i="13"/>
  <c r="W122" i="13"/>
  <c r="W116" i="13"/>
  <c r="W110" i="13"/>
  <c r="W104" i="13"/>
  <c r="W98" i="13"/>
  <c r="W92" i="13"/>
  <c r="W86" i="13"/>
  <c r="W80" i="13"/>
  <c r="W74" i="13"/>
  <c r="W68" i="13"/>
  <c r="W62" i="13"/>
  <c r="W56" i="13"/>
  <c r="W50" i="13"/>
  <c r="W44" i="13"/>
  <c r="W38" i="13"/>
  <c r="W32" i="13"/>
  <c r="W26" i="13"/>
  <c r="W109" i="13"/>
  <c r="W73" i="13"/>
  <c r="W25" i="13"/>
  <c r="W55" i="13"/>
  <c r="W121" i="13"/>
  <c r="W103" i="13"/>
  <c r="W91" i="13"/>
  <c r="W79" i="13"/>
  <c r="W61" i="13"/>
  <c r="W43" i="13"/>
  <c r="W31" i="13"/>
  <c r="W120" i="13"/>
  <c r="W114" i="13"/>
  <c r="W108" i="13"/>
  <c r="W102" i="13"/>
  <c r="W96" i="13"/>
  <c r="W90" i="13"/>
  <c r="W84" i="13"/>
  <c r="W78" i="13"/>
  <c r="W72" i="13"/>
  <c r="W66" i="13"/>
  <c r="W60" i="13"/>
  <c r="W54" i="13"/>
  <c r="W48" i="13"/>
  <c r="W36" i="13"/>
  <c r="W30" i="13"/>
  <c r="W24" i="13"/>
  <c r="W3" i="13"/>
  <c r="W6" i="13"/>
  <c r="W9" i="13"/>
  <c r="W12" i="13"/>
  <c r="W15" i="13"/>
  <c r="W18" i="13"/>
  <c r="W21" i="13"/>
  <c r="W4" i="13"/>
  <c r="W7" i="13"/>
  <c r="W10" i="13"/>
  <c r="W13" i="13"/>
  <c r="W16" i="13"/>
  <c r="W19" i="13"/>
  <c r="W22" i="13"/>
  <c r="W2" i="13"/>
  <c r="W5" i="13"/>
  <c r="W8" i="13"/>
  <c r="W11" i="13"/>
  <c r="W14" i="13"/>
  <c r="W17" i="13"/>
  <c r="W20" i="13"/>
  <c r="W23"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<sst xmlns="http://schemas.openxmlformats.org/spreadsheetml/2006/main" count="4566" uniqueCount="1127">
  <si>
    <t>Remarks</t>
  </si>
  <si>
    <t>Bhavnagar</t>
  </si>
  <si>
    <t>Umrala</t>
  </si>
  <si>
    <t>Palitana</t>
  </si>
  <si>
    <t>Talaja</t>
  </si>
  <si>
    <t>SOMNATH ENTERPRISE</t>
  </si>
  <si>
    <t>Tender ID</t>
  </si>
  <si>
    <t>Sub Division</t>
  </si>
  <si>
    <t>Estimated Amount</t>
  </si>
  <si>
    <t>Contract Price</t>
  </si>
  <si>
    <t>Agreement No.</t>
  </si>
  <si>
    <t>Vallabhipur</t>
  </si>
  <si>
    <t>Mahuva</t>
  </si>
  <si>
    <t>Shihor</t>
  </si>
  <si>
    <t>OM CONSTRUCTION CO.</t>
  </si>
  <si>
    <t>C M VAGHELA</t>
  </si>
  <si>
    <t>V K ENTERPRISE</t>
  </si>
  <si>
    <t>V M SOJITRA</t>
  </si>
  <si>
    <t>SHIV DHARA ENTERPRISE</t>
  </si>
  <si>
    <t>MOGAL CONSTRUCTION</t>
  </si>
  <si>
    <t>Type</t>
  </si>
  <si>
    <t>Road</t>
  </si>
  <si>
    <t>DEEPALI CONSTRUCTION</t>
  </si>
  <si>
    <t>Tender Validity Period</t>
  </si>
  <si>
    <t>Duration of Work (in Months)</t>
  </si>
  <si>
    <t>Name of Roads</t>
  </si>
  <si>
    <t>Sr. No.</t>
  </si>
  <si>
    <t>Tender Notice Year</t>
  </si>
  <si>
    <t>Tender Notice No.</t>
  </si>
  <si>
    <t>Tender Notice Sub No.</t>
  </si>
  <si>
    <t>Name of Scheme</t>
  </si>
  <si>
    <t>Last Date of Submission</t>
  </si>
  <si>
    <t>Tender Opening Date</t>
  </si>
  <si>
    <t>Contract Awarded to</t>
  </si>
  <si>
    <t>Contractor Address</t>
  </si>
  <si>
    <t xml:space="preserve">
Name of Proprietor</t>
  </si>
  <si>
    <t>Contract Price in words</t>
  </si>
  <si>
    <t>Required Security Deposit Amount (5% of Contract Price )</t>
  </si>
  <si>
    <t xml:space="preserve">Required Stamp Duty (4.90% of Security Deposit) </t>
  </si>
  <si>
    <t>Required Additional Performance Security Deposit Amount</t>
  </si>
  <si>
    <t>Date upto which Additional Performance Security Deposit Required</t>
  </si>
  <si>
    <t>Date upto which Security Security Deposit Required</t>
  </si>
  <si>
    <t>Tender Approval Office</t>
  </si>
  <si>
    <t>Tender Approval No.</t>
  </si>
  <si>
    <t>Tender Approval Date</t>
  </si>
  <si>
    <t>Work Order Worksheet No.</t>
  </si>
  <si>
    <t>Work Order  Date</t>
  </si>
  <si>
    <t>Defect Liability Period (Date)</t>
  </si>
  <si>
    <t>Tender Acceptance Letter Worksheet No.</t>
  </si>
  <si>
    <t>Tender Acceptance Letter Date</t>
  </si>
  <si>
    <t>Agreement Date</t>
  </si>
  <si>
    <t>Security Deposit Type (BG/ FDR)</t>
  </si>
  <si>
    <t>Bank Name of Security Deposit BG/ FDR)</t>
  </si>
  <si>
    <t xml:space="preserve">Security Deposit BG/ FDR Number </t>
  </si>
  <si>
    <t>Security Deposit BG/ FDR Amount</t>
  </si>
  <si>
    <t>Bank Name of Additional Performance Security Deposit</t>
  </si>
  <si>
    <t>Time Limit Starts From Date</t>
  </si>
  <si>
    <t>Security Deposit BG/ FDR Date</t>
  </si>
  <si>
    <t>Additional Performance Security BG/FDR Amount</t>
  </si>
  <si>
    <t>Additional Performance Security BG/FDR Date</t>
  </si>
  <si>
    <t>Additional Performance Security Deposit BG/ FDR Type</t>
  </si>
  <si>
    <t>Taluka</t>
  </si>
  <si>
    <t>Grand Total</t>
  </si>
  <si>
    <t>Shyam Construction</t>
  </si>
  <si>
    <t>(1) Salapara (Velavadar) Approach Road
(2) Pati Approach Road
(3) Lakhanka Approach Road
(4) Nasitpar Junaratanpar Road</t>
  </si>
  <si>
    <t>(1) Dharuka Bajud Road (At Dharuka Village)
(2) Umrala Keriya Piparali Road (At Keriya Village)
(3) Ratanpar Approach Road (At Ratanpar Village)
(4) Dharuka Chogath Road (At Chogath Village)</t>
  </si>
  <si>
    <t>(1) Limda Lakhavad Road (At Lakhavad Village)
(2) Alampar Vadod Road (At Vadod Village) 
(3) Khijadiya Rajpipala Road (At Khijadiya Village) 
(4) Vangadhra Bhojavadar Samadhiyala Road (At Vangadhra Village)</t>
  </si>
  <si>
    <t>Constrcution Cement Concrete Roads of Bhavnagar District Package No. RPC-2/BVN/Suvidhapath/2024-25/P.09 Ta. Vallabhipur, Dist. Bhavnagar</t>
  </si>
  <si>
    <t>Name of Work</t>
  </si>
  <si>
    <t>Superintending Engineer, Panchayat Road and Building Circle-2, Rajkot</t>
  </si>
  <si>
    <t>R J Bhammar Construction</t>
  </si>
  <si>
    <t>BABUBHAI HAKABHAI GOHIL</t>
  </si>
  <si>
    <t>Notice 1 WS No</t>
  </si>
  <si>
    <t>Notice 1 Date</t>
  </si>
  <si>
    <t>Notice 2 WS No</t>
  </si>
  <si>
    <t>Notice 2 Date</t>
  </si>
  <si>
    <t>BRIJRAJ CONSTRUCTION</t>
  </si>
  <si>
    <t>Agreement Year</t>
  </si>
  <si>
    <t>2025-26</t>
  </si>
  <si>
    <t>R M DASA INFRASTRUCTURE PVT. LTD.</t>
  </si>
  <si>
    <t>KRISHNA CONSTRUCTION</t>
  </si>
  <si>
    <t>VIJAYBHAI MOHANBHAI SINDHAV</t>
  </si>
  <si>
    <t>Construction of Pati Chogath Road Km 0/0 to 2/100, Ta. Vallabhipur Dist. Bhavnagar</t>
  </si>
  <si>
    <t>(1) Unchadi Vavadi Road
(2) Bhegali Datrad Road
(3) Shelavadar Vavadi Road
(4) Chudi Approach Road
(5) Datha Rojiya Road</t>
  </si>
  <si>
    <t>(1) Bhadrod to NH Road (Dholivav Side)
(2) Bhadrod Khatsura Road (Panchmukhi Hanuman)</t>
  </si>
  <si>
    <t xml:space="preserve">(1) Monpar Titodiya Bagdana Road
(2) Katrodi Hipavadali Road
</t>
  </si>
  <si>
    <t>(1) Bhojapara Approach Road
(2) Kardej Shampara Road
(3) Vartej Kamlej Road</t>
  </si>
  <si>
    <t xml:space="preserve">(1) Moti Vavadi Sitapur Road
(2) Medha Approach Road
</t>
  </si>
  <si>
    <t xml:space="preserve">(1) Virpur Malapara Road joining to Randola (village Virpur)
(2) Gheti Nanimal Road (village Gheti)
</t>
  </si>
  <si>
    <t>(1) Surnagar Samadhiyala Road (village Samadhiyala)
(2) Kumbhan Khakhariya Road (village Kumbhan)
(3) Jamvali Primary School Approach Road (village Jamvali) 
(4) Bhundarakha-1 to Bhundarakha Road (village Bhundarakha)
(5) Nanimal Dedarada Road (village Dedarada)
(6) Anida Mandavada Road (village Anida)
(7) Lapaliya Approach Road (village Lapaliya)</t>
  </si>
  <si>
    <t>(1) Kanpar Pipal Totaniyala Rohishala Road (At Kanpar &amp; Totaniyala Village)
(2) Nasitpur Jaliya Road (At Nasitpur Village) 
(3) Navagam Kanatalav Dared Road (At Navagam &amp; Dudadhar Village)
(4) Navagam Monpar Road (At Monpar Village) 
(5) Vadod Haliyad Road (At Haliyad Village)
(6) Monpar Salapara Road (At Salapara Village)</t>
  </si>
  <si>
    <t>Tender Creation Date Date</t>
  </si>
  <si>
    <t>Proposal Date</t>
  </si>
  <si>
    <t>Widening and Strengthening of Sathara to uncha Kotada road Km 0/0 to 17/900 Ta. Mahuva Dist. Bhavnagar</t>
  </si>
  <si>
    <t>Construction To Roads of Bhavnagar District Package No. RPC-2/BVN/MMGSY/Normal/2024-25/P.03 Ta. Mahuva, Dist. Bhavnagar</t>
  </si>
  <si>
    <t>(1) Mahuva Vaghnagar Road
(2) Katpar Bandar Vistar Road</t>
  </si>
  <si>
    <t>Construction To Roads of Bhavnagar District Package No. RPC-2/BVN/MMGSY/Normal/2024-25/P.01 Ta. Gariyadhar, Dist. Bhavnagar</t>
  </si>
  <si>
    <t>(1) Shivendranagar Dedarada Cutting Road
(2) Bela Vinay Mandir High School Road</t>
  </si>
  <si>
    <t>(1) Ramdhari Chorvadala Road
(2) Sarvedi Dholakuva Road
(3) Sandhida Dhankadkunda Dholakuva Road</t>
  </si>
  <si>
    <t xml:space="preserve">(1) Avaniya Jodhpura Area Road
(2) Valukadpara Approach Road
(3) Navagam Approach Road
(4) Mota Khokhara To Vadi Area Road
(5) Bhikada Bhikadapara Road
</t>
  </si>
  <si>
    <t>Construction New Structure of Bhavnagar District Package No. RPC-2/BVN/MMGSY/Normal/2023-24/P.11 Ta. Mahuva</t>
  </si>
  <si>
    <t>(1) Vented Causeway on Dharai Titodiya Road
(2) Slab Drain on Gundarana Padargadh Road</t>
  </si>
  <si>
    <t>(1) Luvarvav Bhundarakha Road (village Luvarvav)
(2) Dudhala Damarala Bypass Road (village Damarala)</t>
  </si>
  <si>
    <t>Improvement of Khodiyar Jaliya Bhadali Rabarika Road Km 0/0 to 8/850 Ta. Shihor, Dist. Bhavnagar</t>
  </si>
  <si>
    <t>(blank)</t>
  </si>
  <si>
    <t>Contract Awarded</t>
  </si>
  <si>
    <t>Proposal Sent</t>
  </si>
  <si>
    <t>Tender Approved</t>
  </si>
  <si>
    <t>LoA Sent</t>
  </si>
  <si>
    <t>Work Order Given</t>
  </si>
  <si>
    <t>Sub Notices</t>
  </si>
  <si>
    <t>Name of Agency</t>
  </si>
  <si>
    <t>Address</t>
  </si>
  <si>
    <t>Name of Proprietor</t>
  </si>
  <si>
    <t>VANRAJSINH BOGHUBHA SARVAIYA</t>
  </si>
  <si>
    <t>RPC-2/Tender/Bhav/60</t>
  </si>
  <si>
    <t>Above/ Below (%)</t>
  </si>
  <si>
    <t>Re-Invite?</t>
  </si>
  <si>
    <t>Above/ Below (in word)</t>
  </si>
  <si>
    <t>Re-Invite</t>
  </si>
  <si>
    <t>Construction Cement Concrete Roads of Bhavnagar District Package No. RPC-2/BVN/Suvidhapath/2024-25/P.02 Ta. Palitana, Dist. Bhavnagar</t>
  </si>
  <si>
    <t>Resurfacing to Roads of Bhavnagar District Package No. RPC-2/BVN/MMGSY/Normal/2024-25/P.10 Taluka and Dist. Bhavnagar</t>
  </si>
  <si>
    <t>SR To Paldi Ganeshgadh Road (NP BT) Km.0/000 to 2/550 Ta.Gariyadhar, Dist. Bhavnagar</t>
  </si>
  <si>
    <t>Resurfacing to Roads of Bhavnagar District Package No. RPC-2/BVN/MMGSY/Normal/2024-25/P.08 Ta. Talaja , Dist. Bhavnagar</t>
  </si>
  <si>
    <t>Improvement and Routine Maintenance of Vadiya Ukharla Road (Vadiya Usrad Pipaliya Road) (ODR) Km.0/000 -5/100 Ta. Shihor, Dist. Bhavnagar</t>
  </si>
  <si>
    <t>Resurfacing to Roads of Bhavnagar District Package No.RPC-2/BVN/MMGSY/Normal/2024-25/P.01 Ta. Vallabhipur, Dist. Bhavnagar</t>
  </si>
  <si>
    <t>Construction to Roads of Bhavnagar District Package No.RPC-2/BVN/MMGSY/Normal/2024-25/P.02 Ta. Mahuva, Dist. Bhavnagar</t>
  </si>
  <si>
    <t>Construction to Roads of Bhavnagar District Package No. RPC-2/BVN/MMGSY/Khas Angbhut/2024-25/P.01 Ta. Mahuva , Dist. Bhavnagar</t>
  </si>
  <si>
    <t>Resurfacing of Dundas to Pipalava Road (MDR) Km. 0/000 to 3/200 Ta. Mahuva , Dist. Bhavnagar</t>
  </si>
  <si>
    <t>Construction of Budhel to Malanka Road (NP) Km.0/000 to 4/250 Taluka And Dist. Bhavnagar</t>
  </si>
  <si>
    <t>Resurfacing to Roads of Bhavnagar District Package No. RPC-2/BVN/MMGSY/Normal/2024-25/P.03 Ta. Mahuva , Dist. Bhavnagar</t>
  </si>
  <si>
    <t>Resurfacing of Konjali Kalela Boradi Road (MDR) Km.0/000 to 8/000 Ta. Mahuva, Dist. Bhavnagar</t>
  </si>
  <si>
    <t>Resurfacing to Roads of Bhavnagar District Package No. RPC-2/BVN/MMGSY/Normal/2024-25/P.09 Taluka and Dist. Bhavnagar</t>
  </si>
  <si>
    <t>Special Repairs Roads of Bhavnagar District Package No. RPC-2/BVN/Spaecial Repairs/2023-24/P.31 Ta. Palitana, Dist. Bhavnagar</t>
  </si>
  <si>
    <t>Construction Cement Concrete Roads of Bhavnagar District Package No. RPC-2/BVN/Suvidhapath/2024-25/P.11 Ta. Umrala, Dist. Bhavnagar</t>
  </si>
  <si>
    <t>Construction of Cement Concrete Roads of Bhavnagar District Package No. RPC-2/BVN/Suvidhapath/2024-25/P.10 Ta. Umrala, Dist. Bhavnagar</t>
  </si>
  <si>
    <t>Construction Cement Concrete Roads of Bhavnagar District Package No. RPC-2/BVN/Suvidhapath/2024-25/P.01 Ta. Palitana, Dist. Bhavnagar</t>
  </si>
  <si>
    <t>RPC-2/Tender/Bhav/64</t>
  </si>
  <si>
    <t>Notice 3 WS No</t>
  </si>
  <si>
    <t>Notice 3 Date</t>
  </si>
  <si>
    <t>SHOP NO. 7, FIRST FLOOR, AKSHAR RESIDENCY, GIRIRAJ MAIN ROAD,  JUNAGADH - 362001</t>
  </si>
  <si>
    <t>RPC-2/Tender/Bhav/58</t>
  </si>
  <si>
    <t>J B GOHIL</t>
  </si>
  <si>
    <t>JAYRAJSINH BHUPATSINH GOHIL</t>
  </si>
  <si>
    <t>C. H. Gohil</t>
  </si>
  <si>
    <t>HARPALSINH AMARSINH SARVAIYA</t>
  </si>
  <si>
    <t>CHATURBHAI MOHANBHAI VAGHELA</t>
  </si>
  <si>
    <t>Mo. No.</t>
  </si>
  <si>
    <t>4th Floor, Akshar Plaza-1, Diksha Nagar, Zanzarda Chokadi, Junagadh- 362001</t>
  </si>
  <si>
    <t>D. H. Gohil</t>
  </si>
  <si>
    <t>KRISHNA CONSTRUCTION, DHOLA</t>
  </si>
  <si>
    <t>PANCHABHAI BAVDINBHAI KUVADIYA</t>
  </si>
  <si>
    <t>Bhupendrasinh Sujansinh Gohil</t>
  </si>
  <si>
    <t>308- Swara Park Lane, Behind Sanskar Mandal, Joggers Park, Near Atabhai Chowk, Bhavnagar- 364002</t>
  </si>
  <si>
    <t>DINESHBHAI VASHRAMBHAI PADAYA,</t>
  </si>
  <si>
    <t>PRUTHVI CORPORATION</t>
  </si>
  <si>
    <t>GULABSINH LAKHUBHAI SARVAIYA</t>
  </si>
  <si>
    <t xml:space="preserve">BHUMI CONSTRUCTION </t>
  </si>
  <si>
    <t>Block No 101, 1st Floor, Shraddha Complex, Opp. Ganga hall, Amin Marg, Rajkot-360001</t>
  </si>
  <si>
    <t>Narendrasinh Parbatsinh Gohil</t>
  </si>
  <si>
    <t>SAI GEOTECHNICAL LAB</t>
  </si>
  <si>
    <t>A-13, Basement, Panchratna Apartment, Subhanpura Road, Vadodara - 390023</t>
  </si>
  <si>
    <t>Mahesh Vallabhbhai Savani</t>
  </si>
  <si>
    <t>MIHIR RAJENDRABHAI MANDALIYA</t>
  </si>
  <si>
    <t>SHRI KRISHNA CONSTRUCTION</t>
  </si>
  <si>
    <t>KAIRAV CONSTRUCTION</t>
  </si>
  <si>
    <t>JATINKUMAR RAMESHBHAI GOYANI</t>
  </si>
  <si>
    <t>BHADRESHSINH BHAGWATSING GOHIL</t>
  </si>
  <si>
    <t>JAY PAVER BLOCK</t>
  </si>
  <si>
    <t>JAY DHIRUBHAI BHALIYA</t>
  </si>
  <si>
    <t>HAREKRISHNA CONSTRUCTION</t>
  </si>
  <si>
    <t>Dineshbhai Harjibhai Parmar</t>
  </si>
  <si>
    <t>SHUBH CONSTRUCTION</t>
  </si>
  <si>
    <t>VARAHI CONSTRUCTION</t>
  </si>
  <si>
    <t>SADGURU CONSTRUCTION</t>
  </si>
  <si>
    <t>SHIV CONSTRUCTION</t>
  </si>
  <si>
    <t>VEERAJ HITESHBHAI OZA</t>
  </si>
  <si>
    <t>ZABBICS</t>
  </si>
  <si>
    <t>Aarti Construction</t>
  </si>
  <si>
    <t>VIVEK CONSTRUCTION</t>
  </si>
  <si>
    <t>G.K.S. Construction Enterprise</t>
  </si>
  <si>
    <t>RAMESHBHAI GANGDASBHAI SANKALIYA</t>
  </si>
  <si>
    <t>V V CONSTRUCTION</t>
  </si>
  <si>
    <t>SITARAM CONSTRUCTION</t>
  </si>
  <si>
    <t>HITENDRASINH GAMBHIRSINH ZALA</t>
  </si>
  <si>
    <t>GAYATRI ENGINEERING</t>
  </si>
  <si>
    <t>YOGENDRASINH GOHIL, TULSIBHAI SHAMJIBHAI VANANI</t>
  </si>
  <si>
    <t>KRUNAL KAMLESHBHAI PATEL</t>
  </si>
  <si>
    <t>NANKUBHAI DUDABHAI BARAL</t>
  </si>
  <si>
    <t>Maa Mogal Enterprise</t>
  </si>
  <si>
    <t>Radhe Construction</t>
  </si>
  <si>
    <t>SHIV CONSTRUCTION, AMRELI</t>
  </si>
  <si>
    <t>KANJIBHAI RAMESHBHAI BARAIYA</t>
  </si>
  <si>
    <t>S G ENTERPRISE</t>
  </si>
  <si>
    <t>J K CONSTRUCTION</t>
  </si>
  <si>
    <t>UPENDRAKUMAR JAGDISHBHAI JOSHI</t>
  </si>
  <si>
    <t>BHAGYALAXMI CONSTRUCTION</t>
  </si>
  <si>
    <t>CHETANSINH BHUPATSINH SARVAIYA</t>
  </si>
  <si>
    <t>PRADIPSINH VANRAJSINH GOHIL</t>
  </si>
  <si>
    <t>SANDIP N PATEL</t>
  </si>
  <si>
    <t>SANDIP NITINKUMAR PATEL</t>
  </si>
  <si>
    <t>SHIV BUILDERS</t>
  </si>
  <si>
    <t>FIRST FLOOR, FLT NO.101, MADHAV COMPLEX, SHASTRI NAGAR BHAVNAGAR-364001</t>
  </si>
  <si>
    <t>PLOT NO 916, AIR PORT ROAD, SAVINAY SOCIETY, PATEL PARK, MUNI DERI BHAVNAGAR-364001</t>
  </si>
  <si>
    <t>78/3, KOLIVAS WADI VISTAR, LILIVAV, TALAJA, BHAVNAGAR-364050</t>
  </si>
  <si>
    <t>42-Patel Sheri, Sundariyana, Ranpur, Dist. Botad-382255</t>
  </si>
  <si>
    <t>Hathab, Vaya-Koliyak, Dist. Bhavnagar-364070</t>
  </si>
  <si>
    <t>Shelana, Savarkudala, Dist. Amreli-364525</t>
  </si>
  <si>
    <t>314, Third Floor, Surabhi Mall, Waghawadi Road, BHAVNAGAR-364001</t>
  </si>
  <si>
    <t>MOTI JAGDHAR, MAHUVA, 
BHAVNAGAR-364295</t>
  </si>
  <si>
    <t>House No.757, Nr. Ramdevpir Mandir Temple, Dihor, Talaja, Bhavnagar-364150</t>
  </si>
  <si>
    <t>Moti Jagdhar, Ta. Mahuva, Bhavnagar-364295</t>
  </si>
  <si>
    <t>82/1, Bajaran Society, Near Gayatri Temple, Chitra, Bhavnagar-364004</t>
  </si>
  <si>
    <t>UMARLA, Ta. TALAJA, Dist. BHAVNAGAR-364150</t>
  </si>
  <si>
    <t>Shetrunji Dam, Nani Paniyali, Palitana, Bhavnagar-364270</t>
  </si>
  <si>
    <t>Fist Floor, Ananddham Park-1, Plot No.59, Vinchhiya Jasdan Road, Survey No.753, Rajkot-360050</t>
  </si>
  <si>
    <t>A-204, LEELA EFCEE, WAGHAWADI ROAD, BHAVNAGAR-364001</t>
  </si>
  <si>
    <t>FF-22, Virbhadrasinhji Shopping Center, Nilambaug, BHAVNAGAR-364001</t>
  </si>
  <si>
    <t>Shop No.26, First Floor, Sadguru Complex, Nr. Nari Chowkadi Circle, Bhavnagar-364001</t>
  </si>
  <si>
    <t>BHAVANI CONSTRUCTION COMPANY</t>
  </si>
  <si>
    <t>RANJITBHAI BAHADURBHAI VALA</t>
  </si>
  <si>
    <t>RAMDEVSINH SATUBHA GOHIL</t>
  </si>
  <si>
    <t>ASHAPURA CONSTRUCTION</t>
  </si>
  <si>
    <t>Universal associates</t>
  </si>
  <si>
    <t>Construction of Sanala To Sanala Cutting Road (NP) Km.0/000 to 1/400 Ta. Jesar, Dist. Bhavnagar</t>
  </si>
  <si>
    <t>SAMIR H SAIYAD</t>
  </si>
  <si>
    <t>VASHRAMBHAI BIJALBHAI AND CO</t>
  </si>
  <si>
    <t>CHAUHAN LALJIBHAI ARJANBHAI</t>
  </si>
  <si>
    <t>Row Labels</t>
  </si>
  <si>
    <t>Sum of Contract Price</t>
  </si>
  <si>
    <t>Trial No.</t>
  </si>
  <si>
    <t>Road and Building Department, Ganghinagar</t>
  </si>
  <si>
    <t>RBD/TRF/e-file/16/2025/2856/Section D1</t>
  </si>
  <si>
    <t>Yes</t>
  </si>
  <si>
    <t>RBD/TRF/e-file/16/2025/2855/Section D1</t>
  </si>
  <si>
    <t>RBD/TRF/e-file/16/2025/2863/Section D1</t>
  </si>
  <si>
    <t>RBD/TRF/e-file/16/2025/2862/Section D1</t>
  </si>
  <si>
    <t>RBD/TRF/e-file/16/2025/2861/Section D1</t>
  </si>
  <si>
    <t>VCPROJECT &amp; INFRA PVT. LTD.</t>
  </si>
  <si>
    <t>RBD/TRF/e-file/16/2025/2864/Section D1</t>
  </si>
  <si>
    <t>RBD/TRF/e-file/16/2025/2865/Section D1</t>
  </si>
  <si>
    <t>RBD/TRF/e-file/16/2025/2859/Section D1</t>
  </si>
  <si>
    <t>RBD/TRF/e-file/16/2025/3192/Section D1</t>
  </si>
  <si>
    <t>RPC-2/Tender/Bhav/95</t>
  </si>
  <si>
    <t>RPC-2/Tender/Bhav/96</t>
  </si>
  <si>
    <t>RPC-2/Tender/Bhav/97</t>
  </si>
  <si>
    <t>RPC-2/Tender/Bhav/98</t>
  </si>
  <si>
    <t>RPC-2/Tender/Bhav/99</t>
  </si>
  <si>
    <t>RPC-2/Tender/Bhav/100</t>
  </si>
  <si>
    <t>RPC-2/Tender/Bhav/101</t>
  </si>
  <si>
    <t>RPC-2/Tender/Bhav/102</t>
  </si>
  <si>
    <t>RPC-2/Tender/Bhav/103</t>
  </si>
  <si>
    <t>RPC-2/Tender/Bhav/105</t>
  </si>
  <si>
    <t>RPC-2/Tender/Bhav/106</t>
  </si>
  <si>
    <t>RPC-2/Tender/Bhav/107</t>
  </si>
  <si>
    <t>RPC-2/Tender/Bhav/104</t>
  </si>
  <si>
    <t>Building</t>
  </si>
  <si>
    <t>Gariyadhar</t>
  </si>
  <si>
    <t>Remaining works Construction of Gram Panchayat office Building (Frame Structure) at village Pansada Dist. Bhavnagar</t>
  </si>
  <si>
    <t>Construction of School Building at Kalivav Primary School (One Class Room)  and Koliyak Kanya P.S. (Four Class Room) Ta. And Dist. Bhavnagar</t>
  </si>
  <si>
    <t>Construction of Nandghar (Anganvadi) Building at Undavi-1 (Bhavnagar) Ta. Bhavnagar Dist. Bhavnagar</t>
  </si>
  <si>
    <t>Construction of Nandghar (Anganvadi) Building at Village Boradi-4 Tal. Mahuva Dist. Bhavnagar</t>
  </si>
  <si>
    <t>JAY KANDHAL CONSTRUCTION</t>
  </si>
  <si>
    <t>Construction of Nandghar (Anganvadi) Building at Village Malvav-4 Tal. Mahuva Dist. Bhavnagar</t>
  </si>
  <si>
    <t>Construction of Nandghar (Anganvadi) Building at Village Nikol, Ta. Mahuva Dist. Bhavnagar</t>
  </si>
  <si>
    <t>Construction of Nandghar (Anganvadi) Building at Village Boradi-1 Tal. Mahuva Dist. Bhavnagar</t>
  </si>
  <si>
    <t>Construction of Nandghar (Anganvadi) Building at Village Malvav-3 Tal. Mahuva Dist. Bhavnagar</t>
  </si>
  <si>
    <t>Construction of Nandghar (Anganvadi) Building at Village Kumbhariya, Ta. Mahuva Dist. Bhavnagar</t>
  </si>
  <si>
    <t>Construction of Nandghar (Anganvadi) Building at Village Mota Khuntavada-2, Ta. Mahuva Dist. Bhavnagar</t>
  </si>
  <si>
    <t>Construction of Nandghar (Anganvadi) Building at Village Titodiya, Ta. Mahuva Dist. Bhavnagar</t>
  </si>
  <si>
    <t>Construction of Nandghar (Anganvadi) Building at Village Gundarani, Ta. Mahuva Dist. Bhavnagar</t>
  </si>
  <si>
    <t>Construction of Nandghar (Anganvadi) Building at Village Mota Malpara, Ta. Mahuva Dist. Bhavnagar</t>
  </si>
  <si>
    <t>Construction of Nandghar (Anganvadi) Building at Village Bagdana-3, Ta. Mahuva Dist. Bhavnagar</t>
  </si>
  <si>
    <t>Construction of Nandghar (Anganvadi) Building at Village Mota Khuntavada-3, Ta. Mahuva Dist. Bhavnagar</t>
  </si>
  <si>
    <t>Construction of Nandghar (Anganvadi) Building at Village Vaghvadarda, Ta. Mahuva Dist. Bhavnagar</t>
  </si>
  <si>
    <t>Construction of Nandghar (Anganvadi) Building at Village Lusadi, Ta. Mahuva Dist. Bhavnagar</t>
  </si>
  <si>
    <t>Construction of Nandghar (Anganvadi) Building at Village Dudana, Ta. Mahuva Dist. Bhavnagar</t>
  </si>
  <si>
    <t>Construction of Gram Panchayat office (Frame structure) at Village Morchupna Tal. Jesar Dist. Bhavnagar</t>
  </si>
  <si>
    <t>Jesar</t>
  </si>
  <si>
    <t>SHIV CONTRUCTION</t>
  </si>
  <si>
    <t>Construction of Gram Panchayat office (Frame structure) at Village Intiya Tal. Jesar Dist. Bhavnagar</t>
  </si>
  <si>
    <t>UDAYBHAI R. LUNSAR</t>
  </si>
  <si>
    <t>Construction of Gram Panchayat office (Frame structure) at Village Ranparda (Chok) Tal. Jesar Dist. Bhavnagar</t>
  </si>
  <si>
    <t>Construction of Gram Panchayat office (Frame structure) at Village Ranparada (Khara) Tal. Palitana Dist. Bhavnagar</t>
  </si>
  <si>
    <t>Construction of Gram Panchayat office (Frame structure) at Village Moti Rajsthali Tal. Palitana Dist. Bhavnagar</t>
  </si>
  <si>
    <t>Construction of Gram Panchayat office (Frame structure) at Village Satananes Ta.Palitana Dist. Bhavnagar</t>
  </si>
  <si>
    <t>Construction of Gram Panchayat office (Frame structure) at Village Chonda Tal. Palitana Dist. Bhavnagar</t>
  </si>
  <si>
    <t>SANDIP DINESHBHAI VANZARA</t>
  </si>
  <si>
    <t>Construction of Gram Panchayat office (Frame structure) at Village Bhandariya Ta. Palitana Dist. Bhavnagar</t>
  </si>
  <si>
    <t>Construction of Gram Panchayat office (Frame structure) at Village Motishree Tal. Palitana Dist. Bhavnagar</t>
  </si>
  <si>
    <t>Construction of Gram Panchayat office (Frame structure) at Village Dungarpur Tal. Palitana Dist. Bhavnagar</t>
  </si>
  <si>
    <t>Construction of Gram Panchayat office (Frame structure) at Village Nava Sarod Tal. Palitana Dist. Bhavnagar</t>
  </si>
  <si>
    <t>ASHOKBHAI PARSHOTAMBHAI
BARAIYA</t>
  </si>
  <si>
    <t>Construction of Gram Panchayat office (Frame structure) at Village Bambhaniya Tal. Mahuva Dist. Bhavnagar</t>
  </si>
  <si>
    <t>MAYANKKUMAR JAYANTIBHAI GODHANI</t>
  </si>
  <si>
    <t>Construction of Gram Panchayat office (Frame structure) at Village Dundas Tal. Mahuva Dist. Bhavnagar</t>
  </si>
  <si>
    <t>Construction of Gram Panchayat office (Frame structure) at Village Kotamoi Tal. Jesar Dist. Bhavnagar</t>
  </si>
  <si>
    <t>Construction of Gram Panchayat office (Frame structure) at Village Hadamtala Tal.Umrala Dist. Bhavnagar</t>
  </si>
  <si>
    <t>DEV CONSTRUCTION</t>
  </si>
  <si>
    <t>Construction of Gram Panchayat office ( for Population from 5000- 10000) at Village Ranghola Tal. Umrala Dist. Bhavnagar</t>
  </si>
  <si>
    <t>Construction of Gram Panchayat office ( for Population from 5000- 10000) at Village Chogath Tal. Umrala Dist. Bhavnagar</t>
  </si>
  <si>
    <t>RBD/TRF/e-file/16/2025/3350/Section D1</t>
  </si>
  <si>
    <t>RBD/TRF/e-file/16/2025/3302/Section D1</t>
  </si>
  <si>
    <t>RBD/TRF/e-file/16/2025/3304/Section D1</t>
  </si>
  <si>
    <t>Tender Level</t>
  </si>
  <si>
    <t>RBD/TRF/e-file/16/2025/3487/Section D1</t>
  </si>
  <si>
    <t>RBD/TRF/e-file/16/2025/3300/Section D1</t>
  </si>
  <si>
    <t>RPC-2/Tender/Bhav/63</t>
  </si>
  <si>
    <t>RPC-2/Tender/Bhav/62</t>
  </si>
  <si>
    <t>RPC-2/Tender/Bhav/59</t>
  </si>
  <si>
    <t>RPC-2/Tender/Bhav/61</t>
  </si>
  <si>
    <t>Universal Associates</t>
  </si>
  <si>
    <t>70, Hari Darshan Township, Subhashnagar, Bhavnagar</t>
  </si>
  <si>
    <t>Ashapura Construction</t>
  </si>
  <si>
    <t>"Ashapura Nivas", Shivaji Nagar, Talaja, Ta. Talaja Dist. Bhavnagar</t>
  </si>
  <si>
    <t>Proprietor</t>
  </si>
  <si>
    <t>Partner</t>
  </si>
  <si>
    <t>Dr. Ambedkar Society, Jamvali Road, Palitana, Dist Bhavnagar</t>
  </si>
  <si>
    <t>MOTI PANIYALI, Via. Po. SHETRUNJI, Ta. PALITANA, Dist. BHAVNAGAR-364270</t>
  </si>
  <si>
    <t>Vijaysinh Jamsinh Gohil, At Po. Pachhegam, Ta. Vallabhipur Dist. Bhavnagar</t>
  </si>
  <si>
    <t>At. Vangadhra, Ta.Umrala, Dist. Bhavnagar</t>
  </si>
  <si>
    <t>At Gheti, Ramnagar Society, Ta. Palitana, Dist. Bhavnagar</t>
  </si>
  <si>
    <t>88, Rajapara (Thadach), Ta. Palitana, Dist. Bhavnagar</t>
  </si>
  <si>
    <t>Shop No. 131/B, First Floor, Shiva Belssing-2, Opp. BMC Office, Bhavnagar</t>
  </si>
  <si>
    <t xml:space="preserve">Pro. D. G. Shiyal, 200, Vavadi, Plot Vistar, Milk Collection Center, At. Vavadi, Po. Fulsar, Ta. Talaja, Bhavnagar-364140 </t>
  </si>
  <si>
    <t>Pro. Bharatbhai B. Baraiya, At Village Rohisa, Ta. Mahuva, Dist. Bhavnagar - 364295</t>
  </si>
  <si>
    <t>Ground Floor, Shop No.2, House No.151, Near Chabutara, Dadva Road, Dhola, Ta.Umrala, Dist.Bhavnagar</t>
  </si>
  <si>
    <t>Vijaysinh B. Sarvaiya, At Pasvi, Ta. Talaja, Dist. Bhavnagar-364140</t>
  </si>
  <si>
    <t>53, Chandraprakash Residency, Sidasar Road, Leela Circle, Bhavnagar-364002</t>
  </si>
  <si>
    <t>2/A, New York Corner, Behind Kiran Motors, Opp. Rajpath Club, Bodakdev, Ahmedabad - 380054</t>
  </si>
  <si>
    <t>AT JALALPUR, TA. GADHADA, DIST. BOTAD - 364740</t>
  </si>
  <si>
    <t>Mobile No.</t>
  </si>
  <si>
    <t>Ghogha</t>
  </si>
  <si>
    <t xml:space="preserve">Shop No. 112, Sunrise Complex, Dawn Chowk, Bhavnagar </t>
  </si>
  <si>
    <t>Job No. Year</t>
  </si>
  <si>
    <t>2024-25</t>
  </si>
  <si>
    <t>RPC-2/Tender/Bhav/118</t>
  </si>
  <si>
    <t>Resurfacing and Routine Maintenance of Borala Approach Road (VR) Km.0/000 to 1/100 Ta.Mahuva, Dist.; Bhavnagar</t>
  </si>
  <si>
    <t>Improvement of Khadsaliya Morchand Padva Road (VR NP) (Khadsaliya Morchand Km.0/000 -3/800) Ta.Ghogha, Dist.; Bhavnagar</t>
  </si>
  <si>
    <t>Construction of Minor Bridge on Mahuva Mota Jadra Road (NP BT) Ta.Mahuva, Dist.; Bhavnagar</t>
  </si>
  <si>
    <t>RBD/TRF/e-file/16/2025/2848/Section D1</t>
  </si>
  <si>
    <t>Hareshbhai Punabhai Hadiya</t>
  </si>
  <si>
    <t>At. Kundaliyala, Tal. Rajula, Dist. Amreli</t>
  </si>
  <si>
    <t>Plot No. 233, Nu.N.Yo. No.3, Near Muni Nagar, Mahuva</t>
  </si>
  <si>
    <t>BHUPATBHAI B. BARAIYA</t>
  </si>
  <si>
    <t>314, Rise On Plaza, Sarthana Jakatnaka, Surat - 395006</t>
  </si>
  <si>
    <t xml:space="preserve"> VINODBHAI MEGHJIBHAI SOJITRA</t>
  </si>
  <si>
    <t>At Bhandariya, Ta. Palitana, Dist. Bhavnagar</t>
  </si>
  <si>
    <t>ALIGBHAI LAKHUBHAI BARAL</t>
  </si>
  <si>
    <t>Shop No. 5, First Floor, Nilkanth Arcade, Opp. Arjun Tokiz, Palitana Road, Gariyadhar- 364505</t>
  </si>
  <si>
    <t>UDAYBHAI RAMKUBHAI LUNSAR</t>
  </si>
  <si>
    <t>Construction of Gram Panchayat office (Frame structure) at Village Dudhala Ta. Palitana Dist. Bhavnagar</t>
  </si>
  <si>
    <t>Opp. HP PUMP, Palitana Road, Gariyadhar</t>
  </si>
  <si>
    <t>At Lapaliya, Post- Nani Rajsthali, Tal. Palitana - 364270</t>
  </si>
  <si>
    <t>Stipulated Completion Date</t>
  </si>
  <si>
    <t>FDR</t>
  </si>
  <si>
    <t>SAURASHTRA GRAMIN BANK</t>
  </si>
  <si>
    <t>CDP-5</t>
  </si>
  <si>
    <t>Empanelment of Consultancy Services for Identification of Road alignment(ROW) as per revenue Records for Different roads under jurisdiction of R &amp; B (P) Division, Bhavnagar</t>
  </si>
  <si>
    <t>BG</t>
  </si>
  <si>
    <t>01414GPGE2516701</t>
  </si>
  <si>
    <t>CANARA BANK</t>
  </si>
  <si>
    <t>01414GPGE2516702</t>
  </si>
  <si>
    <t>Punjab National Bank</t>
  </si>
  <si>
    <t>Additional Performance Security BG/FDR No.</t>
  </si>
  <si>
    <t>40500ILG002825</t>
  </si>
  <si>
    <t>Construction Cement Concrete Roads on Talgajarada to NH Road Km 0/0 to 2/100 Ta. Mahuva, Dist. Bhavnagar</t>
  </si>
  <si>
    <t>40500ILG002925</t>
  </si>
  <si>
    <t>40500ILG002725</t>
  </si>
  <si>
    <t>State Bank of India</t>
  </si>
  <si>
    <t>Maintenance Amount</t>
  </si>
  <si>
    <t>Total (A+B)</t>
  </si>
  <si>
    <t>Resurfacing and Routine Maintenance of Biladi Nana Mota Pipalava Kankot Road (Pipalava to Kankot Section) (MDR) Km. 0/000 to 1/800 Ta.Mahuva, Dist.; Bhavnagar</t>
  </si>
  <si>
    <t>Widening &amp; Strengthening of Tagdi-Thordi-Rajpara- Badi Road Km. 0/000-11/550 (Sec-I Tagdi Thordi Road Km.0/000-4/000), (Sec.II Thordi Rajpara Road Km. 4/000-9/250) &amp; (Sec-III Rajpara Badi Road Km.9/250-11/550) (MDR) Ta.Bhavnagar &amp; Ghogha, Dist.; Bhavnagar</t>
  </si>
  <si>
    <t>R M Dasa Infrastructure Pvt. Ltd.</t>
  </si>
  <si>
    <t>Construction to Roads of Bhavnagar District Package No. RPC-2/BVN/MMGSY/Normal/2024-25/P.04 Taluka and Dist.; Bhavnagar</t>
  </si>
  <si>
    <t>Construction of Ishwariya to Sanosara Railway station Road (NP) Ch.0/000 to 1/650 Ta.Shihor , Dist.; Bhavnagar</t>
  </si>
  <si>
    <t>Construction of Panchtobra Gangajaliya to Malvali Road to Ratanvav Surnivas Road (NP) Km.0/000 to 2/200 Ta. Gariyadhar , Dist.; Bhavnagar</t>
  </si>
  <si>
    <t>Construction of Ratol To Chuna Road (Remaining Length) (NP) Km.0/000 to 1/400 Ta.Mahuva , Dist.; Bhavnagar</t>
  </si>
  <si>
    <t>Construction of Ratanvav To Paravadi Road (NP) Km.0/000 to 3/500 Ta.Gariyadhar , Dist.; Bhavnagar</t>
  </si>
  <si>
    <t>Construction of Panchvada to Meghvadar Road (NP) Ch. 0/000 to 3/750 Ta.Shihor, Dist.; Bhavnagar</t>
  </si>
  <si>
    <t>Construction of Bhankhal to Piparala Road (NP) Ch.0/000 to 1/850 Ta.Shihor, Dist.; Bhavnagar</t>
  </si>
  <si>
    <t>Suraj Corporation</t>
  </si>
  <si>
    <t>Construction of Slab Drain on Krushnapara Village Joining Highway Road At Ch.0/020 Ta.Shihor , Dist.; Bhavnagar</t>
  </si>
  <si>
    <t>MAHI INFRASTRUCTURE</t>
  </si>
  <si>
    <t>Construction of Ambla To Mahadevpara Road (NP) 0/00-3/200 Ta.Talaja Dist.; Bhavnagar.</t>
  </si>
  <si>
    <t>Construction of Vejodari to Mangela Road (NP) Ch.0/000 to 2/250 Ta. Talaja, Dist. Bhavnagar</t>
  </si>
  <si>
    <t>Construction of Kerala to Mangela Road (NP) Ch.0/000 to 4/000 (Sec.0/000-3/200) Ta. Talaja, Dist. Bhavnagar</t>
  </si>
  <si>
    <t>(1) Ukharala Dambhaliya Road
(2) Ukharala Kantodiya Road</t>
  </si>
  <si>
    <t>(1) Bhuteshvar to State Highway Road
(2) Thalsar to Butbhavani Temple Road</t>
  </si>
  <si>
    <t>Construction to Roads of Bhavnagar District Package No. RPC-2/BVN/Normal/2022-23/P.06, Ta. Talaja</t>
  </si>
  <si>
    <t>(1) Juni Chhapari Juna Sangana Road
(2) Pasvi Motaghana Road
(3) Pasvi Bhungar Road</t>
  </si>
  <si>
    <t>Shri Siddhi Vinayak Construction</t>
  </si>
  <si>
    <t>GOHIL NARENDRASINH P</t>
  </si>
  <si>
    <t>VANDEMATARAM CONSTRUCTION</t>
  </si>
  <si>
    <t>BALAJI CONSTRUCTION</t>
  </si>
  <si>
    <t>CUBE INFA PROJECTS</t>
  </si>
  <si>
    <t>S D KHUMAN</t>
  </si>
  <si>
    <t>HARBHOLE BUILDERS &amp;
CONSTRUCTION</t>
  </si>
  <si>
    <t>SURYADEEP SUPPLIERS</t>
  </si>
  <si>
    <t>PARTH K MEHTA</t>
  </si>
  <si>
    <t>RUDRA CONSTRUCTION</t>
  </si>
  <si>
    <t>JAY DANEV CONSTRUCTION</t>
  </si>
  <si>
    <t>JAY PUNJESHWAR CONSTRUCTION</t>
  </si>
  <si>
    <t>Jaysukhbhai Dhirubhai Sardhara</t>
  </si>
  <si>
    <t>GANESH BUILDERS</t>
  </si>
  <si>
    <t>KEVAL BUDHESHBHAI BHAYANI</t>
  </si>
  <si>
    <t>HEER CONSTRUCTION</t>
  </si>
  <si>
    <t>HRUTURAJSINH JESUBHA GOHIL</t>
  </si>
  <si>
    <t>MESHWA DEVELOPERS</t>
  </si>
  <si>
    <t>Parishram Construction</t>
  </si>
  <si>
    <t>EAGLE CONSTRUCTION</t>
  </si>
  <si>
    <t>kalubhai bholabhai ladumor</t>
  </si>
  <si>
    <t>R J BHAMMAR CONSTRUCTION</t>
  </si>
  <si>
    <t>GOPNATHJI CONSTRUCTIONS PRIVATE LIMITED</t>
  </si>
  <si>
    <t>TULSI CEMENT PRODUCTS</t>
  </si>
  <si>
    <t>Category of Work</t>
  </si>
  <si>
    <t>School Room</t>
  </si>
  <si>
    <t>Gram Panchayat</t>
  </si>
  <si>
    <t>Construction of Primary School Room at Keriya
Ta. Umrala Dist:Bhavnagar</t>
  </si>
  <si>
    <t>Construction of Primary School Room at Chitravav
Ta. Umrala Dist:Bhavnagar</t>
  </si>
  <si>
    <t>shihor</t>
  </si>
  <si>
    <t>KOTAR PRAFULKUMAR RAMESHBHAI</t>
  </si>
  <si>
    <t>Plot No. 15, Survey No. 166/1, GIDC, At. Timbi, Tal. Umrala, Dist. Bhavnagar- 364320</t>
  </si>
  <si>
    <t>185, Reliya Plot Vistar, Reliya, Tal. Talaja, Dist. Bhavnagar-364135</t>
  </si>
  <si>
    <t>Private Limited Company</t>
  </si>
  <si>
    <t>Agency Type</t>
  </si>
  <si>
    <t>At. Dihor, Tana Varal Road, Shak Market, Ta. Talaja, Dist. Bhavnagar-364150</t>
  </si>
  <si>
    <t>Fulwadi Faliya, Uchchhal-2, Tal. Uchchhal, Dist. Tapi- 394375</t>
  </si>
  <si>
    <t>Survey No. 374 P/A 2-16, Office No. 2, Left side of Entry Gate of Balkrushna Campus, Gir Gadhada Road, At. Una, Taluka Una, Dist. Gir Somnath - 362560</t>
  </si>
  <si>
    <t>KISHANKUMAR PATABHAI KALSARIYA</t>
  </si>
  <si>
    <t>Vivek Construction</t>
  </si>
  <si>
    <t>Construction of Primary School Room at Navajaliya Ta:Shihor Dist:Bhavnagar</t>
  </si>
  <si>
    <t>Construction of Primary School Room at Juna Loinchada Ta. Palitana Dist:Bhavnagar</t>
  </si>
  <si>
    <t>Construction of Primary School Room at Luvarvav Ta. Palitana Dist:Bhavnagar</t>
  </si>
  <si>
    <t>Construction of Primary School Room at Jaliya (Anko) Ta. Palitana Dist:Bhavnagar</t>
  </si>
  <si>
    <t>Construction of Primary School Room at Bhundarakha-2 Ta. Palitana Dist:Bhavnagar</t>
  </si>
  <si>
    <t>Construction of Primary School Room at Motishree Ta. Palitana Dist:Bhavnagar</t>
  </si>
  <si>
    <t>Construction of Primary School Room at Anida (LA) Ta. Palitana Dist:Bhavnagar</t>
  </si>
  <si>
    <t>Construction of Primary School Room at Paniyali Ta.Talaja Dist:Bhavnagar</t>
  </si>
  <si>
    <t>Construction of Primary School Room at Sakhavadar Ta. Talaja Dist:Bhavnagar</t>
  </si>
  <si>
    <t>Construction of Primary School Room at Khambha Ta:Shihor Dist:Bhavnagar</t>
  </si>
  <si>
    <t>Construction of Primary School Room at Khambha Plot Ta:Shihor Dist:Bhavnagar</t>
  </si>
  <si>
    <t>Construction of Primary School Room at Navagam Ta.Palitana Dist:Bhavnagar</t>
  </si>
  <si>
    <t>Construction of Primary School Room at Anida (Kumbhan) Ta. Palitana Dist:Bhavnagar</t>
  </si>
  <si>
    <t>Construction of Primary School Room at Makhaniya Ta. Talaja Dist:Bhavnagar</t>
  </si>
  <si>
    <t>Construction of Primary School Room at Juni Chhapari Ta. Talaja Dist:Bhavnagar</t>
  </si>
  <si>
    <t>Construction of Primary School Room at Sosiya Ta. Talaja Dist:Bhavnagar</t>
  </si>
  <si>
    <t>Construction of Primary School Room at Nichadi Ta. Talaja Dist:Bhavnagar</t>
  </si>
  <si>
    <t>Construction of Primary School Room at Gorkhi Ta. Talaja Dist:Bhavnagar</t>
  </si>
  <si>
    <t>Construction of Primary School Room at Pratapara Ta. Talaja Dist:Bhavnagar</t>
  </si>
  <si>
    <t>Construction of Primary School Room at Dudadhar Ta. Vallabhipur Dist:Bhavnagar</t>
  </si>
  <si>
    <t>Construction of Primary School Room at Loliyana Ta. Vallabhipur Dist:Bhavnagar</t>
  </si>
  <si>
    <t>SHOP NO. 3, GROUND FLOOR, PARVADI GAM, GARIYADHAR SANOSARA ROAD, PARAVADI, TA. GARIYADHAR, DIST. BHAVNAGAR-364505</t>
  </si>
  <si>
    <t>RBD/TRF/e-file/16/2025/3843/Section D1</t>
  </si>
  <si>
    <t>(1) Sodvadari To NH Road (Remaining Length)
(2) Gujarada Dudheri Road</t>
  </si>
  <si>
    <t>Construction of Primary School Room at Medha Ta.Palitana Dist:Bhavnagar</t>
  </si>
  <si>
    <t>Construction of Primary School Room at Borada Ta. Talaja Dist:Bhavnagar</t>
  </si>
  <si>
    <t>HDFC Bank</t>
  </si>
  <si>
    <t>101GT02252020009</t>
  </si>
  <si>
    <t>A/8, AKSHARDEEP COMPLEX, OPP. DEEPAK MEMORIAL HALL, SANSKAR MANDAL, BHAVNAGAR-364002</t>
  </si>
  <si>
    <t>OFFICE NO.27, ASHTVINAYAK CITY MALL, WAGHAWADI ROAD, BHAVNAGAR-364001</t>
  </si>
  <si>
    <t>101, SHREEEJI ANAND CORNER, NEAR HDFC BANK, TOWER ROAD, PARA, Dist. BOTAD -364710</t>
  </si>
  <si>
    <t>C/732, Kesariya Hanuman Road, Kaliyabid, Bhavnagar-364001</t>
  </si>
  <si>
    <t>Office No.317, Third Floor, Imprerial Arc, Opp Shamaldas College, Waghawadi Road, Bhavnagar-364001</t>
  </si>
  <si>
    <t>SAI DARSHAN PARK, PLOT NO 15, SUBHASNAGAR, BHAVNAGAR-364001</t>
  </si>
  <si>
    <t>Flat No. FF/F3, Hatheshavar Apartment, Bha No Delo, Bhadeva Sheri, Pirchhalla, Bhavnagar-364001</t>
  </si>
  <si>
    <t xml:space="preserve">F-8, 1st Floor, Radhe City Center, Bapa Sitaram Chowk, Talaja, Dist. Bhavnagar
</t>
  </si>
  <si>
    <t>17, Lakhavad, Umrala, Bhavnagar-364230</t>
  </si>
  <si>
    <t>Flat no. 15/22/71, Vadhala Chowk, Near SBI, Kumbhar Sheri, Gadhada, Botad-364750</t>
  </si>
  <si>
    <t>Office No.701, Floor 7, Victoria Height, Iscon Megacity Road, Near Shell Petrol Pump, BHAVNAGAR-364002</t>
  </si>
  <si>
    <t>467, RAMAPIRDHAR, DIHOR, TALAJA, DIST.  BHAVNAGAR -364150</t>
  </si>
  <si>
    <t>487/244, Sagwadi Kaliyabid, Bhavnagar-364001</t>
  </si>
  <si>
    <t>101GT02252020007</t>
  </si>
  <si>
    <t>101GT02252020006</t>
  </si>
  <si>
    <t>101GT02252020011</t>
  </si>
  <si>
    <t>101GT02252020010</t>
  </si>
  <si>
    <t>101GT02252020003</t>
  </si>
  <si>
    <t>101GT02252020014</t>
  </si>
  <si>
    <t>235, Momai Krupa, Bhayani Sheri, Madhada, Ta. Shihor, Dist. Bhavnagar - 364240</t>
  </si>
  <si>
    <t>Construction of Gram Panchayat office (Frame structure) at Village Budhana Taluka: Shihor Dist. Bhavnagar</t>
  </si>
  <si>
    <t>Construction of Gram Panchayat office (Frame structure) at Village Madhada Taluka:Shihor Dist. Bhavnagar</t>
  </si>
  <si>
    <t>Siddharth Parbatbhai Bed</t>
  </si>
  <si>
    <t>Construction of Gram Panchayat office (Frame structure) at Village Karla Tal. Jesar Dist. Bhavnagar</t>
  </si>
  <si>
    <t>Construction of Gram Panchayat office (Frame structure) at Village Chiroda Tal. Jesar Dist. Bhavnagar</t>
  </si>
  <si>
    <t>Construction of Gram Panchayat office (Frame structure) at Village Shantinagar Tal. Jesar Dist. Bhavnagar</t>
  </si>
  <si>
    <t>Construction of Gram Panchayat office (Frame structure) at Village Shevadivadar Tal. Jesar Dist. Bhavnagar</t>
  </si>
  <si>
    <t>Construction of Gram Panchayat office (Frame structure) at Village Tol Saladi Chotili Tal. Jesar Dist. Bhavnagar</t>
  </si>
  <si>
    <t>Construction of Gram Panchayat office (Frame structure) at Village Senjaliya Ta. Palitana Dist. Bhavnagar</t>
  </si>
  <si>
    <t>Construction of Gram Panchayat office (Frame structure) at Village Pithalpur Ta. Palitana Dist. Bhavnagar</t>
  </si>
  <si>
    <t>Construction of Gram Panchayat office (Frame structure) at Village Nani Paniyali Ta. Palitana Dist. Bhavnagar</t>
  </si>
  <si>
    <t>Construction of Gram Panchayat office (Frame structure) at Village Hanol Ta. Palitana Dist. Bhavnagar</t>
  </si>
  <si>
    <t>Construction of Gram Panchayat office (Frame structure) at Village Nanimal Tal. Palitana Dist. Bhavnagar</t>
  </si>
  <si>
    <t>Construction of Gram Panchayat office (Frame structure) at Village Khadsaliya Tal. Mahuva Dist. Bhavnagar</t>
  </si>
  <si>
    <t>Construction of Gram Panchayat office (Frame structure) at Village Lusadi Tal. Mahuva Dist. Bhavnagar</t>
  </si>
  <si>
    <t>Construction of Gram Panchayat office (Frame structure) at Village Loyanga Tal. Mahuva Dist. Bhavnagar</t>
  </si>
  <si>
    <t>Construction of Gram Panchayat office (Frame structure) at Village Bhaguda-Mahuva Dist. Bhavnagar</t>
  </si>
  <si>
    <t>Construction of Gram Panchayat office (Frame structure) at Village Kalela Ta. Mahuva Dist. Bhavnagar</t>
  </si>
  <si>
    <t>Construction of Gram Panchayat office (Frame structure) at Village Bila Tal. Jesar Dist. Bhavnagar</t>
  </si>
  <si>
    <t>Construction of Gram Panchayat office (Frame structure) at Village Padhiyarka Tal. Mahuva Dist. Bhavnagar</t>
  </si>
  <si>
    <t>Construction of Gram Panchayat office (Frame structure) at Village Bhadara Tal. Mahuva Dist. Bhavnagar</t>
  </si>
  <si>
    <t>Construction of Gram Panchayat office (Frame structure) at Village Madhuvan Tal. Talaja Dist. Bhavnagar</t>
  </si>
  <si>
    <t>Construction of Gram Panchayat office (Frame structure) at Village Velavadar Taluka: Bhavnagar Dist. Bhavnagar</t>
  </si>
  <si>
    <t>Construction of Gram Panchayat office (Frame structure) at Village Bhadbhid Taluka: Bhavnagar Dist. Bhavnagar</t>
  </si>
  <si>
    <t>Construction of Gram Panchayat office (Frame structure) at Village Ganeshgadh Taluka: Bhavnagar Dist. Bhavnagar</t>
  </si>
  <si>
    <t>Construction of Gram Panchayat office (Frame structure) at Village Manvilas Taluka: Gariyadhar Dist. Bhavnagar</t>
  </si>
  <si>
    <t>Construction of Gram Panchayat office (Frame structure) at Village Panchtobara Taluka: Gariyadhar Dist. Bhavnagar</t>
  </si>
  <si>
    <t>Construction of Gram Panchayat office (Frame structure) at Village Mangadh Taluka:Gariyadhar Dist. Bhavnagar</t>
  </si>
  <si>
    <t>Construction of Gram Panchayat office (Frame structure) at Village Gujarada Taluka: Gariyadhar Dist. Bhavnagar</t>
  </si>
  <si>
    <t>Construction of Gram Panchayat office (Frame structure) at Village Kharadi Taluka: Gariyadhar Dist. Bhavnagar</t>
  </si>
  <si>
    <t>Construction of Gram Panchayat office (Frame structure) at Village Garibpura Taluka: Gariyadhar Dist. Bhavnagar</t>
  </si>
  <si>
    <t>Construction of Gram Panchayat office (Frame structure) at Village Lakhanka Taluka: Ghogha Dist. Bhavnagar</t>
  </si>
  <si>
    <t>Construction of Gram Panchayat office (Frame structure) at Village Kankot Taluka: Ghogha Dist. Bhavnagar</t>
  </si>
  <si>
    <t>Construction of Gram Panchayat office (Frame structure) at Village Bhandar Taluka: Ghogha Dist. Bhavnagar</t>
  </si>
  <si>
    <t>Construction of Gram Panchayat office (Frame structure) at Village Malekvadar Taluka:Ghogha Dist. Bhavnagar</t>
  </si>
  <si>
    <t>Construction of Gram Panchayat office (Frame structure) at Village Ranparda Taluka: Mahuva Dist. Bhavnagar</t>
  </si>
  <si>
    <t>Construction of Gram Panchayat office (Frame structure) at Village Titodiya Taluka: Mahuva Dist. Bhavnagar</t>
  </si>
  <si>
    <t>Construction of Gram Panchayat office (Frame structure) at Village Chardika Taluka: Mahuva Dist. Bhavnagar</t>
  </si>
  <si>
    <t>Construction of Gram Panchayat office (Frame structure) at Village Nana Pipalva Taluka:Mahuva Dist. Bhavnagar</t>
  </si>
  <si>
    <t>Construction of Gram Panchayat office (Frame structure) at Village Navagam Talika:Palitana Dist. Bhavnagar</t>
  </si>
  <si>
    <t>Construction of Gram Panchayat office (Frame structure) at Village Vadod Taluka: Umrala Dist. Bhavnagar</t>
  </si>
  <si>
    <t>Construction of Gram Panchayat office (Frame structure) at Village Ramanka Taluka: Umrala Dist. Bhavnagar</t>
  </si>
  <si>
    <t>Construction of Gram Panchayat office (Frame structure) at Village Dharwala Taluka: Umrala Dist. Bhavnagar</t>
  </si>
  <si>
    <t>Construction of Gram Panchayat office (Frame structure) at Village Ingorala Taluka: Umrala Dist. Bhavnagar</t>
  </si>
  <si>
    <t>Construction of Gram Panchayat office (Frame structure) at Village Hadmatiya Taluka: Umrala Dist. Bhavnagar</t>
  </si>
  <si>
    <t>Construction of Gram Panchayat office (Frame structure) at Village Samadhiyala Taluka: Umrala Dist. Bhavnagar</t>
  </si>
  <si>
    <t>Construction of Gram Panchayat office (Frame structure) at Village Khijadiya Taluka: Umrala Dist. Bhavnagar</t>
  </si>
  <si>
    <t>Construction of Gram Panchayat office (Frame structure) at Village Dhundhsar Taluka:Shihor Dist. Bhavnagar</t>
  </si>
  <si>
    <t>Construction of Gram Panchayat office (Frame structure) at Village Bhutiya Taluka: Shihor Dist. Bhavnagar</t>
  </si>
  <si>
    <t>Construction of Gram Panchayat office (Frame structure) at Village Karmadiya Taluka: Shihor Dist. Bhavnagar</t>
  </si>
  <si>
    <t>Construction of Gram Panchayat office (Frame structure) at Village Sakhvadar Taluka.Shihor Dist. Bhavnagar</t>
  </si>
  <si>
    <t>Construction of Gram Panchayat office (Frame structure) at Village Dhankankunda Taluka:Shihor Dist. Bhavnagar</t>
  </si>
  <si>
    <t>Construction of Gram Panchayat office (Frame structure) at Village Khakhariya Taluka: Shihor Dist. Bhavnagar</t>
  </si>
  <si>
    <t>Construction of Gram Panchayat office (Frame structure) at Village Khari Taluka:shihor Dist. Bhavnagar</t>
  </si>
  <si>
    <t>Construction of Gram Panchayat office (Frame structure) at Village Sandhida Taluka: Shihor Dist. Bhavnagar</t>
  </si>
  <si>
    <t>Construction of Gram Panchayat office (Frame structure) at Village Zariya Taluka:Shihor Dist. Bhavnagar</t>
  </si>
  <si>
    <t>Construction of Gram Panchayat office (Frame structure) at Village Juni Chhapari Taluka: Talaja Dist. Bhavnagar</t>
  </si>
  <si>
    <t>Construction of Gram Panchayat office (Frame structure) at Village Vejodari Taluka: Talaja Dist. Bhavnagar</t>
  </si>
  <si>
    <t>Construction of Gram Panchayat office (Frame structure) at Village Bhalar Taluka: Talaja Dist. Bhavnagar</t>
  </si>
  <si>
    <t>Construction of Gram Panchayat office (Frame structure) at Village Mangela Taluka: Talaja Dist. Bhavnagar</t>
  </si>
  <si>
    <t>Construction of Gram Panchayat office (Frame structure) at Village Gadhesar Taluka:Talaja Dist. Bhavnagar</t>
  </si>
  <si>
    <t>Construction of Gram Panchayat office (Frame structure) at Village Vavadi Taluka: Talaja Dist. Bhavnagar</t>
  </si>
  <si>
    <t>Construction of Gram Panchayat office (Frame structure) at Village Ghantarvala Taluka: Talaja Dist. Bhavnagar</t>
  </si>
  <si>
    <t>Construction of Gram Panchayat office (Frame structure) at Village Bhadraval-1 Taluka: Talaja Dist. Bhavnagar</t>
  </si>
  <si>
    <t>Construction of Gram Panchayat office (Frame structure) at Village Ayavej-1 Tal. Jesar Dist. Bhavnagar</t>
  </si>
  <si>
    <t>Construction of Gram Panchayat office (Frame structure) at Village Datretiya Taluka: Vallabhipur Dist. Bhavnagar</t>
  </si>
  <si>
    <t>Construction of Gram Panchayat office (Frame structure) at Village Kalyanpur Taluka:Vallabhipur Dist. Bhavnagar</t>
  </si>
  <si>
    <t>Construction of Gram Panchayat office (Frame structure) at Village Meghavadar Taluka: Vallbhipur Dist. Bhavnagar</t>
  </si>
  <si>
    <t>Construction of Gram Panchayat office (Frame structure) at Village Pipariya Taluka:Vallabhipur Dist. Bhavnagar</t>
  </si>
  <si>
    <t>Construction of Gram Panchayat office (Frame structure) at Village Chada Taluka: Vallabhipur Dist. Bhavnagar</t>
  </si>
  <si>
    <t>At Hemal, Ta. Jafarabad, Dist. Amreli - 365545</t>
  </si>
  <si>
    <t>Mangukiya Vishal Gunvantbhai</t>
  </si>
  <si>
    <t>Pandya Dhairya Bhanushankar</t>
  </si>
  <si>
    <t>At Block No. 296, Street No. 11, Rayjinagar Society, Motibaug Road, Junagadh, Dist. Junagadh</t>
  </si>
  <si>
    <t>27, Ganesh Villa Bunglows, Rasian Nagar Society Same, Sidhdhapur Highway Road, Patan</t>
  </si>
  <si>
    <t>Modi Bhavik Nareshkumar</t>
  </si>
  <si>
    <t>Pratapbhai Lakhubhai Beparia</t>
  </si>
  <si>
    <t>At Lothpur, Ta. Jafarabad, Dist. Amreli - 365540</t>
  </si>
  <si>
    <t>Plot No. 1578/I, New Champa Tenament, Divadi Road, Rupani Circle, Bhavnagar - 364002</t>
  </si>
  <si>
    <t>PARTH Kiritkumar MEHTA</t>
  </si>
  <si>
    <t>Sanjaysinh Rajendrasinh Gohil</t>
  </si>
  <si>
    <t>184, Darbar Street, Wadi Area, Navagam (Nana) Ta. Ghogha. Dist. Bhavnagar</t>
  </si>
  <si>
    <t>At Po. Karmadiya, Via Thaliya, Ta. Mahuva, Dist. Bhavnagar - 364145</t>
  </si>
  <si>
    <t>Labhshankar ladhva</t>
  </si>
  <si>
    <t xml:space="preserve">(1) Batiya Vishalbhai Vinubhai
(2) Dhandhukiya Umeshbhai </t>
  </si>
  <si>
    <t>Majithiya Dhruvin Nareshbhai</t>
  </si>
  <si>
    <t>Shop No. 6, Nilkanth Shopping, Opp. S.T. Workshop, Gariyadhar, Dist. Bhavnagar - 364505</t>
  </si>
  <si>
    <t>Kanubhai Nagbhai Sandsur</t>
  </si>
  <si>
    <t xml:space="preserve">                                                                                                                                                                                                                                                                                                                                                                                                                                                                                                                                                                                                                                                                                                                                                                                                                                                                                                                                                                                                                                                                                                                                                                                                                                                                                                                                                                                                                                                                                                                                                                                                                                                                                                                                                                                                                                                                                                                                                                                                                                                                                                                                                                                                                                                                                                                                                                                                                                                                                                                                                                                                                                                                                                                                                                                                                                                                                                                                                                                                                                                                                                                                                                                                                                                                                                                                                                                                                                                                                                                                                                                                                                                                                                                                                                                                                                                                                                                                                                                                                                                                                                                                                                                                                                                                                                                                                                                                                                                                                                                                                                                                                                                                                                                                                                                                                                                                                                                                                                                                                                                                                                                                                                                                                                                                                                                                                                                                                                                                                                                                                                                                                                                                                                                                                                                                                                                                                                                                                                                                                                                                                                                                                                                                                                                                                                                                                                                                                                                                                                                                                                                                                                                                                                                                                                                                                                                                                                                                                                                                                                                                                                                                                                                                                                                                                                                                                                                                                                                                                                                                                                                                                                                                                                                                                                                                                                                                                                                                                                                                                                                                                                                                                                                                                                                                                                                                                                                                                                                                                                                                                                                                                                                                                                                                                                                                                                                                                                                                                                                                                                                                                                                                                                                                                                                                                                                                                                                                                                                                                                                                                                                                                                                                                                                                                                                                                                                                                                                                                                                                                                                                                                                                </t>
  </si>
  <si>
    <t>Sanjaykumar Nandlal Raiyani</t>
  </si>
  <si>
    <t>Plot No. 37, Street No. 5, Gautameshvar Nagar-2, Chitra, Bhavnagar - 364001</t>
  </si>
  <si>
    <t>At Bordi, Post - Borda, Ta. Talaja, Dist. Bhavnagar - 364130</t>
  </si>
  <si>
    <t xml:space="preserve">At Village Chardika, Ta. Mahuva, Dist. Bhavnagar - </t>
  </si>
  <si>
    <t>Construction of Gram Panchayat office ( for Population from 5000- 10000) at Village Boradi Tal. Mahuva Dist. Bhavnagar</t>
  </si>
  <si>
    <t>Construction of Gram Panchayat office ( for Population from 5000- 10000) at Village Uncha Kotda Tal. Mahuva Dist. Bhavnagar</t>
  </si>
  <si>
    <t>At Tana, Tal. Shihor, Dist. Bhavnagar - 364260</t>
  </si>
  <si>
    <t>52, Lion Shopping Center, Near Kohinoor Hotel, Jafarabad Road, Rajula, Dist. Amreli - 365560</t>
  </si>
  <si>
    <t>Khuman Shivrajbhai Dilubhai</t>
  </si>
  <si>
    <t>At Village Rajapara (Thadach), Ta. Palitana, Dist. Bhavnagar - 364270</t>
  </si>
  <si>
    <t>Near Gayatri Temple, Veraval Road, Una, Dist. Gir Somnath - 362560</t>
  </si>
  <si>
    <t>Construction of Gram Panchayat office ( for Population from 5000- 10000) at Village Hathab Tal. Bhavangar Dist. Bhavnagar</t>
  </si>
  <si>
    <t>101GT02252020013</t>
  </si>
  <si>
    <t>Construction of Pachhegam Approach Road Km 0/0 to 2/400, Ta. Gariyadhar, Dist. Bhavnagar</t>
  </si>
  <si>
    <t>Construction of Navaniya Kanthariya Road Km 0/0 to 4/500, Ta. Vallabhipur, Dist. Bhavnagar</t>
  </si>
  <si>
    <t>Construction of Pithalpur Gadhula Road Km 0/0 to 2/700, Ta. Talaja, Dist. Bhavnagar</t>
  </si>
  <si>
    <t>Construction of Padargadh Borada Road Km 0/0 to 2/750, Ta. Talaja, Dist. Bhavnagar</t>
  </si>
  <si>
    <t>Construction of Mota Charodiya Jagatpir Ashram Road Km 0/0 to 1/800, Ta. Gariyadhar, Dist. Bhavnagar</t>
  </si>
  <si>
    <t>Construction of Gopnath joining to Mastramdhara link Road Km 0/0 to 2/250, Ta. Talaja, Dist. Bhavnagar</t>
  </si>
  <si>
    <t>Resurfacing to Roads of Bhavnagar District Package no. RPC-2/BVN/MMGSY/Normal/2024-25/P.04 Ta. Shihor, Dist. Bhavnagar</t>
  </si>
  <si>
    <t>Resurfacing and Routine Maintenance to Roads of Bhavnagar District Package no. RPC-2/BVN/MMGSY/Normal/2024-25/P.02 Ta. Bhavnagar Ghogha, Dist. Bhavnagar</t>
  </si>
  <si>
    <t>Resurfacing of Biladi Nana Mota Pipalava Kankot Road (Sec. Pipalava to Kankot) Km 0/0 to 1/800, Ta. Mahuva, Dist. Bhavnagar</t>
  </si>
  <si>
    <t>Construction Cement Concrete Roads of Bhavnagar District Package No. RPC-2/BVN/Suvidhapath/2024-25/P.09, Ta. Vallabhipur, Dist. Bhavnagar</t>
  </si>
  <si>
    <t>Construction Cement Concrete Roads of Bhavnagar District Package No. RPC-2/BVN/Suvidhapath/2024-25/P.12, Ta. Palitana, Dist. Bhavnagar</t>
  </si>
  <si>
    <t>Construction of PanchTobara Gangajaliya To Malvali Road To Ratanvav Surnivas Road Km 0/0 to 2/200, Ta. Gariyadhar, Dist. Bhavnagar</t>
  </si>
  <si>
    <t>Remaining works of Gram Panchayat office Building (Frame Structure) Gariyadhar Taluka Package No. 2017-18/18 (Shivendranagar, Moti Vavdi, Rupavati), Dist. Bhavnagar</t>
  </si>
  <si>
    <t>101GT02252020004</t>
  </si>
  <si>
    <t>101GT02252020008</t>
  </si>
  <si>
    <t>101GT02252020015</t>
  </si>
  <si>
    <t>AU SMALL FINANCE BANK LTD</t>
  </si>
  <si>
    <t>AOAIPBG251900001</t>
  </si>
  <si>
    <t>(1) Harshad Kalubhai Dungrani
(2) Lalita Harshad Dungrani</t>
  </si>
  <si>
    <t>Construction of Gram Panchayat office ( for Population from 5000- 10000) at Village Khadsaliya Tal. Bhavnagar Dist. Bhavnagar</t>
  </si>
  <si>
    <t>MOGAL CONSTRUCTION, Gir Somnath</t>
  </si>
  <si>
    <t>Paresh Lakhabhai Jora</t>
  </si>
  <si>
    <t>At Umba, Taluka - Veraval, Dist. Gir Somnath - 362255</t>
  </si>
  <si>
    <t>ICICI BANK</t>
  </si>
  <si>
    <t>RPC-2/Tender/Bhavbagar/210</t>
  </si>
  <si>
    <t>RPC-2/Tender/Bhavbagar/211</t>
  </si>
  <si>
    <t>RPC-2/Tender/Bhavbagar/212</t>
  </si>
  <si>
    <t>Bank of Baroda</t>
  </si>
  <si>
    <t>95560300010767</t>
  </si>
  <si>
    <t>95560300010766</t>
  </si>
  <si>
    <t>00000044367295159</t>
  </si>
  <si>
    <t>00000044367322253</t>
  </si>
  <si>
    <t>00000044293876825</t>
  </si>
  <si>
    <t>50301195323355</t>
  </si>
  <si>
    <t>50301193104650</t>
  </si>
  <si>
    <t>Construction of Primary School Room at Chitravav Ta. Umrala Dist:Bhavnagar</t>
  </si>
  <si>
    <t>V M ENTERPRISE</t>
  </si>
  <si>
    <t>Construction of Primary School Room at Keriya Ta. Umrala Dist:Bhavnagar</t>
  </si>
  <si>
    <t>Construction of Primary School Room at Jaliya (AM) Ta. Palitana Dist:Bhavnagar</t>
  </si>
  <si>
    <t>At Modhuka, Ta. Vinchhiya, Dist. Rajkot</t>
  </si>
  <si>
    <t>A-302 Shree Nand Elite, Nr.Ustav velly Flat, Nikol Gam Road, Ahemdabad                         Pin-382350</t>
  </si>
  <si>
    <t>Construction of Nandghar (Anganvadi) Building at Village Bagdana-3 Tal. Mahuva Dist. Bhavnagar</t>
  </si>
  <si>
    <t>Anganvadi</t>
  </si>
  <si>
    <t>Construction of Nandghar (Anganvadi) Building at Village Lusadi Tal. Mahuva Dist. Bhavnagar</t>
  </si>
  <si>
    <t>Work of Constructing, Strengthening and Resurfacing of various important roads as and when required or in emergency under bhavnagar district (Panchayat) (Annual Rate)</t>
  </si>
  <si>
    <t>Conctruction Work of New Cross Drainage, Repairing Cross Drainage, Structure and Bridge Repair work and other Misc. work various roads as and when  required or in emergency under bhavnagar district (Panchayat) (Annual Rate)</t>
  </si>
  <si>
    <t>Empanelment of Service Providing from consultants for Tender Uploading, Tender Opening and prepare Tender Approval Proposal under R &amp; B (Panchayat) Division, Bhavnagar</t>
  </si>
  <si>
    <t>SHREEJI STONE INDUSTRIES</t>
  </si>
  <si>
    <t>RUDRA CONSTRUCTION COMPANY</t>
  </si>
  <si>
    <t>Consultant</t>
  </si>
  <si>
    <t>Harekrishna Construction</t>
  </si>
  <si>
    <t>SHIVAM CONSTRUCTION</t>
  </si>
  <si>
    <t>Bhupatbhai B. Baraiya</t>
  </si>
  <si>
    <t xml:space="preserve">RAJABHAI NAGJIBHAI ZALA </t>
  </si>
  <si>
    <t>C.M.CONSTRUCTION</t>
  </si>
  <si>
    <t>SHIVGADH BUILDERS</t>
  </si>
  <si>
    <t>RAJ SECURITY SERVICES</t>
  </si>
  <si>
    <t>964500PU00000397</t>
  </si>
  <si>
    <t>964500PU00000388</t>
  </si>
  <si>
    <t>Design, Supply, Construct, Erection and Commissioning of Modular Structure through 3D Monolithic Precast Technology for AWC (Anganvadi Center) at various locations at Gir Somnath, Junagadh, Bhavnagar Districts in the Gujarat State, Phase 2 Package 4</t>
  </si>
  <si>
    <t>HARI OM CONSTRUCTION CO.</t>
  </si>
  <si>
    <t>JAYDEEP CONSTRUCTION CO</t>
  </si>
  <si>
    <t xml:space="preserve">Construction of Gram Panchayat office (Frame structure) at Village Ranivada Tal. Mahuva Dist. Bhavnagar </t>
  </si>
  <si>
    <t>Construction of Gram Panchayat office (Frame structure) at Village Gadhada Tal. Mahuva Dist. Bhavnagar</t>
  </si>
  <si>
    <t>Construction of Gram Panchayat office (Frame structure) at Village Juna Jaliya Tal. Shihor Dist. Bhavnagar</t>
  </si>
  <si>
    <t>Construction of Gram Panchayat office (Frame structure) at Village Jasvantpur Taluko: Bhavnagar Dist. Bhavnagar</t>
  </si>
  <si>
    <t>Construction of Gram Panchayat office (Frame structure) at Village Bhojpara Taluka: Bhavnagar Dist. Bhavnagar</t>
  </si>
  <si>
    <t>Construction of Gram Panchayat office (Frame structure) at Village Paliyad Taluka: Bhavnagar Dist. Bhavnagar</t>
  </si>
  <si>
    <t>Construction of Gram Panchayat office (Frame structure) at Village Rajgadh Taluka: Bhavnagar Dist. Bhavnagar</t>
  </si>
  <si>
    <t>Construction of Gram Panchayat office (Frame structure) at Village Adhelai Tal. Bhavnagar Dist. Bhavnagar</t>
  </si>
  <si>
    <t>Construction of Gram Panchayat office (Frame structure) at Village Chomal Taluka: Gariyadhar Dist. Bhavnagar</t>
  </si>
  <si>
    <t>Construction of Gram Panchayat office (Frame structure) at Village Jaliya Taluka: Gariyadhar Dist. Bhavnagar</t>
  </si>
  <si>
    <t>Construction of Gram Panchayat office (Frame structure) at Village Ranigam Taluka: Gariyadhar Dist. Bhavnagar</t>
  </si>
  <si>
    <t>Construction of Gram Panchayat office (Frame structure) at Village Hoidad Taluka: Ghogha Dist. Bhavnagar</t>
  </si>
  <si>
    <t>Construction of Gram Panchayat office (Frame structure) at Village Biladi Taluka: Mahuva Dist. Bhavnagar</t>
  </si>
  <si>
    <t xml:space="preserve">Construction of Gram Panchayat office (Frame structure) at Village Valavav Taluka: Mahuva Dist. Bhavnagar </t>
  </si>
  <si>
    <t>Construction of Gram Panchayat office (Frame structure) at Village Taveda Taluka: Mahuva Dist. Bhavnagar</t>
  </si>
  <si>
    <t>Construction of Gram Panchayat office (Frame structure) at Village Lakhupura Taluka:Mahuva Dist. Bhavnagar</t>
  </si>
  <si>
    <t>Construction of Gram Panchayat office (Frame structure) at Village Vaghvadarda Taluka: Mahuva Dist. Bhavnagar</t>
  </si>
  <si>
    <t xml:space="preserve"> Construction of Gram Panchayat office (Frame structure) at Village Tared Taluka : Mahuva Dist. Bhavnagar</t>
  </si>
  <si>
    <t>Construction of Gram Panchayat office (Frame structure) at Village Chokva Taluka: Mahuva Dist. Bhavnagar</t>
  </si>
  <si>
    <t>Construction of Gram Panchayat office (Frame structure) at Village Kakidi Taluka: Mahuva Dist. Bhavnagar</t>
  </si>
  <si>
    <t xml:space="preserve"> Construction of Gram Panchayat office (Frame structure) at Village Moti Vadal Taluka: Mahuva Dist. Bhavnagar</t>
  </si>
  <si>
    <t>Construction of Gram Panchayat office (Frame structure) at Village Visavadar Taluka: Mahuva Dist. Bhavnagar</t>
  </si>
  <si>
    <t>Construction of Gram Panchayat office (Frame structure) at Village Nikol Taluka: Mahuva Dist. Bhavnagar</t>
  </si>
  <si>
    <t>Construction of Gram Panchayat office (Frame structure) at Village Borla Taluka:Mahuva Dist. Bhavnagar</t>
  </si>
  <si>
    <t>Construction of Gram Panchayat office (Frame structure) at Village Maliya Taluka:Mahuva Dist. Bhavnagar</t>
  </si>
  <si>
    <t>Construction of Gram Panchayat office (Frame structure) at Village Amrutwel Taluka: Mahuva Dist. Bhavnagar</t>
  </si>
  <si>
    <t>Construction of Gram Panchayat office (Frame structure) at Village Fachara Taluka: Palitana Dist. Bhavnagar</t>
  </si>
  <si>
    <t>Construction of Gram Panchayat office (Frame structure) at Village Dharuka Taluka: Umrala Dist. Bhavnagar</t>
  </si>
  <si>
    <t xml:space="preserve"> Construction of Gram Panchayat office (Frame structure) at Village Karkoliya Taluka: Shihor Dist. Bhavnagar </t>
  </si>
  <si>
    <t xml:space="preserve"> Construction of Gram Panchayat office (Frame structure) at Village Navagam (Mo) Taluka: Shihor Dist. Bhavnagar </t>
  </si>
  <si>
    <t>Construction of Gram Panchayat office (Frame structure) at Village Panchvada Taluka:Shihor Dist. Bhavnagar</t>
  </si>
  <si>
    <t>Construction of Gram Panchayat office (Frame structure) at Village Kantodiya Taluka: Shihor Dist. Bhavnagar</t>
  </si>
  <si>
    <t>Construction of Gram Panchayat office (Frame structure) at Village Nana Surka Taluka:Shihor Dist. Bhavnagar</t>
  </si>
  <si>
    <t>Construction of Gram Panchayat office (Frame structure) at Village Sendarda Taluka: Shihor Dist. Bhavnagar</t>
  </si>
  <si>
    <t>Construction of Gram Panchayat office (Frame structure) at Village Vav Taluka: Shihor Dist. Bhavnagar</t>
  </si>
  <si>
    <t>Construction of Gram Panchayat office (Frame structure) at Village Mundakidhar Taluka: Jesar Dist. Bhavnagar</t>
  </si>
  <si>
    <t>Construction of Nandghar (Anganvadi) Building at Village Kumbhariya Tal. Mahuva Dist. Bhavnagar</t>
  </si>
  <si>
    <t xml:space="preserve"> Construction of Nandghar (Anganvadi) Building at Village Titodiya Tal. Mahuva Dist. Bhavnagar</t>
  </si>
  <si>
    <t>Construction of Nandghar (Anganvadi) Building at Village Gundarani Tal. Mahuva Dist. Bhavnagar</t>
  </si>
  <si>
    <t>Construction of Nandghar (Anganvadi) Building at Village Mota Khuntvada-3 Tal. Mahuva Dist. Bhavnagar</t>
  </si>
  <si>
    <t>Construction of Nandghar (Anganvadi) Building at Village Vaghavadarda Tal. Mahuva Dist. Bhavnagar</t>
  </si>
  <si>
    <t>Construction of Nandghar (Anganvadi) Building at Village Dudana Tal. Mahuva Dist. Bhavnagar</t>
  </si>
  <si>
    <t>Construction of Compound wall around Manharkuvarbaa Rajput Vidhyasankul Trust-Bhavnagar Managed by Kanya Vidhyalay &amp; Kanya Chhatralay Campus Vartej. Tal. Bhavnagar Dist. Bhavnagar (Under MP Grant Kesaridevsinh Zala)</t>
  </si>
  <si>
    <t>Construction of Nandghar (Anganvadi) Building at Bordi Tal. Talaja Dist. Bhavnagar</t>
  </si>
  <si>
    <t>Construction of Taluka Panchayat Building at Mahuva, Dist. Bhavnagar</t>
  </si>
  <si>
    <t>RPC-2/Tender/Bhavbagar/213</t>
  </si>
  <si>
    <t>RBD/TRF/e-file/16/2025/4869/Section D1</t>
  </si>
  <si>
    <t>At Gadhula, Ta. Shihor, Dist. Bhavnagar - 364230</t>
  </si>
  <si>
    <t>Construction of Langala to Dedakadi Road Km 0/0 to 2/400, Ta. Vallabhipur, Dist. Bhavnagar</t>
  </si>
  <si>
    <t>50301205687021</t>
  </si>
  <si>
    <t>50301205697402</t>
  </si>
  <si>
    <t>771613001589</t>
  </si>
  <si>
    <t>771613001587</t>
  </si>
  <si>
    <t>771613001585</t>
  </si>
  <si>
    <t>771613001588</t>
  </si>
  <si>
    <t>771613001586</t>
  </si>
  <si>
    <t>INDIAN BANK</t>
  </si>
  <si>
    <t>Central Bank of India</t>
  </si>
  <si>
    <t>SARVAIYA RAJENDRASINH BAHADURSINH</t>
  </si>
  <si>
    <t>91640300004640</t>
  </si>
  <si>
    <t>Pending WO</t>
  </si>
  <si>
    <t>Compound Wall</t>
  </si>
  <si>
    <t>Community hall</t>
  </si>
  <si>
    <t>Bus Stand</t>
  </si>
  <si>
    <t>Taluka Panchayat</t>
  </si>
  <si>
    <t>Rest House</t>
  </si>
  <si>
    <t>Quarters</t>
  </si>
  <si>
    <t>RPC-2/Tender/Bhavbagar/236</t>
  </si>
  <si>
    <t>RBD/TRF/e-file/16/2025/4871/Section D1</t>
  </si>
  <si>
    <t>RBD/TRF/e-file/16/2025/4865/Section D1</t>
  </si>
  <si>
    <t>RBD/TRF/e-file/16/2025/4866/Section D1</t>
  </si>
  <si>
    <t>RBD/TRF/e-file/16/2025/5176/Section D1</t>
  </si>
  <si>
    <t xml:space="preserve"> </t>
  </si>
  <si>
    <t>SH-404, Amazing Star, Opp. Vishvamitri Society, Varachha, Surat - 395006</t>
  </si>
  <si>
    <t>The Kalupur Commercial Co-Op. Bank Ltd.</t>
  </si>
  <si>
    <t>2895400010464</t>
  </si>
  <si>
    <t>2895400010465</t>
  </si>
  <si>
    <t>50301204707986</t>
  </si>
  <si>
    <t>50301204708710</t>
  </si>
  <si>
    <t>Union Bank of India</t>
  </si>
  <si>
    <t>348803060081616</t>
  </si>
  <si>
    <t>DMF</t>
  </si>
  <si>
    <t>162313004875</t>
  </si>
  <si>
    <t>162313004877</t>
  </si>
  <si>
    <t>162313004874</t>
  </si>
  <si>
    <t>162313004876</t>
  </si>
  <si>
    <t>RBD/TRF/e-file/16/2025/5166/Section D1</t>
  </si>
  <si>
    <t>Construction of Gram Panchayat office (Frame structure) at Village Rajpara (Khodiyar) Taluka: Shihor Dist. Bhavnagar</t>
  </si>
  <si>
    <t>Construction of Gram Panchayat office (Frame structure) at Village Nani-Moti Sodvadri Taluka: Mahuva Dist. Bhavnagar</t>
  </si>
  <si>
    <t>Construction of Gram Panchayat office (Frame structure) at Village Anandpur-Pipalva Taluka: Gariyadhar Dist. Bhavnagar</t>
  </si>
  <si>
    <t>Construction of Gram Panchayat office ( for Population from 5000- 10000) at Village Ambla Tal. Shihor Dist. Bhavnagar</t>
  </si>
  <si>
    <t>Construction of Community hall at Shirvaniya Area Village Parwala Tal. Umrala Dist. :- Bhavnagar</t>
  </si>
  <si>
    <t>Construction of Community Hall at Aanandpar Village Tal.Gariyadhar Dist. Bhavnagar</t>
  </si>
  <si>
    <t>Construction of Nandghar (Anganvadi) Building at Tarakpaladi Tal. Shihor Dist. Bhavnagar</t>
  </si>
  <si>
    <t>Providing wire fencing At Songadh rest house compus At. Shihor Dist. Bhavnagar</t>
  </si>
  <si>
    <t>Construction of CD Works on Thoradi villlage to High school Road (NP) Ta. Bhavnagar Dist. Bhavnagar</t>
  </si>
  <si>
    <t>Construction of Bus Stand of Ambla Tal. Sihor Dist. Bhavnagar</t>
  </si>
  <si>
    <t>Repairing of Vallabhipur Deputy executive engineer Quarter at Vallabhipur Taluka Dist:- Bhavnagar</t>
  </si>
  <si>
    <t>Construction of C.C. Road Tirupati temple Road Joining to Ambla-Kumbhan Road Ta.:- Shihor, Dist.:- Bhavnagar</t>
  </si>
  <si>
    <t xml:space="preserve"> Construction of Vejodari to Mangela Road (NP) Ch.0/000 to 2/250 Ta.Talaja , Dist.; Bhavnagar. (Under MMGSY-Normal2024-25)</t>
  </si>
  <si>
    <t xml:space="preserve">Construction of Kerala to Mangela Road (NP) Ch.0/000 to 4/000 (Sec.0/000-3/200) Ta.Talaja , Dist.; Bhavnagar. (Under MMGSY-Normal-2024-25) </t>
  </si>
  <si>
    <t>Construction of CD Work on the Road from Vadal village in Palitana taluka to Kotiya village in Mahuva taluka Ta.:- Palitana, Dist.:- Bhavnagar</t>
  </si>
  <si>
    <t>Repair Building</t>
  </si>
  <si>
    <t>Construction of CD Work on At Bagad River the Road from Ralgon village in Talaja taluka to Kotiya village in Mahuva taluka Road (NP) Ta.:- Talaja, Dist.:- Bhavnagar</t>
  </si>
  <si>
    <t>Empanelment of service
Providing from consultants for Tender Uploading, Tender opening, and Prepare
Tender approval proposal under R&amp;B (Panchayat) Division, Bhavnagar</t>
  </si>
  <si>
    <t>ANSH INFRASTRUCTURE</t>
  </si>
  <si>
    <t>Shri Harikrishna Construction</t>
  </si>
  <si>
    <t>SHRI SAINATH CONSTRUCTION
COMPANY</t>
  </si>
  <si>
    <t>Improvement of Devgana to Kharakadi Road (VRNP) Km.0/000-2/950 Ta.Shihor, Dist.; Bhavnagar</t>
  </si>
  <si>
    <t>Sureshbhai R Chavda</t>
  </si>
  <si>
    <t>SHREE GANGNATH
CONSTRUCTION</t>
  </si>
  <si>
    <t>RBD/TRF/e-file/16/2025/4868/Section D1</t>
  </si>
  <si>
    <t>RBD/TRF/e-file/16/2025/4870/Section D1</t>
  </si>
  <si>
    <t>F/107, Eva Surabhi Complex, Opp. Aksharvadi Temple, Waghavadi Road, Bhavnagar - 364001</t>
  </si>
  <si>
    <t>Amardipsinh M. Gohil</t>
  </si>
  <si>
    <t>11, Brahman Sheri, At. Jesar, Dist. Bhavnagar</t>
  </si>
  <si>
    <t>Plot No. 9, Gayatri Society, Ramabaug, Anantwadi, Bhavnagar - 364002</t>
  </si>
  <si>
    <t>33, Virbhadra Shopping Center, Nr. Nilambaug Circle, Bhavnagar - 364002</t>
  </si>
  <si>
    <t>Chhelana Vipul Hadabhai</t>
  </si>
  <si>
    <t>At Survey No. 4 P, Shiv Hotel, Rohisha Chowkadi, Mahuva, Dist. Bhavnagar</t>
  </si>
  <si>
    <t>C. K. Vaniya</t>
  </si>
  <si>
    <t>Dhuliya Pir Vali Sheri, At Sedarda, Ta. Mahuva, Dist. Bhavnagar - 364280</t>
  </si>
  <si>
    <t>Construction of Gram Panchayat office (Frame structure) at Village Nana Charodiya Taluka: Gariyadhar Dist. Bhavnagar</t>
  </si>
  <si>
    <t>G 402, Abhilasha Sky, Gopal Chowk, Nikol, Ahmedabad - 382350</t>
  </si>
  <si>
    <t xml:space="preserve">Plot No. 13/C, Sheri No. 9, Gurunagar, Behind Chitra Petrol, Bhavnagar 364003 </t>
  </si>
  <si>
    <t>Opp. Nagar Palika Shoping Center, Swami Vivekanand Park, Devli Road, Kodinar, Dist. Gir Somnath - 362720</t>
  </si>
  <si>
    <t>753700MP00002883</t>
  </si>
  <si>
    <t>753700MP00002874</t>
  </si>
  <si>
    <t>Construction of Taluka panchayat office Building At : Mahuva, Dist : Bhavnagar</t>
  </si>
  <si>
    <t xml:space="preserve">Construction of Minor Bridge on Tared to Belampar Road (ODR) At. Km.0/200 Ta.Mahuva , Dist.; Bhavnagar. (Under MMGSY-Normal-2025-26) </t>
  </si>
  <si>
    <t>Construction of Mota Khokhara to Bambhaniya Road (NP) Km.0/000 to 3/750 Ta.Ghogha, Dist.; Bhavnagar</t>
  </si>
  <si>
    <t>Construction of Bhankhal Road to Pithalpur Road (NP) Km.0/000 to 0/950 Ta.Ghogha , Dist.; Bhavnagar</t>
  </si>
  <si>
    <t>Resurfacing of Bila to Ugalvan Road (VR) Km.0/000 to 3/500 Ta.Jesar , Dist.; Bhavnagar</t>
  </si>
  <si>
    <t>Resurfacing of Jesar Depla Ranigam Road (MDR) Km.0/000 to 9/750 Ta.Jesar, Dist.; Bhavnagar.</t>
  </si>
  <si>
    <t>Improvement of Rupavati- Saringpur- Damrala- Paldi -Samdhiyala Road (MDR) Km.0/000-5/450 Ta.Gariyadhar, Dist.; Bhavnagar</t>
  </si>
  <si>
    <t xml:space="preserve">Improvement of Luvarvav to Bhundarakha Road (VR) Km.0/000-3/300 Ta.Palitana, Dist.; Bhavnagar. </t>
  </si>
  <si>
    <t>Construction of Box Culvert on Mahuva Katpar Bhavani Road (MR) Ta.Mahuva , Dist.; Bhavnagar.</t>
  </si>
  <si>
    <t>Construction of School Building at Kalivav Primary School (One Class room) &amp; Koliyak Kanya P.S ( Four Class room) Ta: and Dist.Bhavnagar</t>
  </si>
  <si>
    <t>Construction of Nandghar (Anganvadi) Building at Village Mota Malpara Tal. Mahuva Dist. Bhavnagar</t>
  </si>
  <si>
    <t>Improvement of Ambla to Piparala Road (NP) Km.0 /000-3/250 Ta.Shihor, Dist.; Bhavnagar.</t>
  </si>
  <si>
    <t xml:space="preserve"> Construction of Gram Panchayat office (Frame structure) at Village Navagam (Mo) Taluka: Shihor Dist. Bhavnagar</t>
  </si>
  <si>
    <t>Ashapura Garden Restaurant, Near Garibsha pir, Rajkot Road, Sihor, Dist. Bhavnagar</t>
  </si>
  <si>
    <t>C-165, Pramukh Chhaya Raw House Society, Puma Simada Road, Puna Gam, Surat</t>
  </si>
  <si>
    <t>RPC-2/Tender/Bhavbagar/259</t>
  </si>
  <si>
    <t>L 15, AKSHARDEEP COMPLEX, SHASTRINAGAR, BHAVNAGAR-364001</t>
  </si>
  <si>
    <t>(1) Chamaradi Paliyad Road
(2) Mithapur Approach Road</t>
  </si>
  <si>
    <t>Bank of India</t>
  </si>
  <si>
    <t>320556110000302</t>
  </si>
  <si>
    <t>320556110000298</t>
  </si>
  <si>
    <t>320556110000297</t>
  </si>
  <si>
    <t>320556110000301</t>
  </si>
  <si>
    <t>320556110000303</t>
  </si>
  <si>
    <t>320556110000295</t>
  </si>
  <si>
    <t>320556110000304</t>
  </si>
  <si>
    <t>320556110000299</t>
  </si>
  <si>
    <t>320556110000300</t>
  </si>
  <si>
    <t>The Mehsana Urban Co-Op. Bank Ltd. Mehsana</t>
  </si>
  <si>
    <t>43201100017171</t>
  </si>
  <si>
    <t>320556110000296</t>
  </si>
  <si>
    <t>Gujarat Gramin Bank</t>
  </si>
  <si>
    <t>22670300000003</t>
  </si>
  <si>
    <t>15% Vivekadhin</t>
  </si>
  <si>
    <t>22670300000001</t>
  </si>
  <si>
    <t>22670300000002</t>
  </si>
  <si>
    <t>22670300000005</t>
  </si>
  <si>
    <t>22670300000004</t>
  </si>
  <si>
    <t>C 1014, Opp. SBI Bank, Kaliyabid, Bhavnagar</t>
  </si>
  <si>
    <t>5054 MMGSY Normal</t>
  </si>
  <si>
    <t>58490GI3D4045925</t>
  </si>
  <si>
    <t>50301222159542</t>
  </si>
  <si>
    <t>Tender Approval is Pending.</t>
  </si>
  <si>
    <t>Work Order will be given after Contractor submits Security Deposit.</t>
  </si>
  <si>
    <t>Rejected</t>
  </si>
  <si>
    <t>MP Grant</t>
  </si>
  <si>
    <t>101GT02252630005</t>
  </si>
  <si>
    <t>22670300000032</t>
  </si>
  <si>
    <t>91640300004729</t>
  </si>
  <si>
    <t>5054 MMGSY NORMAL</t>
  </si>
  <si>
    <t>32423030002307</t>
  </si>
  <si>
    <t>32423030002308</t>
  </si>
  <si>
    <t>309, 3rd Floor, Asopalav Triangle, 40-50 Feet Road Corner, (Punitnagar) Near Khodal Chok, Opp. Satyam Hills, Mavdi- Rajkot - 364004</t>
  </si>
  <si>
    <t>CDP-3</t>
  </si>
  <si>
    <t>RBD/TRF/e-file/16/2025/6192/Section D1</t>
  </si>
  <si>
    <t>RPC-2/Tender/Bhavbagar/311</t>
  </si>
  <si>
    <t xml:space="preserve">3054 MMGSY NORMAL </t>
  </si>
  <si>
    <t>RBD/TRF/e-file/16/2025/6191/Section D1</t>
  </si>
  <si>
    <t>RBD/TRF/e-file/16/2025/6189/Section D1</t>
  </si>
  <si>
    <t>RBD/TRF/e-file/16/2025/6190/Section D1</t>
  </si>
  <si>
    <t>RBD/TRF/e-file/16/2025/6197/Section D1</t>
  </si>
  <si>
    <t>Shop No. 40/41, Madhav Complex, Shastrinagar, Bhavnagar</t>
  </si>
  <si>
    <t>RBD/TRF/e-file/16/2025/6193/Section D1</t>
  </si>
  <si>
    <t>RPC-2/Tender/Bhavbagar/312</t>
  </si>
  <si>
    <t>Pending LoA</t>
  </si>
  <si>
    <t>Pending Approval</t>
  </si>
  <si>
    <t>50301241287737</t>
  </si>
  <si>
    <t>50301241288868</t>
  </si>
  <si>
    <t>RBD/TRF/e-file/16/2025/5428/Section D1</t>
  </si>
  <si>
    <t>5030044769452</t>
  </si>
  <si>
    <t>5030044769453</t>
  </si>
  <si>
    <t>5030044769454</t>
  </si>
  <si>
    <t>5030044769455</t>
  </si>
  <si>
    <t xml:space="preserve">                        </t>
  </si>
  <si>
    <t>Annual Rate for various Item of Material Supply and Labour for Road and Building Works</t>
  </si>
  <si>
    <t>No</t>
  </si>
  <si>
    <t>320456110006930</t>
  </si>
  <si>
    <t>320456110006931</t>
  </si>
  <si>
    <t>320456110006932</t>
  </si>
  <si>
    <t>Annual Rate for Providing Asphalt Patch, Metal Patch, Paver Patta, BM, Carpet, Seal Coat, Asphalt Painting work in various Roads of Bhavnagar and Ghogha Taluka</t>
  </si>
  <si>
    <t>Annual Rate for Providing Asphalt Patch, Metal Patch, Paver Patta, BM, Carpet, Seal Coat, Asphalt Painting work in various Roads of Talaja Taluka</t>
  </si>
  <si>
    <t>Annual Rate for Providing Asphalt Patch, Metal Patch, Paver Patta, BM, Carpet, Seal Coat, Asphalt Painting work in various Roads of Mahuva and Jesar Taluka</t>
  </si>
  <si>
    <t>Annual Rate for Providing Asphalt Patch, Metal Patch, Paver Patta, BM, Carpet, Seal Coat, Asphalt Painting work in various Roads of Palitana and Gariyadhar Taluka</t>
  </si>
  <si>
    <t>Annual Rate for Providing Asphalt Patch, Metal Patch, Paver Patta, BM, Carpet, Seal Coat, Asphalt Painting work in various Roads of Shihor Taluka</t>
  </si>
  <si>
    <t>Annual Rate for Providing Asphalt Patch, Metal Patch, Paver Patta, BM, Carpet, Seal Coat, Asphalt Painting work in various Roads of Vallabhipur and Umrala Taluka</t>
  </si>
  <si>
    <t>PLOT NO. 1 A-16, Shere Panjab Pachhal, Santkrupa valo khancho, chitra GIDC, BHAVNAGAR-364004</t>
  </si>
  <si>
    <t>J.K.Construction</t>
  </si>
  <si>
    <t>At Po. Lilivav, Ta. Talaja, Dist. Bhavnagar</t>
  </si>
  <si>
    <t>Upendrakumar J. Joshi</t>
  </si>
  <si>
    <t>2236 ICDS</t>
  </si>
  <si>
    <t>RPC-2/Tender/Bhavbagar/375</t>
  </si>
  <si>
    <t xml:space="preserve">Repairing of Anganvadi Building at Various Taluka in Bhavnagar District </t>
  </si>
  <si>
    <t>Construction of Bhatikada to Kadi Vistaar Road (VR NP) Km 0/000 to 3/500, Ta. Mahuva, Dist. Bhavnagar</t>
  </si>
  <si>
    <t>Remaining work Construction of Gram Panchayat office building (Frame structure) of Gariyadhar taluka (BVN/CDP/Gariyadhar/2017-18/P-18) Dist. Bhavnagar (At village - Shivendranagar, Motivavdi, Rupavati)</t>
  </si>
  <si>
    <t>Construction of Nandghar (Anganvadi) Building at Village Undavi-1 Tal. Bhavnagar Dist. Bhavnagar</t>
  </si>
  <si>
    <t>MATI CONSTRUCTION AND
ENGINEERING</t>
  </si>
  <si>
    <t>Major Bridge</t>
  </si>
  <si>
    <t>Box Culvert</t>
  </si>
  <si>
    <t>Shree Khodiyar Construction</t>
  </si>
  <si>
    <t>Pramukh Services</t>
  </si>
  <si>
    <t>Toilet</t>
  </si>
  <si>
    <t>JAYDIPBHAI J MAKWANA</t>
  </si>
  <si>
    <t>Hall</t>
  </si>
  <si>
    <t>RUTURAJSINH ARJUNSINH SARVAIYA</t>
  </si>
  <si>
    <t>Lab</t>
  </si>
  <si>
    <t xml:space="preserve">Construction of various Major Bridge under MMGSY Yojana (Normal) Year 2025-26, Package No. RPC-2/BVN/Structure/2025-26/P.03, Ta. Bhavnagar </t>
  </si>
  <si>
    <t>6376225BG0Y00072</t>
  </si>
  <si>
    <t>6376225BG0Y00073</t>
  </si>
  <si>
    <t>6376225BG0Y00071</t>
  </si>
  <si>
    <t>GMDC-CSR</t>
  </si>
  <si>
    <t>348803030568318</t>
  </si>
  <si>
    <t>Construction of Nandghar (Anganvadi) Building at Village Mota Khuntvada-2 Tal. Mahuva Dist. Bhavnagar</t>
  </si>
  <si>
    <t>Construction of Major Bridge on Beda Virpur Road Ta. Jesar., Dist.; Bhavnagar. (Under MMGSY-Normal-2024-25)</t>
  </si>
  <si>
    <t>Construction of Box Culvert on the way to Dalit Crematorium at Ranghola Village of Umrala (Km.0/150) Ta.Umrala, Dist.; Bhavnagar. (Under Finance Commission)</t>
  </si>
  <si>
    <t>Construction of Community hall near Murlidhar temple area at pachhegam Taluka:- Vallabhipur Dist. Bhavnagar</t>
  </si>
  <si>
    <t>Construction of Community Hall at Scheduled Cast Area Malekvadar Village Tal.Ghogha Dist. Bhavnagar</t>
  </si>
  <si>
    <t>Construction of Community Hall near House of Babubhai Ravjibhai Makvana at Dalitvas Hadmatiya Village Tal. Umrala Dist. Bhavnagar</t>
  </si>
  <si>
    <t>Construction of Community Hall at Rabarika Village Ta.Jesar Dist.Bhavnagar</t>
  </si>
  <si>
    <t>Construction of Sulabh Sauchalay at Village Uncha Kotda, Ta:Mahuva, Dist:Bhavnagar</t>
  </si>
  <si>
    <t>Construction of Sulabh Sauchalay at Village Dadava (r) Taluka; Umrala, Dist:Bhavnagar</t>
  </si>
  <si>
    <t>Construction of Library Hall in Primary School at Village Malpar Tal.Ghogha Dist. Bhavnagar</t>
  </si>
  <si>
    <t>Construction of Computer Lab at Ukharla and Tansa, Ta:Ghogha, Dist:Bhavnagar</t>
  </si>
  <si>
    <t>Hamirbhai Govindbhai Chavda</t>
  </si>
  <si>
    <t>At. Lakhavad, Tal. Umrala, Dist. Bhavnagar</t>
  </si>
  <si>
    <t>15 th Finance Commission</t>
  </si>
  <si>
    <t>At. Shelavadar, Tal. Talaja, Dist. Bhavnagar - 364140</t>
  </si>
  <si>
    <t>Alpeshkumar Ranabhai Kalotara</t>
  </si>
  <si>
    <t>At. Chhapariyali, Bagdana Road, Tal. Jesar, Dist. Bhavnagar - 364510</t>
  </si>
  <si>
    <t>Plot No. 39/B, Jawahar Colony, Bordigate, Bhavnagar - 364005</t>
  </si>
  <si>
    <t>B-4852, Punam Pooja Society, Kaliyabid, Bhavnagar - 364002</t>
  </si>
  <si>
    <t>Rupavati Road, Gariyadhar, Dist. Bhavnagar - 364505</t>
  </si>
  <si>
    <t>22670300000033</t>
  </si>
  <si>
    <t>#N/A</t>
  </si>
  <si>
    <t>183223060000042</t>
  </si>
  <si>
    <t>183223060000043</t>
  </si>
  <si>
    <t>RC</t>
  </si>
  <si>
    <t>25200300031785</t>
  </si>
  <si>
    <t>25200300031781</t>
  </si>
  <si>
    <t>25200300031782</t>
  </si>
  <si>
    <t>25200300031784</t>
  </si>
  <si>
    <t>25200300031783</t>
  </si>
  <si>
    <t>25200300031787</t>
  </si>
  <si>
    <t>Pravan Grant</t>
  </si>
  <si>
    <t>25200300031786</t>
  </si>
  <si>
    <t>2895400010841</t>
  </si>
  <si>
    <t>2895400010840</t>
  </si>
  <si>
    <t>58490GI8D4925325</t>
  </si>
  <si>
    <t>22670300000111</t>
  </si>
  <si>
    <t>22670300000122</t>
  </si>
  <si>
    <t>049010PU00012954</t>
  </si>
  <si>
    <t>0348IGP003446925</t>
  </si>
  <si>
    <t>0348IGP003461325</t>
  </si>
  <si>
    <t>0348IGP003461925</t>
  </si>
  <si>
    <t>Remaining Work</t>
  </si>
  <si>
    <t>School Building</t>
  </si>
  <si>
    <t>Ramaining Work</t>
  </si>
  <si>
    <t>Minor Bridge</t>
  </si>
  <si>
    <t>Construction of Taluka panchayat office Building At : Shihor, Dist : Bhavnagar</t>
  </si>
  <si>
    <t>Kalapi Enterprise</t>
  </si>
  <si>
    <t>RBD/TRF/e-file/16/2025/7646/Section D1</t>
  </si>
  <si>
    <t>Construction of Taluka panchayat office Building At : Palitana, Dist : Bhavnagar</t>
  </si>
  <si>
    <t>RBD/TRF/e-file/16/2025/7641/Section D1</t>
  </si>
  <si>
    <t>320, Sky Zone near Shyamdham Temple, Varachha Road, Surat - 395006</t>
  </si>
  <si>
    <t>2515 CDP-14</t>
  </si>
  <si>
    <t>Committee</t>
  </si>
  <si>
    <t>Committee Date</t>
  </si>
  <si>
    <t>5054 MMGSY SCSP</t>
  </si>
  <si>
    <t>3054 SR</t>
  </si>
  <si>
    <t>BUJ</t>
  </si>
  <si>
    <t>DP OWN FUND</t>
  </si>
  <si>
    <t>3054 MMGSY NORMAL</t>
  </si>
  <si>
    <t>5054 Suvidhapath</t>
  </si>
  <si>
    <t>573513000312</t>
  </si>
  <si>
    <t>44742613971</t>
  </si>
  <si>
    <t>214, Hill Town Square, Near Ganesh Opera, Nikol, Ahmedabad - 382350</t>
  </si>
  <si>
    <t>0348IGP004517425</t>
  </si>
  <si>
    <t>CDP-14</t>
  </si>
  <si>
    <t>Vikasshil Taluka</t>
  </si>
  <si>
    <t>44743821152</t>
  </si>
  <si>
    <t>348803020703951</t>
  </si>
  <si>
    <t>348803020703950</t>
  </si>
  <si>
    <t>22670300000146</t>
  </si>
  <si>
    <t>SADVICHAR INFRA PROJECTS LLP</t>
  </si>
  <si>
    <t>DEVKI CONSTRUCTION</t>
  </si>
  <si>
    <t>JAY ENTERPRISE</t>
  </si>
  <si>
    <t>parishramconstruction</t>
  </si>
  <si>
    <t>SARVAIYA BROTHERS CONSTRUCTION
COMPANY</t>
  </si>
  <si>
    <t>MUKHI CONSTRUCTION</t>
  </si>
  <si>
    <t>Siddhi Vinayak Construction</t>
  </si>
  <si>
    <t>A V CONSTRUCTION</t>
  </si>
  <si>
    <t>MILAN INFRA PROJECT</t>
  </si>
  <si>
    <t>Bambhaniya V L</t>
  </si>
  <si>
    <t>DHRUVITKUMAR R KAKADIYA</t>
  </si>
  <si>
    <t>Same Rate</t>
  </si>
  <si>
    <t>CHIRAG HIMMATBHAI ITALIYA</t>
  </si>
  <si>
    <t xml:space="preserve"> Construction of Gram Panchayat Office (Frame Structure) at Village Aamala, Ta. Talaja, Dist. Bhavnagar</t>
  </si>
  <si>
    <t>Construction of Gram Panchayat Office (Frame Structure) at Village Pavathi, Ta.Talaja, Dist. Bhavnagar (For Population 5000 to 10000)</t>
  </si>
  <si>
    <t>Construction of Gram Panchayat Office (Frame Structure) at Village Piparla, Ta. Talaja, Dist. Bhavnagar</t>
  </si>
  <si>
    <t>Construction of Gram Panchayat Office (Frame Structure) at Village Rajpara-2, Ta.Talaja, Dist. Bhavnagar (For Population 5000 to 10000)</t>
  </si>
  <si>
    <t>Construction of Gram Panchayat Office (Frame Structure) at Village Ralgon, Ta. Talaja, Dist. Bhavnagar</t>
  </si>
  <si>
    <t>Construction of Gram Panchayat office (Frame structure) at Village Padargadh, Ta. Talaja Dist. Bhavnagar</t>
  </si>
  <si>
    <t>Construction of Gram Panchayat office (Frame structure) at Village Dharadi, Tal. Talaja Dist. Bhavnagar</t>
  </si>
  <si>
    <t>Construction of Gram Panchayat office (Frame structure) at Village Shobhavad, Tal. Talaja Dist. Bhavnagar</t>
  </si>
  <si>
    <t>Construction of Gram Panchayat office (Frame structure) at Village Vataliya, Tal. Talaja Dist. Bhavnagar</t>
  </si>
  <si>
    <t>Construction of Gram Panchayat office (Frame structure) at Village Datha, Tal. Talaja Dist. Bhavnagar (For population Upto 5000 to 10000)</t>
  </si>
  <si>
    <t>Construction of Gram Panchayat office (Frame structure) at Village Alang, Tal. Talaja Dist. Bhavnagar (For population Upto 5000 to 10000)</t>
  </si>
  <si>
    <t>Construction of Gram Panchayat office (Frame structure) at Village Bharpara, Tal. Talaja Dist. Bhavnagar</t>
  </si>
  <si>
    <t>Construction of Gram Panchayat office (Frame structure) at Village Mathavada, Tal. Talaja Dist. Bhavnagar</t>
  </si>
  <si>
    <t>Construction of Gram Panchayat office (Frame structure) at Village Moti Babariyat, Tal. Talaja Dist. Bhavnagar</t>
  </si>
  <si>
    <t>Construction of Gram Panchayat office (Frame structure) at Village Royal, Tal. Talaja Dist. Bhavnagar</t>
  </si>
  <si>
    <t>Construction of Gram Panchayat office (Frame structure) at Village Sosiya, Tal. Talaja Dist. Bhavnagar</t>
  </si>
  <si>
    <t>Construction of Gram Panchayat office (Frame structure) at Village Kundheli, Tal. Talaja Dist. Bhavnagar</t>
  </si>
  <si>
    <t>Construction of Gram Panchayat office (Frame structure) at Village Shankhdasar-2, Tal. Talaja Dist. Bhavnagar</t>
  </si>
  <si>
    <t xml:space="preserve"> Construction of Gram Panchayat office (Frame structure) at Village Moti Mandavali, Tal. Talaja Dist. Bhavnagar</t>
  </si>
  <si>
    <t>Construction of Gram Panchayat office (Frame structure) at Village Reliya, Tal. Talaja Dist. Bhavnagar</t>
  </si>
  <si>
    <t>Construction of Gram Panchayat office (Frame structure) at Village Talli, Tal. Talaja Dist. Bhavnagar</t>
  </si>
  <si>
    <t>Construction of Gram Panchayat Office (Frame Structure) at Village Sanodar, Ta. Ghogha, Dist. Bhavnagar</t>
  </si>
  <si>
    <t>Construction of Gram Panchayat Office (Frame Structure) at Village Tansa, Ta. Ghogha, Dist. Bhavnagar</t>
  </si>
  <si>
    <t>Construction of Gram Panchayat office (Frame structure) at Village Ghogha Piram Juth, Ta. Ghogha Dist. Bhavnagar (For population Upto 5000 to 10000)</t>
  </si>
  <si>
    <t>Construction of Gram Panchayat office (Frame structure) at Village Vavadi, Ta. Ghogha Dist. Bhavnagar</t>
  </si>
  <si>
    <t>Construction of Gram Panchayat office (Frame structure) at Village Morchand, Ta. Ghogha Dist. Bhavnagar</t>
  </si>
  <si>
    <t>Construction of Gram Panchayat office (Frame structure) at Village Navagam (Nana) Ta. Ghogha Dist. Bhavnagar</t>
  </si>
  <si>
    <t>Construction of Gram Panchayat Office (Frame Structure) at Village Khatsura, Ta. Mahuva, Dist. Bhavnagar</t>
  </si>
  <si>
    <t>Construction of Gram Panchayat Office (Frame Structure) at Village Katpar, Ta. Mahuva, Dist. Bhavnagar (For Population 5000 to 10000)</t>
  </si>
  <si>
    <t>Construction of Gram Panchayat Office (Frame Structure) at Village Monpur, Ta. Mahuva, Dist. Bhavnagar</t>
  </si>
  <si>
    <t>Construction of Gram Panchayat Office (Frame Structure) at Village Karamadiya, Ta. Mahuva, Dist. Bhavnagar</t>
  </si>
  <si>
    <t>Construction of Gram Panchayat Office (Frame Structure) at Village Dayal, Ta. Mahuva, Dist. Bhavnagar (For Population 5000 to 10000)</t>
  </si>
  <si>
    <t>Construction of Gram Panchayat Office (Frame Structure) at Village Nana Khuntvada, Ta. Mahuva, Dist. Bhavnagar</t>
  </si>
  <si>
    <t>Construction of Gram Panchayat Office (Frame Structure) at Village Mota Jadara, Ta. Mahuva, Dist. Bhavnagar</t>
  </si>
  <si>
    <t>Construction of Gram Panchayat office (Frame structure) at Village Gundarni, Ta. Mahuva Dist. Bhavnagar</t>
  </si>
  <si>
    <t>Construction of Gram Panchayat office (Frame structure) at Village Goras, Ta. Mahuva Dist. Bhavnagar</t>
  </si>
  <si>
    <t>Construction of Gram Panchayat office (Frame structure) at Village Kalsar, Ta. Mahuva Dist. Bhavnagar (For population Upto 5000 to 10000)</t>
  </si>
  <si>
    <t>Construction of Gram Panchayat office (Frame structure) at Village Moda, Ta. Mahuva Dist. Bhavnagar</t>
  </si>
  <si>
    <t>Construction of Gram Panchayat office (Frame structure) at Village Rajavadar, Ta. Mahuva Dist. Bhavnagar</t>
  </si>
  <si>
    <t>Construction of Gram Panchayat office (Frame structure) at Village Vangar, Ta. Mahuva Dist. Bhavnagar</t>
  </si>
  <si>
    <t>Construction of Gram Panchayat office (Frame structure) at Village Dudhala-2, Ta. Mahuva Dist. Bhavnagar</t>
  </si>
  <si>
    <t>Construction of Gram Panchayat Office (Frame Structure) at Village Jesar, Ta. Jesar, Dist. Bhavnagar (For Population More than 10000)</t>
  </si>
  <si>
    <t>Construction of Gram Panchayat Office (Frame Structure) at Village Ugalvan, Ta. Jesar, Dist. Bhavnagar</t>
  </si>
  <si>
    <t>Construction of Gram Panchayat Office (Frame Structure) at Village Juni Kantrodi, Ta. Jesar, Dist. Bhavnagar</t>
  </si>
  <si>
    <t>Construction of Gram Panchayat Office (Frame Structure) at Village Moti Paniyali, Ta. Palitana, Dist. Bhavnagar</t>
  </si>
  <si>
    <t>Construction of Gram Panchayat Office (Frame Structure) at Village Thadach, Ta. Palitana, Dist. Bhavnagar</t>
  </si>
  <si>
    <t>Construction of Gram Panchayat office (Frame structure) at Village Vadiya, Ta. Palitana Dist. Bhavnagar</t>
  </si>
  <si>
    <t>Construction of Gram Panchayat office (Frame structure) at Village Nonghanvadar, Ta. Palitana Dist. Bhavnagar</t>
  </si>
  <si>
    <t>Construction of Gram Panchayat Office (Frame Structure) at Village Velavadar, Ta. Gariyadhar, Dist. Bhavnagar</t>
  </si>
  <si>
    <t>Construction of Gram Panchayat office (Frame structure) at Village Bhandariya, Ta. Gariyadhar Dist. Bhavnagar</t>
  </si>
  <si>
    <t>Construction of Gram Panchayat Office (Frame Structure) at Village Umrala, Ta. Umrala, Dist. Bhavnagar (For Population 5000 to 10000)</t>
  </si>
  <si>
    <t>Construction of Gram Panchayat office (Frame structure) at Village Dhola (Gam) Ta. Umrala Dist. Bhavnagar</t>
  </si>
  <si>
    <t>Construction of Gram Panchayat office (Frame structure) at Village Bhojavadar, Ta. Umrala Dist. Bhavnagar</t>
  </si>
  <si>
    <t>Construction of Gram Panchayat office (Frame structure) at Village Ratanpar, Ta. Umrala Dist. Bhavnagar</t>
  </si>
  <si>
    <t>Construction of Gram Panchayat office (Frame structure) at Village Surka, Ta. Bhavnagar Dist. Bhavnagar</t>
  </si>
  <si>
    <t>Construction of Gram Panchayat office (Frame structure) at Village Mithapar, Ta. Bhavnagar Dist. Bhavnagar</t>
  </si>
  <si>
    <t>Construction of Gram Panchayat office (Frame structure) at Village Shedhavadar, Ta. Bhavnagar Dist. Bhavnagar</t>
  </si>
  <si>
    <t>Construction of Gram Panchayat office (Frame structure) at Village Koliyak, Ta. Bhavnagar Dist. Bhavnagar</t>
  </si>
  <si>
    <t>Construction of Gram Panchayat office (Frame structure) at Village Alapar, Ta. Bhavnagar Dist. Bhavnagar</t>
  </si>
  <si>
    <t>Construction of Gram Panchayat office (Frame structure) at Village Thoradi , Ta. Bhavnagar Dist. Bhavnagar</t>
  </si>
  <si>
    <t>Construction of Gram Panchayat office (Frame structure) at Village Sarvedi, Ta. Shihor Dist. Bhavnagar</t>
  </si>
  <si>
    <t>Construction of Gram Panchayat office (Frame structure) at Village Panchtalavada, Ta. Shihor Dist. Bhavnagar</t>
  </si>
  <si>
    <t>Construction of Gram Panchayat office (Frame structure) at Village Nava Jaliya, Ta.shihor Dist. Bhavnagar</t>
  </si>
  <si>
    <t xml:space="preserve"> Shop No. 101, Chitrakut Complex, Near Gayatridham Society, Jamnagar Road, Rajkot</t>
  </si>
  <si>
    <t>RGSA</t>
  </si>
  <si>
    <t>Construction of Gram Panchayat Office (Frame Structure) at Village Nesvad, Ta. Mahuva, Dist. Bhavnagar (For Population More than 10000)</t>
  </si>
  <si>
    <t>Shop No. 04, Madhuvan Complex, Gopnath Road, Talaja, Dist. Bhavnagar</t>
  </si>
  <si>
    <t>At. Mitiyala, Main Road, Near Bus Station, Tal. Jafrabad, Dist. Amreli - 365540</t>
  </si>
  <si>
    <t>FF-14-B, Pramukh Darshan Complex, Hadanagar Na Nake, Bhavnagar</t>
  </si>
  <si>
    <t>Construction of Gram Panchayat Office (Frame Structure) at Village Nicha Kotada, Ta. Mahuva, Dist. Bhavnagar (For Population 5000 to 10000)</t>
  </si>
  <si>
    <t>At Mitiyala, Tal. Jafrabad, Dist. Amreli - 365540</t>
  </si>
  <si>
    <t>Shop No. 44, Madhav Complex, Shastrinagar, Bhavnagar</t>
  </si>
  <si>
    <t>At. Nana Rajkot, Tal. Lathi, Dist. Amreli</t>
  </si>
  <si>
    <t>At Maidhar, Tal. Palitana, Dist. Bhavnagar - 364260</t>
  </si>
  <si>
    <t>Shop No. 4, Utsav Flat, Near Jewels Circle, Bhavnagar</t>
  </si>
  <si>
    <t>Ramnagar, Budhel, Dist. Bhavnagar</t>
  </si>
  <si>
    <t>Swaminarayan Temple, Ward No. 1, 658/1, Bherai Road, Rajula, Distt. Amreli - 365560</t>
  </si>
  <si>
    <t>Construction of Gram Panchayat Office (Frame Structure) at Village Sartanpar, Ta. Talaja, Dist. Bhavnagar</t>
  </si>
  <si>
    <t>Construction of Gram Panchayat office (Frame structure) at Village Tarsara, Tal. Talaja Dist. Bhavnagar</t>
  </si>
  <si>
    <t>Construction of Gram Panchayat Office (Frame Structure) at Village Jaliya (Amraji), Ta. Palitana, Dist. Bhavnagar</t>
  </si>
  <si>
    <t>RPMS Entry Done?</t>
  </si>
  <si>
    <t>No Package</t>
  </si>
  <si>
    <t>Not Required</t>
  </si>
  <si>
    <t>Partial</t>
  </si>
  <si>
    <t>Construction of Roads of Bhavnagar District Package No.RPC-2/BVN/Normal/2024-25/P.01 Ta. Shihor , Dist.; Bhavnagar</t>
  </si>
  <si>
    <t>101GT02253220002</t>
  </si>
  <si>
    <t>101GT02260080002</t>
  </si>
  <si>
    <t>Cancelled</t>
  </si>
  <si>
    <t>Remaining work Construction of Gram Panchayat office building (Frame structure) At Village Pansada Dist. Bhavnagar (Under CDP-2017-18)</t>
  </si>
  <si>
    <t xml:space="preserve">201/02, Leela Beside Iscon Mega City, Jewels Road, Opp. Victoria Park, Bhavnagar- 364001                           </t>
  </si>
  <si>
    <t>RBD/TRF/e-file/16/2025/6195/Section D1</t>
  </si>
  <si>
    <t>SHREEJI DEVCON (INDIA) PVT. LTD.</t>
  </si>
  <si>
    <t xml:space="preserve">F-22, Neptune Tower, Opp.                                                        Jalaram Petrol Pump, Kalawad                                  Road, Rajkot - 360005
</t>
  </si>
  <si>
    <t>RBD/TRF/e-file/16/2025/6875/Section D1</t>
  </si>
  <si>
    <t>29/11/225</t>
  </si>
  <si>
    <t>Widening &amp; Strengthening of Sathara to Unchakotda Road (MDR) Km.0/00-17/900 Ta. Mahuva Dist. Bhavnagar (Under MMGSY Yojna (Normal) Year 2024-25)</t>
  </si>
  <si>
    <t>HDFC BANK</t>
  </si>
  <si>
    <t>50301269732200</t>
  </si>
  <si>
    <t>50301269734080</t>
  </si>
  <si>
    <t>0348IGP004695225</t>
  </si>
  <si>
    <t>0348IGP004693025</t>
  </si>
  <si>
    <t>Everest Buildcare Private Limited</t>
  </si>
  <si>
    <t>404, Amazing Star, Opp. Vishvamitri Society, Mahavir Chowk, Chikuwadi, Varachha Road, Surat-395006</t>
  </si>
  <si>
    <t>067GT02253500009</t>
  </si>
  <si>
    <t>067GT02253500010</t>
  </si>
  <si>
    <t>22670300000167</t>
  </si>
  <si>
    <t>22670300000168</t>
  </si>
  <si>
    <t>22670300000171</t>
  </si>
  <si>
    <t>22670300000172</t>
  </si>
  <si>
    <t>22670300000169</t>
  </si>
  <si>
    <t>22670300000166</t>
  </si>
  <si>
    <t>44676070565</t>
  </si>
  <si>
    <t>44676070567</t>
  </si>
  <si>
    <t>44676070566</t>
  </si>
  <si>
    <t>44776218565</t>
  </si>
  <si>
    <t>44776138665</t>
  </si>
  <si>
    <t>321256110001355</t>
  </si>
  <si>
    <t>DDO Grant</t>
  </si>
  <si>
    <t>37970300004829</t>
  </si>
  <si>
    <t>37970300004841</t>
  </si>
  <si>
    <t>37970300004830</t>
  </si>
  <si>
    <t>37970300004842</t>
  </si>
  <si>
    <t>22670300000173</t>
  </si>
  <si>
    <t>22670300000170</t>
  </si>
  <si>
    <t>50301276789369</t>
  </si>
  <si>
    <t>50301276714471</t>
  </si>
  <si>
    <t>Construction of Bhatikada to Kadi Vistar Road Km. 0/000 to 3/500, Ta. Mahuva Dist. Bhavnagar</t>
  </si>
  <si>
    <t>Construction of Primary Clinic Animal Husbandary Taluka Mahuva, Dist. Bhavnagar</t>
  </si>
  <si>
    <t>Construction of Primary Clinic Animal Husbandary Taluka Vallabhipur, Dist. Bhavnagar</t>
  </si>
  <si>
    <t>Construction of Primary Clinic Animal Husbandary at Sanosara, Ta. Shihor, Dist. Bhavnagar</t>
  </si>
  <si>
    <t>Cancelled due to above rate</t>
  </si>
  <si>
    <t>Construction of Virpur Shevadivadar Road Km. 0/000 to 2/500, Ta. Mahuva Dist. Bhavnagar</t>
  </si>
  <si>
    <t>Distrcit</t>
  </si>
  <si>
    <t>Conctruction Work of New Cross Drainage, Repairing Cross Drainage, Structure and Bridge Repair work and other Misc. work various roads as and when required or in emergency under bhavnagar district (Panchayat) (Annual Rate)</t>
  </si>
  <si>
    <t>AMAR CONSTRUCTION CO.</t>
  </si>
  <si>
    <t>Animal Husbandary</t>
  </si>
  <si>
    <t>GRVISH INFRASTRUCTURE</t>
  </si>
  <si>
    <t>SQUARE CONSTRUCTION</t>
  </si>
  <si>
    <t>Construction of Gram Panchayat Office (Frame Structure) at Village Sartanpar, Ta.Talaja, Dist. Bhavnagar (For Population More than 10000)</t>
  </si>
  <si>
    <t>BHAVIK CONSTRUCTION AND MATERIALS SUPPLIER</t>
  </si>
  <si>
    <t>Construction of Gram Panchayat office (Frame structure) at Village Padari, Tal. Talaja Dist. Bhavnagar</t>
  </si>
  <si>
    <t>RAMESH BHIMABHAI SURANI</t>
  </si>
  <si>
    <t>Construction of Gram Panchayat office (Frame structure) at Village Tarasra, Tal. Talaja Dist. Bhavnagar</t>
  </si>
  <si>
    <t>Construction of Gram Panchayat office (Frame structure) at Village Jaliya (Amraji) Ta. Palitana Dist. Bhavnagar</t>
  </si>
  <si>
    <t>KRUSHNADEVSINH S SARVAIYA</t>
  </si>
  <si>
    <t>Construction of Gram Panchayat office (Frame structure) at Village Zadakala Ta. Jesar Dist. Bhavnagar</t>
  </si>
  <si>
    <t>Construction of Community Hall near Chamunda Mata Temple at Village Navagam Ta. Ghogha Dist. Bhavnagar</t>
  </si>
  <si>
    <t>Construction of New Clinic Animal Husbandary at Juna Ratanpar, Ta. Vallabhipur, Dist. Bhavnagar</t>
  </si>
  <si>
    <t>411, Silver Stone Arcade, Near Kanthariya Hanuman Temple, Singanpor Causeway Road, Katargam, Surat - 395004</t>
  </si>
  <si>
    <t>RPC-2/Tender/Bhavnagar/429</t>
  </si>
  <si>
    <t>RPC-2/Tender/Bhavnagar/428</t>
  </si>
  <si>
    <t>Construction of Gram Panchayat office (Frame structure) at Village Hamirpara, Tal. Talaja Dist. Bhavnagar</t>
  </si>
  <si>
    <t>33/A, First Floor, Nutan Shopping Center, Jilla Panchayat Road, Amreli - 365601</t>
  </si>
  <si>
    <t>SR to Jaspara Khadarpar Paniyali Road (ODR) (Sec. I Km. 1/500-4/240) Km. 0/000-4/240 Ta. Talaja, Dist. Bhavnagar</t>
  </si>
  <si>
    <t>KCC SOSIYA PRIVATE LIMITED</t>
  </si>
  <si>
    <t>RPC-2/Tender/Bhavnagar/427</t>
  </si>
  <si>
    <t>Construction of Virpur Shevadivadar Road (NP) Km. 0/000 to 2/500, Ta. Mahuva Dist. Bhavnagar</t>
  </si>
  <si>
    <t>SHIVAM BUILDERS</t>
  </si>
  <si>
    <t>Vaniya Sheri, At. Village Trapaj, Ta. Talaja, Dist. Bhavnagar</t>
  </si>
  <si>
    <t>RPC-2/Tender/Bhavnagar/426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</si>
</sst>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dd\/mm\/yyyy"/>
    <numFmt numFmtId="165" formatCode="[$-14009]dd/mm/yyyy;@"/>
    <numFmt numFmtId="166" formatCode="000000000000"/>
  </numFmts>
  <fonts count="6" x14ac:knownFonts="1">
    <font>
      <sz val="11"/>
      <color theme="1"/>
      <name val="Calibri"/>
      <family val="2"/>
      <scheme val="minor"/>
    </font>
    <font>
      <sz val="11"/>
      <name val="Calibri"/>
      <family val="2"/>
      <scheme val="minor"/>
    </font>
    <font>
      <sz val="10"/>
      <color theme="1"/>
      <name val="Shruti"/>
      <family val="2"/>
    </font>
    <font>
      <b/>
      <sz val="14"/>
      <color theme="1"/>
      <name val="Calibri"/>
      <family val="2"/>
      <scheme val="minor"/>
    </font>
    <font>
      <sz val="12"/>
      <color theme="1"/>
      <name val="Calibri"/>
      <family val="2"/>
      <scheme val="minor"/>
    </font>
    <font>
      <sz val="14"/>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61">
    <xf numFmtId="0" fontId="0" fillId="0" borderId="0" xfId="0"/>
    <xf numFmtId="0" fontId="1" fillId="0" borderId="1" xfId="0" applyFont="1" applyBorder="1" applyAlignment="1">
      <alignment horizontal="center" vertical="center" wrapText="1"/>
    </xf>
    <xf numFmtId="0" fontId="1" fillId="0" borderId="0" xfId="0" applyFont="1"/>
    <xf numFmtId="0" fontId="1" fillId="0" borderId="0" xfId="0" applyFont="1" applyAlignment="1">
      <alignment horizontal="left"/>
    </xf>
    <xf numFmtId="0" fontId="1" fillId="0" borderId="0" xfId="0" applyFont="1" applyAlignment="1">
      <alignment horizontal="right"/>
    </xf>
    <xf numFmtId="0" fontId="1" fillId="0" borderId="1" xfId="0" applyFont="1" applyBorder="1" applyAlignment="1">
      <alignment horizontal="center" vertical="top" wrapText="1"/>
    </xf>
    <xf numFmtId="0" fontId="1" fillId="0" borderId="1" xfId="0" applyFont="1" applyBorder="1" applyAlignment="1">
      <alignment vertical="top" wrapText="1"/>
    </xf>
    <xf numFmtId="164" fontId="1" fillId="0" borderId="1" xfId="0" applyNumberFormat="1" applyFont="1" applyBorder="1" applyAlignment="1">
      <alignment horizontal="center" vertical="top" wrapText="1"/>
    </xf>
    <xf numFmtId="0" fontId="1" fillId="0" borderId="1" xfId="0" applyFont="1" applyBorder="1" applyAlignment="1">
      <alignment horizontal="left" vertical="top" wrapText="1"/>
    </xf>
    <xf numFmtId="4" fontId="1" fillId="0" borderId="1" xfId="0" applyNumberFormat="1" applyFont="1" applyBorder="1" applyAlignment="1">
      <alignment horizontal="right" vertical="top" wrapText="1"/>
    </xf>
    <xf numFmtId="2" fontId="1" fillId="0" borderId="1" xfId="0" applyNumberFormat="1" applyFont="1" applyBorder="1" applyAlignment="1">
      <alignment horizontal="center" vertical="top" wrapText="1"/>
    </xf>
    <xf numFmtId="2" fontId="1" fillId="0" borderId="1" xfId="0" applyNumberFormat="1" applyFont="1" applyBorder="1" applyAlignment="1">
      <alignment horizontal="left" vertical="top" wrapText="1"/>
    </xf>
    <xf numFmtId="3" fontId="1" fillId="0" borderId="1" xfId="0" applyNumberFormat="1" applyFont="1" applyBorder="1" applyAlignment="1">
      <alignment horizontal="right" vertical="top" wrapText="1"/>
    </xf>
    <xf numFmtId="0" fontId="1" fillId="0" borderId="1" xfId="0" applyFont="1" applyBorder="1" applyAlignment="1">
      <alignment horizontal="right" vertical="top" wrapText="1"/>
    </xf>
    <xf numFmtId="14" fontId="1" fillId="0" borderId="1" xfId="0" applyNumberFormat="1" applyFont="1" applyBorder="1" applyAlignment="1">
      <alignment horizontal="center" vertical="top" wrapText="1"/>
    </xf>
    <xf numFmtId="164" fontId="1" fillId="0" borderId="1" xfId="0" applyNumberFormat="1" applyFont="1" applyBorder="1" applyAlignment="1">
      <alignment horizontal="right" vertical="top" wrapText="1"/>
    </xf>
    <xf numFmtId="1" fontId="1" fillId="0" borderId="1" xfId="0" applyNumberFormat="1" applyFont="1" applyBorder="1" applyAlignment="1">
      <alignment horizontal="center" vertical="top" wrapText="1"/>
    </xf>
    <xf numFmtId="0" fontId="1" fillId="0" borderId="1" xfId="0" applyFont="1" applyBorder="1" applyAlignment="1">
      <alignment horizontal="center" vertical="top"/>
    </xf>
    <xf numFmtId="0" fontId="1" fillId="0" borderId="1" xfId="0" applyFont="1" applyBorder="1"/>
    <xf numFmtId="165" fontId="1" fillId="0" borderId="1" xfId="0" applyNumberFormat="1" applyFont="1" applyBorder="1" applyAlignment="1">
      <alignment horizontal="center" vertical="top" wrapText="1"/>
    </xf>
    <xf numFmtId="14" fontId="1" fillId="0" borderId="1" xfId="0" applyNumberFormat="1" applyFont="1" applyBorder="1" applyAlignment="1">
      <alignment horizontal="left" vertical="top" wrapText="1"/>
    </xf>
    <xf numFmtId="0" fontId="2" fillId="0" borderId="1" xfId="0" applyFont="1" applyBorder="1"/>
    <xf numFmtId="0" fontId="0" fillId="0" borderId="0" xfId="0" applyAlignment="1">
      <alignment horizontal="center" vertical="center"/>
    </xf>
    <xf numFmtId="0" fontId="1" fillId="0" borderId="0" xfId="0" applyFont="1" applyAlignment="1">
      <alignment horizontal="center"/>
    </xf>
    <xf numFmtId="0" fontId="4" fillId="0" borderId="1" xfId="0" applyFont="1" applyBorder="1" applyAlignment="1">
      <alignment horizontal="center" vertical="center"/>
    </xf>
    <xf numFmtId="0" fontId="4" fillId="0" borderId="0" xfId="0" applyFont="1"/>
    <xf numFmtId="0" fontId="5" fillId="0" borderId="1" xfId="0" pivotButton="1" applyFont="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Alignment="1">
      <alignment wrapText="1"/>
    </xf>
    <xf numFmtId="0" fontId="3" fillId="0" borderId="0" xfId="0" applyFont="1" applyAlignment="1">
      <alignment horizontal="center" vertical="center" wrapText="1"/>
    </xf>
    <xf numFmtId="0" fontId="0" fillId="0" borderId="0" xfId="0" pivotButton="1"/>
    <xf numFmtId="0" fontId="0" fillId="0" borderId="0" xfId="0" applyAlignment="1">
      <alignment horizontal="left"/>
    </xf>
    <xf numFmtId="43" fontId="1" fillId="0" borderId="1" xfId="0" applyNumberFormat="1" applyFont="1" applyBorder="1" applyAlignment="1">
      <alignment horizontal="left" vertical="top" wrapText="1"/>
    </xf>
    <xf numFmtId="4" fontId="1" fillId="0" borderId="1" xfId="0" applyNumberFormat="1" applyFont="1" applyBorder="1" applyAlignment="1">
      <alignment horizontal="center" vertical="top" wrapText="1"/>
    </xf>
    <xf numFmtId="0" fontId="0" fillId="0" borderId="1" xfId="0" applyBorder="1" applyAlignment="1">
      <alignment horizontal="center" vertical="center"/>
    </xf>
    <xf numFmtId="165" fontId="1" fillId="0" borderId="1" xfId="0" applyNumberFormat="1" applyFont="1" applyBorder="1" applyAlignment="1">
      <alignment horizontal="center" vertical="top"/>
    </xf>
    <xf numFmtId="0" fontId="1" fillId="0" borderId="0" xfId="0" applyFont="1" applyAlignment="1">
      <alignment horizontal="center" vertical="top"/>
    </xf>
    <xf numFmtId="14" fontId="1" fillId="0" borderId="1" xfId="0" applyNumberFormat="1" applyFont="1" applyBorder="1" applyAlignment="1">
      <alignment horizontal="center" vertical="top"/>
    </xf>
    <xf numFmtId="0" fontId="1" fillId="0" borderId="0" xfId="0" applyFont="1" applyAlignment="1">
      <alignment horizontal="center"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center" vertical="top" wrapText="1"/>
    </xf>
    <xf numFmtId="0" fontId="0" fillId="0" borderId="1" xfId="0" applyBorder="1" applyAlignment="1">
      <alignment horizontal="left" vertical="top" wrapText="1"/>
    </xf>
    <xf numFmtId="0" fontId="0" fillId="0" borderId="1" xfId="0" applyBorder="1" applyAlignment="1">
      <alignment horizontal="center" vertical="top" wrapText="1"/>
    </xf>
    <xf numFmtId="166" fontId="1" fillId="0" borderId="1" xfId="0" applyNumberFormat="1" applyFont="1" applyBorder="1" applyAlignment="1">
      <alignment horizontal="right" vertical="top" wrapText="1"/>
    </xf>
    <xf numFmtId="49" fontId="1" fillId="0" borderId="1" xfId="0" applyNumberFormat="1" applyFont="1" applyBorder="1" applyAlignment="1">
      <alignment horizontal="right" vertical="top" wrapText="1"/>
    </xf>
    <xf numFmtId="0" fontId="1" fillId="2" borderId="1" xfId="0" applyFont="1" applyFill="1" applyBorder="1" applyAlignment="1">
      <alignment horizontal="left" vertical="top" wrapText="1"/>
    </xf>
    <xf numFmtId="0" fontId="3" fillId="3" borderId="1" xfId="0" applyFont="1" applyFill="1" applyBorder="1" applyAlignment="1">
      <alignment horizontal="center" vertical="center" wrapText="1"/>
    </xf>
    <xf numFmtId="0" fontId="1" fillId="0" borderId="2" xfId="0" applyFont="1" applyBorder="1" applyAlignment="1">
      <alignment horizontal="center" vertical="top" wrapText="1"/>
    </xf>
    <xf numFmtId="0" fontId="1" fillId="0" borderId="3" xfId="0" applyFont="1" applyBorder="1" applyAlignment="1">
      <alignment horizontal="left" vertical="top" wrapText="1"/>
    </xf>
    <xf numFmtId="43" fontId="1" fillId="0" borderId="3" xfId="0" applyNumberFormat="1" applyFont="1" applyBorder="1" applyAlignment="1">
      <alignment horizontal="left" vertical="top" wrapText="1"/>
    </xf>
    <xf numFmtId="0" fontId="4" fillId="0" borderId="0" xfId="0" applyFont="1" applyAlignment="1">
      <alignment horizontal="center" vertical="center"/>
    </xf>
    <xf numFmtId="4" fontId="0" fillId="0" borderId="0" xfId="0" applyNumberFormat="1"/>
    <xf numFmtId="14" fontId="1" fillId="0" borderId="1" xfId="0" applyNumberFormat="1" applyFont="1" applyBorder="1"/>
    <xf numFmtId="0" fontId="1" fillId="0" borderId="4" xfId="0" applyFont="1" applyBorder="1" applyAlignment="1">
      <alignment horizontal="center" vertical="top" wrapText="1"/>
    </xf>
    <xf numFmtId="0" fontId="1" fillId="0" borderId="3" xfId="0" applyFont="1" applyBorder="1" applyAlignment="1">
      <alignment horizontal="center" vertical="top" wrapText="1"/>
    </xf>
    <xf numFmtId="17" fontId="1" fillId="0" borderId="3" xfId="0" applyNumberFormat="1" applyFont="1" applyBorder="1" applyAlignment="1">
      <alignment horizontal="center" vertical="top" wrapText="1"/>
    </xf>
    <xf numFmtId="17" fontId="1" fillId="0" borderId="1" xfId="0" applyNumberFormat="1" applyFont="1" applyBorder="1" applyAlignment="1">
      <alignment horizontal="center" vertical="top" wrapText="1"/>
    </xf>
    <xf numFmtId="17" fontId="1" fillId="0" borderId="4" xfId="0" applyNumberFormat="1" applyFont="1" applyBorder="1" applyAlignment="1">
      <alignment horizontal="center" vertical="top" wrapText="1"/>
    </xf>
    <xf numFmtId="14" fontId="0" fillId="0" borderId="1" xfId="0" applyNumberFormat="1" applyBorder="1" applyAlignment="1">
      <alignment vertical="top"/>
    </xf>
    <xf numFmtId="14" fontId="0" fillId="0" borderId="0" xfId="0" applyNumberFormat="1" applyAlignment="1">
      <alignment vertical="top"/>
    </xf>
  </cellXfs>
  <cellStyles count="1">
    <cellStyle name="Normal" xfId="0" builtinId="0"/>
  </cellStyles>
  <dxfs count="28">
    <dxf>
      <numFmt numFmtId="4" formatCode="#,##0.00"/>
    </dxf>
    <dxf>
      <numFmt numFmtId="4" formatCode="#,##0.00"/>
    </dxf>
    <dxf>
      <numFmt numFmtId="4" formatCode="#,##0.00"/>
    </dxf>
    <dxf>
      <font>
        <sz val="12"/>
      </font>
    </dxf>
    <dxf>
      <font>
        <sz val="12"/>
      </font>
    </dxf>
    <dxf>
      <font>
        <sz val="12"/>
      </font>
    </dxf>
    <dxf>
      <alignment wrapText="1"/>
    </dxf>
    <dxf>
      <alignment wrapText="1"/>
    </dxf>
    <dxf>
      <font>
        <sz val="14"/>
      </font>
    </dxf>
    <dxf>
      <font>
        <sz val="14"/>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ARAM" refreshedDate="45972.785703703703" createdVersion="8" refreshedVersion="8" minRefreshableVersion="3" recordCount="393" xr:uid="{30CA66B7-2A5B-4673-BCB2-1C20B6E7C44F}">
  <cacheSource type="worksheet">
    <worksheetSource ref="A1:BN1224" sheet="Tender"/>
  </cacheSource>
  <cacheFields count="64">
    <cacheField name="Sr. No." numFmtId="0">
      <sharedItems containsString="0" containsBlank="1" containsNumber="1" containsInteger="1" minValue="1" maxValue="392"/>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17" count="18">
        <n v="1"/>
        <n v="2"/>
        <n v="3"/>
        <n v="4"/>
        <n v="5"/>
        <n v="6"/>
        <n v="7"/>
        <n v="8"/>
        <n v="9"/>
        <n v="10"/>
        <n v="11"/>
        <n v="12"/>
        <n v="13"/>
        <n v="14"/>
        <n v="15"/>
        <n v="16"/>
        <n v="17"/>
        <m/>
      </sharedItems>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21660"/>
    </cacheField>
    <cacheField name="Trial No." numFmtId="0">
      <sharedItems containsString="0" containsBlank="1" containsNumber="1" containsInteger="1" minValue="1" maxValue="11"/>
    </cacheField>
    <cacheField name="Tender Creation Date Date" numFmtId="164">
      <sharedItems containsNonDate="0" containsDate="1" containsString="0" containsBlank="1" minDate="2025-04-03T00:00:00" maxDate="2025-09-04T00:00:00"/>
    </cacheField>
    <cacheField name="Last Date of Submission" numFmtId="164">
      <sharedItems containsNonDate="0" containsDate="1" containsString="0" containsBlank="1" minDate="2025-04-15T00:00:00" maxDate="2025-09-16T00:00:00"/>
    </cacheField>
    <cacheField name="Tender Opening Date" numFmtId="164">
      <sharedItems containsNonDate="0" containsDate="1" containsString="0" containsBlank="1" minDate="2025-04-16T00:00:00" maxDate="2025-09-17T00:00:00"/>
    </cacheField>
    <cacheField name="Tender Validity Period" numFmtId="0">
      <sharedItems containsNonDate="0" containsDate="1" containsString="0" containsBlank="1" minDate="1900-04-29T00:00:00" maxDate="2026-01-14T00:00:00"/>
    </cacheField>
    <cacheField name="Estimated Amount" numFmtId="4">
      <sharedItems containsString="0" containsBlank="1" containsNumber="1" minValue="202031.85" maxValue="419152057.25"/>
    </cacheField>
    <cacheField name="Re-Invite?" numFmtId="0">
      <sharedItems containsBlank="1"/>
    </cacheField>
    <cacheField name="Contract Price" numFmtId="4">
      <sharedItems containsString="0" containsBlank="1" containsNumber="1" minValue="183101.47"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09-25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0-15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521"/>
    </cacheField>
    <cacheField name="Tender Acceptance Letter Date" numFmtId="0">
      <sharedItems containsNonDate="0" containsDate="1" containsString="0" containsBlank="1" minDate="2025-05-20T00:00:00" maxDate="2025-11-12T00:00:00"/>
    </cacheField>
    <cacheField name="Agreement Year" numFmtId="0">
      <sharedItems containsBlank="1"/>
    </cacheField>
    <cacheField name="Agreement No." numFmtId="0">
      <sharedItems containsString="0" containsBlank="1" containsNumber="1" containsInteger="1" minValue="45" maxValue="202"/>
    </cacheField>
    <cacheField name="Agreement Date" numFmtId="0">
      <sharedItems containsNonDate="0" containsDate="1" containsString="0" containsBlank="1" minDate="2025-07-14T00:00:00" maxDate="2025-11-11T00:00:00"/>
    </cacheField>
    <cacheField name="Security Deposit Type (BG/ FDR)" numFmtId="0">
      <sharedItems containsBlank="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24000" maxValue="1943000"/>
    </cacheField>
    <cacheField name="Security Deposit BG/ FDR Date" numFmtId="0">
      <sharedItems containsNonDate="0" containsDate="1" containsString="0" containsBlank="1" minDate="2025-06-16T00:00:00" maxDate="2025-10-30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String="0" containsBlank="1" containsNumber="1" containsInteger="1" minValue="1000" maxValue="937000"/>
    </cacheField>
    <cacheField name="Additional Performance Security BG/FDR Date" numFmtId="0">
      <sharedItems containsNonDate="0" containsDate="1" containsString="0" containsBlank="1" minDate="2025-06-23T00:00:00" maxDate="2025-10-30T00:00:00"/>
    </cacheField>
    <cacheField name="Time Limit Starts From Date" numFmtId="0">
      <sharedItems containsNonDate="0" containsDate="1" containsString="0" containsBlank="1" minDate="2024-08-25T00:00:00" maxDate="2025-12-02T00:00:00"/>
    </cacheField>
    <cacheField name="Work Order Worksheet No." numFmtId="0">
      <sharedItems containsString="0" containsBlank="1" containsNumber="1" containsInteger="1" minValue="949" maxValue="1510"/>
    </cacheField>
    <cacheField name="Work Order  Date" numFmtId="0">
      <sharedItems containsNonDate="0" containsDate="1" containsString="0" containsBlank="1" minDate="2025-07-14T00:00:00" maxDate="2025-11-11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ARAM" refreshedDate="45976.750305671296" createdVersion="8" refreshedVersion="8" minRefreshableVersion="3" recordCount="393" xr:uid="{7878E1A4-8D4E-4F77-8489-E007E7D9E850}">
  <cacheSource type="worksheet">
    <worksheetSource ref="A1:BQ882" sheet="Tender"/>
  </cacheSource>
  <cacheFields count="67">
    <cacheField name="Sr. No." numFmtId="0">
      <sharedItems containsString="0" containsBlank="1" containsNumber="1" containsInteger="1" minValue="1" maxValue="392"/>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17"/>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21660"/>
    </cacheField>
    <cacheField name="Trial No." numFmtId="0">
      <sharedItems containsString="0" containsBlank="1" containsNumber="1" containsInteger="1" minValue="1" maxValue="11"/>
    </cacheField>
    <cacheField name="Tender Creation Date Date" numFmtId="164">
      <sharedItems containsNonDate="0" containsDate="1" containsString="0" containsBlank="1" minDate="2025-04-03T00:00:00" maxDate="2025-09-04T00:00:00"/>
    </cacheField>
    <cacheField name="Last Date of Submission" numFmtId="164">
      <sharedItems containsNonDate="0" containsDate="1" containsString="0" containsBlank="1" minDate="2025-04-15T00:00:00" maxDate="2025-09-16T00:00:00"/>
    </cacheField>
    <cacheField name="Tender Opening Date" numFmtId="164">
      <sharedItems containsNonDate="0" containsDate="1" containsString="0" containsBlank="1" minDate="2025-04-16T00:00:00" maxDate="2025-09-17T00:00:00"/>
    </cacheField>
    <cacheField name="Tender Validity Period" numFmtId="0">
      <sharedItems containsNonDate="0" containsDate="1" containsString="0" containsBlank="1" minDate="1900-04-29T00:00:00" maxDate="2026-01-14T00:00:00"/>
    </cacheField>
    <cacheField name="Estimated Amount" numFmtId="4">
      <sharedItems containsString="0" containsBlank="1" containsNumber="1" minValue="202031.85" maxValue="419152057.25"/>
    </cacheField>
    <cacheField name="Re-Invite?" numFmtId="0">
      <sharedItems containsBlank="1"/>
    </cacheField>
    <cacheField name="Contract Price" numFmtId="4">
      <sharedItems containsString="0" containsBlank="1" containsNumber="1" minValue="183101.47"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ount="81">
        <s v="KRISHNA CONSTRUCTION"/>
        <s v="OM CONSTRUCTION CO."/>
        <s v="VIJAYBHAI MOHANBHAI SINDHAV"/>
        <m/>
        <s v="VCPROJECT &amp; INFRA PVT. LTD."/>
        <s v="SHIV DHARA ENTERPRISE"/>
        <s v="C M VAGHELA"/>
        <s v="V M SOJITRA"/>
        <s v="BHAVANI CONSTRUCTION COMPANY"/>
        <s v="ASHAPURA CONSTRUCTION"/>
        <s v="Universal associates"/>
        <s v="SAMIR H SAIYAD"/>
        <s v="VASHRAMBHAI BIJALBHAI AND CO"/>
        <s v="CHAUHAN LALJIBHAI ARJANBHAI"/>
        <s v="JAY KANDHAL CONSTRUCTION"/>
        <s v="JAY PAVER BLOCK"/>
        <s v="SHIV CONTRUCTION"/>
        <s v="UDAYBHAI R. LUNSAR"/>
        <s v="SANDIP DINESHBHAI VANZARA"/>
        <s v="ASHOKBHAI PARSHOTAMBHAI_x000a_BARAIYA"/>
        <s v="MAYANKKUMAR JAYANTIBHAI GODHANI"/>
        <s v="DEV CONSTRUCTION"/>
        <s v="Shri Siddhi Vinayak Construction"/>
        <s v="BABUBHAI HAKABHAI GOHIL"/>
        <s v="Aarti Construction"/>
        <s v="GOHIL NARENDRASINH P"/>
        <s v="VANDEMATARAM CONSTRUCTION"/>
        <s v="BALAJI CONSTRUCTION"/>
        <s v="SARVAIYA RAJENDRASINH BAHADURSINH"/>
        <s v="CUBE INFA PROJECTS"/>
        <s v="S D KHUMAN"/>
        <s v="HARBHOLE BUILDERS &amp;_x000a_CONSTRUCTION"/>
        <s v="SURYADEEP SUPPLIERS"/>
        <s v="PARTH K MEHTA"/>
        <s v="MOGAL CONSTRUCTION, Gir Somnath"/>
        <s v="RUDRA CONSTRUCTION"/>
        <s v="JAY DANEV CONSTRUCTION"/>
        <s v="JAY PUNJESHWAR CONSTRUCTION"/>
        <s v="Jaysukhbhai Dhirubhai Sardhara"/>
        <s v="GANESH BUILDERS"/>
        <s v="SOMNATH ENTERPRISE"/>
        <s v="KEVAL BUDHESHBHAI BHAYANI"/>
        <s v="HEER CONSTRUCTION"/>
        <s v="HRUTURAJSINH JESUBHA GOHIL"/>
        <s v="VARAHI CONSTRUCTION"/>
        <s v="MESHWA DEVELOPERS"/>
        <s v="Parishram Construction"/>
        <s v="EAGLE CONSTRUCTION"/>
        <s v="kalubhai bholabhai ladumor"/>
        <s v="Vivek Construction"/>
        <s v="KAIRAV CONSTRUCTION"/>
        <s v="GOPNATHJI CONSTRUCTIONS PRIVATE LIMITED"/>
        <s v="R J BHAMMAR CONSTRUCTION"/>
        <s v="SADGURU CONSTRUCTION"/>
        <s v="TULSI CEMENT PRODUCTS"/>
        <s v="HARPALSINH AMARSINH SARVAIYA"/>
        <s v="R M Dasa Infrastructure Pvt. Ltd."/>
        <s v="SITARAM CONSTRUCTION"/>
        <s v="PRUTHVI CORPORATION"/>
        <s v="Suraj Corporation"/>
        <s v="MAHI INFRASTRUCTURE"/>
        <s v="HARI OM CONSTRUCTION CO."/>
        <s v="JAYDEEP CONSTRUCTION CO"/>
        <s v="SHIVAM CONSTRUCTION"/>
        <s v="SHREEJI STONE INDUSTRIES"/>
        <s v="RUDRA CONSTRUCTION COMPANY"/>
        <s v="Harekrishna Construction"/>
        <s v="Bhupatbhai B. Baraiya"/>
        <s v="RAJABHAI NAGJIBHAI ZALA "/>
        <s v="V M ENTERPRISE"/>
        <s v="C.M.CONSTRUCTION"/>
        <s v="SHIVGADH BUILDERS"/>
        <s v="RAJ SECURITY SERVICES"/>
        <s v="SHRI KRISHNA CONSTRUCTION"/>
        <s v="ANSH INFRASTRUCTURE"/>
        <s v="Shri Harikrishna Construction"/>
        <s v="SHRI SAINATH CONSTRUCTION_x000a_COMPANY"/>
        <s v="Sureshbhai R Chavda"/>
        <s v="SHREE GANGNATH_x000a_CONSTRUCTION"/>
        <s v="Om Construction Co" u="1"/>
        <s v="VC PROJECT &amp; INFRA PVT. LTD." u="1"/>
      </sharedItems>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09-25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0-15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529"/>
    </cacheField>
    <cacheField name="Tender Acceptance Letter Date" numFmtId="0">
      <sharedItems containsNonDate="0" containsDate="1" containsString="0" containsBlank="1" minDate="2025-05-20T00:00:00" maxDate="2025-11-14T00:00:00"/>
    </cacheField>
    <cacheField name="Agreement Year" numFmtId="0">
      <sharedItems containsBlank="1"/>
    </cacheField>
    <cacheField name="Agreement No." numFmtId="0">
      <sharedItems containsString="0" containsBlank="1" containsNumber="1" containsInteger="1" minValue="45" maxValue="211"/>
    </cacheField>
    <cacheField name="Agreement Date" numFmtId="0">
      <sharedItems containsNonDate="0" containsDate="1" containsString="0" containsBlank="1" minDate="2025-07-14T00:00:00" maxDate="2025-11-14T00:00:00"/>
    </cacheField>
    <cacheField name="Security Deposit Type (BG/ FDR)" numFmtId="0">
      <sharedItems containsBlank="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24000" maxValue="1943000"/>
    </cacheField>
    <cacheField name="Security Deposit BG/ FDR Date" numFmtId="0">
      <sharedItems containsNonDate="0" containsDate="1" containsString="0" containsBlank="1" minDate="2025-06-16T00:00:00" maxDate="2025-11-04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String="0" containsBlank="1" containsNumber="1" containsInteger="1" minValue="1000" maxValue="937000"/>
    </cacheField>
    <cacheField name="Additional Performance Security BG/FDR Date" numFmtId="0">
      <sharedItems containsNonDate="0" containsDate="1" containsString="0" containsBlank="1" minDate="2025-06-23T00:00:00" maxDate="2025-11-04T00:00:00"/>
    </cacheField>
    <cacheField name="Time Limit Starts From Date" numFmtId="0">
      <sharedItems containsNonDate="0" containsDate="1" containsString="0" containsBlank="1" minDate="2024-08-25T00:00:00" maxDate="2025-12-02T00:00:00"/>
    </cacheField>
    <cacheField name="Work Order Worksheet No." numFmtId="0">
      <sharedItems containsString="0" containsBlank="1" containsNumber="1" containsInteger="1" minValue="949" maxValue="1539"/>
    </cacheField>
    <cacheField name="Work Order  Date" numFmtId="0">
      <sharedItems containsNonDate="0" containsDate="1" containsString="0" containsBlank="1" minDate="2025-07-14T00:00:00" maxDate="2025-11-14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 name="Notice 3 WS No" numFmtId="0">
      <sharedItems containsNonDate="0" containsString="0" containsBlank="1"/>
    </cacheField>
    <cacheField name="Notice 3 Date" numFmtId="0">
      <sharedItems containsNonDate="0" containsString="0" containsBlank="1"/>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ARAM" refreshedDate="45999.574175810187" createdVersion="8" refreshedVersion="8" minRefreshableVersion="3" recordCount="402" xr:uid="{34BFB1F6-D6E1-497A-8CCB-7D3907144922}">
  <cacheSource type="worksheet">
    <worksheetSource ref="A1:BQ1032" sheet="Tender"/>
  </cacheSource>
  <cacheFields count="67">
    <cacheField name="Sr. No." numFmtId="0">
      <sharedItems containsString="0" containsBlank="1" containsNumber="1" containsInteger="1" minValue="1" maxValue="401"/>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21"/>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ount="8">
        <s v="Vallabhipur"/>
        <s v="Mahuva"/>
        <s v="Bhavnagar"/>
        <s v="Palitana"/>
        <s v="Talaja"/>
        <s v="Shihor"/>
        <e v="#N/A"/>
        <m/>
      </sharedItems>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37000"/>
    </cacheField>
    <cacheField name="Trial No." numFmtId="0">
      <sharedItems containsString="0" containsBlank="1" containsNumber="1" containsInteger="1" minValue="1" maxValue="12"/>
    </cacheField>
    <cacheField name="Tender Creation Date Date" numFmtId="164">
      <sharedItems containsNonDate="0" containsDate="1" containsString="0" containsBlank="1" minDate="2025-04-03T00:00:00" maxDate="2025-10-19T00:00:00"/>
    </cacheField>
    <cacheField name="Last Date of Submission" numFmtId="164">
      <sharedItems containsNonDate="0" containsDate="1" containsString="0" containsBlank="1" minDate="2025-04-15T00:00:00" maxDate="2025-11-04T00:00:00"/>
    </cacheField>
    <cacheField name="Tender Opening Date" numFmtId="164">
      <sharedItems containsNonDate="0" containsDate="1" containsString="0" containsBlank="1" minDate="2025-04-16T00:00:00" maxDate="2025-11-05T00:00:00"/>
    </cacheField>
    <cacheField name="Tender Validity Period" numFmtId="0">
      <sharedItems containsNonDate="0" containsDate="1" containsString="0" containsBlank="1" minDate="1900-04-29T00:00:00" maxDate="2026-03-04T00:00:00"/>
    </cacheField>
    <cacheField name="Estimated Amount" numFmtId="4">
      <sharedItems containsString="0" containsBlank="1" containsNumber="1" minValue="0" maxValue="419152057.25"/>
    </cacheField>
    <cacheField name="Re-Invite?" numFmtId="0">
      <sharedItems containsBlank="1"/>
    </cacheField>
    <cacheField name="Contract Price" numFmtId="4">
      <sharedItems containsString="0" containsBlank="1" containsNumber="1" minValue="0"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11-14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1-26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668"/>
    </cacheField>
    <cacheField name="Tender Acceptance Letter Date" numFmtId="0">
      <sharedItems containsNonDate="0" containsDate="1" containsString="0" containsBlank="1" minDate="2025-05-20T00:00:00" maxDate="2025-11-27T00:00:00"/>
    </cacheField>
    <cacheField name="Agreement Year" numFmtId="0">
      <sharedItems containsBlank="1"/>
    </cacheField>
    <cacheField name="Agreement No." numFmtId="0">
      <sharedItems containsString="0" containsBlank="1" containsNumber="1" containsInteger="1" minValue="45" maxValue="221"/>
    </cacheField>
    <cacheField name="Agreement Date" numFmtId="0">
      <sharedItems containsNonDate="0" containsDate="1" containsString="0" containsBlank="1" minDate="2025-07-14T00:00:00" maxDate="2025-12-03T00:00:00"/>
    </cacheField>
    <cacheField name="Security Deposit Type (BG/ FDR)" numFmtId="0">
      <sharedItems containsBlank="1" longText="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10000" maxValue="1943000"/>
    </cacheField>
    <cacheField name="Security Deposit BG/ FDR Date" numFmtId="0">
      <sharedItems containsNonDate="0" containsDate="1" containsString="0" containsBlank="1" minDate="2025-06-16T00:00:00" maxDate="2025-11-28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Blank="1" containsMixedTypes="1" containsNumber="1" containsInteger="1" minValue="1000" maxValue="1246000"/>
    </cacheField>
    <cacheField name="Additional Performance Security BG/FDR Date" numFmtId="0">
      <sharedItems containsNonDate="0" containsDate="1" containsString="0" containsBlank="1" minDate="2025-06-23T00:00:00" maxDate="2025-11-04T00:00:00"/>
    </cacheField>
    <cacheField name="Time Limit Starts From Date" numFmtId="0">
      <sharedItems containsNonDate="0" containsDate="1" containsString="0" containsBlank="1" minDate="2024-08-25T00:00:00" maxDate="2026-01-02T00:00:00"/>
    </cacheField>
    <cacheField name="Work Order Worksheet No." numFmtId="0">
      <sharedItems containsString="0" containsBlank="1" containsNumber="1" containsInteger="1" minValue="949" maxValue="1593"/>
    </cacheField>
    <cacheField name="Work Order  Date" numFmtId="0">
      <sharedItems containsNonDate="0" containsDate="1" containsString="0" containsBlank="1" minDate="2025-07-14T00:00:00" maxDate="2025-12-03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 name="Notice 3 WS No" numFmtId="0">
      <sharedItems containsNonDate="0" containsString="0" containsBlank="1"/>
    </cacheField>
    <cacheField name="Notice 3 Date" numFmtId="0">
      <sharedItems containsNonDate="0" containsString="0" containsBlank="1"/>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3">
  <r>
    <n v="1"/>
    <s v=" "/>
    <s v="2025-26"/>
    <x v="0"/>
    <n v="1"/>
    <s v="Construction of Pati Chogath Road Km 0/0 to 2/100, Ta. Vallabhipur Dist. Bhavnagar"/>
    <m/>
    <s v="Vallabhipur"/>
    <s v="Vallabhipur"/>
    <s v="Road"/>
    <m/>
    <n v="172043"/>
    <n v="1"/>
    <d v="2025-04-03T00:00:00"/>
    <d v="2025-04-15T00:00:00"/>
    <d v="2025-04-16T00:00:00"/>
    <d v="2025-08-13T00:00:00"/>
    <n v="97007994.859999999"/>
    <m/>
    <n v="81486715.680000007"/>
    <n v="-16"/>
    <s v="Below"/>
    <s v="Eight Crore Fourteen Lakh Eighty Six Thousand Seven Hundred Fifteen Rupees and Sixty Eight Paise Only"/>
    <s v="Government"/>
    <m/>
    <n v="81486715.680000007"/>
    <s v="KRISHNA CONSTRUCTION"/>
    <s v="BHADRESHSINH BHAGWATSING GOHIL"/>
    <s v="A/8, AKSHARDEEP COMPLEX, OPP. DEEPAK MEMORIAL HALL, SANSKAR MANDAL, BHAVNAGAR-364002"/>
    <n v="9925209999"/>
    <d v="2025-06-13T00:00:00"/>
    <s v="BUJ 2024-25"/>
    <s v="Road and Building Department, Ganghinagar"/>
    <s v="RBD/TRF/e-file/16/2025/3843/Section D1"/>
    <d v="2025-07-02T00:00:00"/>
    <n v="12"/>
    <n v="4075000"/>
    <d v="2029-12-23T00:00:00"/>
    <n v="256800"/>
    <n v="1165000"/>
    <d v="2026-11-14T00:00:00"/>
    <d v="2029-10-24T00:00:00"/>
    <n v="1027"/>
    <d v="2025-07-25T00:00:00"/>
    <m/>
    <m/>
    <m/>
    <m/>
    <m/>
    <m/>
    <m/>
    <m/>
    <m/>
    <m/>
    <m/>
    <m/>
    <m/>
    <d v="2025-10-15T00:00:00"/>
    <m/>
    <m/>
    <m/>
    <m/>
    <m/>
    <m/>
  </r>
  <r>
    <n v="2"/>
    <m/>
    <s v="2025-26"/>
    <x v="0"/>
    <n v="2"/>
    <s v="Widening and Strengthening of Sathara to uncha Kotada road Km 0/0 to 17/900 Ta. Mahuva Dist. Bhavnagar"/>
    <m/>
    <s v="Mahuva"/>
    <s v="Mahuva"/>
    <s v="Road"/>
    <m/>
    <n v="172425"/>
    <n v="1"/>
    <d v="2025-04-03T00:00:00"/>
    <d v="2025-04-15T00:00:00"/>
    <d v="2025-04-16T00:00:00"/>
    <d v="2025-08-13T00:00:00"/>
    <n v="227072204.88999999"/>
    <s v="Yes"/>
    <n v="198665472.06"/>
    <n v="-12.51"/>
    <s v="Below"/>
    <s v="Nineteen Crore Eighty Six Lakh Sixty Five Thousand Four Hundred Seventy Two Rupees and Six Paise Only"/>
    <s v="Government"/>
    <m/>
    <n v="198665472.06"/>
    <s v="OM CONSTRUCTION CO."/>
    <s v="VANRAJSINH BOGHUBHA SARVAIYA"/>
    <s v="314, Third Floor, Surabhi Mall, Waghawadi Road, BHAVNAGAR-364001"/>
    <n v="9427511001"/>
    <d v="2025-06-09T00:00:00"/>
    <s v="5054 MMGSY NORMAL 2024-25"/>
    <m/>
    <m/>
    <s v="Rejected"/>
    <m/>
    <n v="9934000"/>
    <d v="1903-03-15T00:00:00"/>
    <n v="542700"/>
    <n v="1140000"/>
    <d v="1900-02-03T00:00:00"/>
    <d v="1903-01-14T00:00:00"/>
    <m/>
    <m/>
    <m/>
    <m/>
    <m/>
    <m/>
    <m/>
    <m/>
    <m/>
    <m/>
    <m/>
    <m/>
    <m/>
    <m/>
    <m/>
    <m/>
    <m/>
    <m/>
    <m/>
    <m/>
    <m/>
    <m/>
  </r>
  <r>
    <n v="3"/>
    <m/>
    <s v="2025-26"/>
    <x v="0"/>
    <n v="3"/>
    <s v="Resurfacing to Roads of Bhavnagar District Package No. RPC-2/BVN/MMGSY/Normal/2024-25/P.10 Taluka and Dist. Bhavnagar"/>
    <s v="(1) Chamaradi Paliyad Road_x000a_(2) Mithapur Approach Road"/>
    <s v="Bhavnagar"/>
    <s v="Bhavnagar"/>
    <s v="Road"/>
    <m/>
    <n v="171465"/>
    <n v="2"/>
    <d v="2025-04-03T00:00:00"/>
    <d v="2025-04-15T00:00:00"/>
    <d v="2025-04-16T00:00:00"/>
    <d v="2025-08-13T00:00:00"/>
    <n v="24276082.690000001"/>
    <m/>
    <n v="25004365.170000002"/>
    <n v="3"/>
    <s v="Above"/>
    <s v="Two Crore Fifty Lakh Four Thousand Three Hundred Sixty Five Rupees and Seventeen Paise Only"/>
    <s v="Government"/>
    <m/>
    <n v="25004365.170000002"/>
    <s v="KRISHNA CONSTRUCTION"/>
    <s v="BHADRESHSINH BHAGWATSING GOHIL"/>
    <s v="A/8, AKSHARDEEP COMPLEX, OPP. DEEPAK MEMORIAL HALL, SANSKAR MANDAL, BHAVNAGAR-364002"/>
    <n v="9925209999"/>
    <d v="2025-04-30T00:00:00"/>
    <s v="3054 MMGSY NORMAL 2024-25"/>
    <s v="Road and Building Department, Ganghinagar"/>
    <s v="RBD/TRF/e-file/16/2025/2865/Section D1"/>
    <d v="2025-05-21T00:00:00"/>
    <n v="9"/>
    <n v="1251000"/>
    <d v="2029-09-24T00:00:00"/>
    <n v="61300"/>
    <n v="0"/>
    <d v="2026-08-16T00:00:00"/>
    <d v="2029-07-26T00:00:00"/>
    <n v="771"/>
    <d v="2025-05-27T00:00:00"/>
    <s v="2025-26"/>
    <n v="68"/>
    <d v="2025-08-02T00:00:00"/>
    <s v="BG"/>
    <s v="HDFC Bank"/>
    <s v="101GT02252020003"/>
    <n v="1251000"/>
    <d v="2025-07-21T00:00:00"/>
    <m/>
    <m/>
    <m/>
    <m/>
    <m/>
    <d v="2025-10-15T00:00:00"/>
    <n v="1060"/>
    <d v="2025-08-02T00:00:00"/>
    <m/>
    <m/>
    <m/>
    <m/>
  </r>
  <r>
    <n v="4"/>
    <m/>
    <s v="2025-26"/>
    <x v="0"/>
    <n v="4"/>
    <s v="SR To Paldi Ganeshgadh Road (NP BT) Km.0/000 to 2/550 Ta.Gariyadhar, Dist. Bhavnagar"/>
    <m/>
    <s v="Gariyadhar"/>
    <s v="Palitana"/>
    <s v="Road"/>
    <m/>
    <n v="171505"/>
    <n v="2"/>
    <d v="2025-04-03T00:00:00"/>
    <d v="2025-04-15T00:00:00"/>
    <d v="2025-04-16T00:00:00"/>
    <d v="2025-08-13T00:00:00"/>
    <n v="5689274.8799999999"/>
    <m/>
    <n v="6232600.6299999999"/>
    <n v="9.5500000000000007"/>
    <s v="Above"/>
    <s v="Sixty Two Lakh Thirty Two Thousand Six Hundred Rupees and Sixty Three Paise Only"/>
    <s v="Circle"/>
    <m/>
    <n v="6232600.6299999999"/>
    <s v="VIJAYBHAI MOHANBHAI SINDHAV"/>
    <n v="0"/>
    <s v="AT JALALPUR, TA. GADHADA, DIST. BOTAD - 364740"/>
    <n v="8849179437"/>
    <d v="2025-04-30T00:00:00"/>
    <s v="3054 SR 2023-24"/>
    <s v="Superintending Engineer, Panchayat Road and Building Circle-2, Rajkot"/>
    <s v="RPC-2/Tender/Bhav/64"/>
    <d v="2025-05-14T00:00:00"/>
    <n v="4"/>
    <n v="312000"/>
    <d v="2027-01-22T00:00:00"/>
    <n v="15300"/>
    <n v="0"/>
    <d v="2025-12-03T00:00:00"/>
    <d v="2026-11-23T00:00:00"/>
    <n v="891"/>
    <d v="2025-06-24T00:00:00"/>
    <m/>
    <m/>
    <m/>
    <m/>
    <m/>
    <m/>
    <m/>
    <m/>
    <m/>
    <m/>
    <m/>
    <m/>
    <m/>
    <d v="2025-07-01T00:00:00"/>
    <m/>
    <m/>
    <m/>
    <m/>
    <m/>
    <m/>
  </r>
  <r>
    <n v="5"/>
    <m/>
    <s v="2025-26"/>
    <x v="0"/>
    <n v="5"/>
    <s v="Resurfacing to Roads of Bhavnagar District Package No. RPC-2/BVN/MMGSY/Normal/2024-25/P.08 Ta. Talaja , Dist. Bhavnagar"/>
    <s v="(1) Unchadi Vavadi Road_x000a_(2) Bhegali Datrad Road_x000a_(3) Shelavadar Vavadi Road_x000a_(4) Chudi Approach Road_x000a_(5) Datha Rojiya Road"/>
    <s v="Talaja"/>
    <s v="Talaja"/>
    <s v="Road"/>
    <m/>
    <n v="171514"/>
    <n v="1"/>
    <d v="2025-04-03T00:00:00"/>
    <d v="2025-04-15T00:00:00"/>
    <d v="2025-04-16T00:00:00"/>
    <d v="2025-08-13T00:00:00"/>
    <n v="25215998.109999999"/>
    <m/>
    <n v="23198718.260000002"/>
    <n v="-8"/>
    <s v="Below"/>
    <s v="Two Crore Thirty One Lakh Ninety Eight Thousand Seven Hundred Eighteen Rupees and Twenty Six Paise Only"/>
    <s v="Government"/>
    <m/>
    <n v="23198718.260000002"/>
    <s v="KRISHNA CONSTRUCTION"/>
    <s v="BHADRESHSINH BHAGWATSING GOHIL"/>
    <s v="A/8, AKSHARDEEP COMPLEX, OPP. DEEPAK MEMORIAL HALL, SANSKAR MANDAL, BHAVNAGAR-364002"/>
    <n v="9925209999"/>
    <d v="2025-04-30T00:00:00"/>
    <s v="3054 MMGSY NORMAL 2024-25"/>
    <s v="Road and Building Department, Ganghinagar"/>
    <s v="RBD/TRF/e-file/16/2025/2864/Section D1"/>
    <d v="2025-05-17T00:00:00"/>
    <n v="9"/>
    <n v="1160000"/>
    <d v="2029-09-24T00:00:00"/>
    <n v="56900"/>
    <n v="0"/>
    <d v="2026-08-16T00:00:00"/>
    <d v="2029-07-26T00:00:00"/>
    <n v="370"/>
    <d v="2025-05-27T00:00:00"/>
    <s v="2025-26"/>
    <n v="70"/>
    <d v="2025-08-08T00:00:00"/>
    <s v="BG"/>
    <s v="HDFC Bank"/>
    <s v="101GT02252020013"/>
    <n v="1160000"/>
    <d v="2025-07-21T00:00:00"/>
    <m/>
    <m/>
    <m/>
    <m/>
    <m/>
    <d v="2025-10-15T00:00:00"/>
    <n v="1048"/>
    <d v="2025-08-08T00:00:00"/>
    <m/>
    <m/>
    <m/>
    <m/>
  </r>
  <r>
    <n v="6"/>
    <m/>
    <s v="2025-26"/>
    <x v="0"/>
    <n v="6"/>
    <s v="Improvement of Khodiyar Jaliya Bhadali Rabarika Road Km 0/0 to 8/850 Ta. Shihor, Dist. Bhavnagar"/>
    <m/>
    <s v="Shihor"/>
    <s v="Shihor"/>
    <s v="Road"/>
    <m/>
    <n v="171520"/>
    <n v="1"/>
    <d v="2025-04-03T00:00:00"/>
    <d v="2025-04-15T00:00:00"/>
    <d v="2025-04-16T00:00:00"/>
    <d v="2025-08-13T00:00:00"/>
    <m/>
    <s v="Yes"/>
    <m/>
    <m/>
    <s v="Equals"/>
    <s v="Zero Rupees Only"/>
    <s v="Division"/>
    <m/>
    <n v="0"/>
    <m/>
    <n v="0"/>
    <n v="0"/>
    <n v="0"/>
    <m/>
    <m/>
    <m/>
    <m/>
    <m/>
    <m/>
    <n v="0"/>
    <d v="1901-03-25T00:00:00"/>
    <n v="0"/>
    <n v="0"/>
    <d v="1900-02-03T00:00:00"/>
    <d v="1901-01-24T00:00:00"/>
    <m/>
    <m/>
    <m/>
    <m/>
    <m/>
    <m/>
    <m/>
    <m/>
    <m/>
    <m/>
    <m/>
    <m/>
    <m/>
    <m/>
    <m/>
    <m/>
    <m/>
    <m/>
    <m/>
    <m/>
    <m/>
    <m/>
  </r>
  <r>
    <n v="7"/>
    <m/>
    <s v="2025-26"/>
    <x v="0"/>
    <n v="7"/>
    <s v="Improvement and Routine Maintenance of Vadiya Ukharla Road (Vadiya Usrad Pipaliya Road) (ODR) Km.0/000 -5/100 Ta. Shihor, Dist. Bhavnagar"/>
    <m/>
    <s v="Shihor"/>
    <s v="Shihor"/>
    <s v="Road"/>
    <m/>
    <n v="171523"/>
    <n v="1"/>
    <d v="2025-04-03T00:00:00"/>
    <d v="2025-04-15T00:00:00"/>
    <d v="2025-04-16T00:00:00"/>
    <d v="2025-08-13T00:00:00"/>
    <n v="22712488.68"/>
    <m/>
    <n v="20668364.699999999"/>
    <n v="-9"/>
    <s v="Below"/>
    <s v="Two Crore Six Lakh Sixty Eight Thousand Three Hundred Sixty Four Rupees and Seven Paise Only"/>
    <s v="Government"/>
    <m/>
    <n v="20668364.699999999"/>
    <s v="KRISHNA CONSTRUCTION"/>
    <s v="BHADRESHSINH BHAGWATSING GOHIL"/>
    <s v="A/8, AKSHARDEEP COMPLEX, OPP. DEEPAK MEMORIAL HALL, SANSKAR MANDAL, BHAVNAGAR-364002"/>
    <n v="9925209999"/>
    <d v="2025-04-30T00:00:00"/>
    <s v="5054 MMGSY SCSP 2024-25"/>
    <s v="Road and Building Department, Ganghinagar"/>
    <s v="RBD/TRF/e-file/16/2025/2863/Section D1"/>
    <d v="2025-05-21T00:00:00"/>
    <n v="8"/>
    <n v="1034000"/>
    <d v="2029-08-25T00:00:00"/>
    <n v="50700"/>
    <n v="0"/>
    <d v="2026-07-17T00:00:00"/>
    <d v="2029-06-26T00:00:00"/>
    <n v="735"/>
    <d v="2025-05-21T00:00:00"/>
    <s v="2025-26"/>
    <n v="73"/>
    <d v="2025-08-08T00:00:00"/>
    <s v="BG"/>
    <s v="HDFC Bank"/>
    <s v="101GT02252020004"/>
    <n v="1034000"/>
    <d v="2025-07-21T00:00:00"/>
    <m/>
    <m/>
    <m/>
    <m/>
    <m/>
    <d v="2025-10-15T00:00:00"/>
    <n v="1051"/>
    <d v="2025-08-08T00:00:00"/>
    <m/>
    <m/>
    <m/>
    <m/>
  </r>
  <r>
    <n v="8"/>
    <m/>
    <s v="2025-26"/>
    <x v="0"/>
    <n v="8"/>
    <s v="Resurfacing to Roads of Bhavnagar District Package No.RPC-2/BVN/MMGSY/Normal/2024-25/P.01 Ta. Vallabhipur, Dist. Bhavnagar"/>
    <s v="(1) Salapara (Velavadar) Approach Road_x000a_(2) Pati Approach Road_x000a_(3) Lakhanka Approach Road_x000a_(4) Nasitpar Junaratanpar Road"/>
    <s v="Vallabhipur"/>
    <s v="Vallabhipur"/>
    <s v="Road"/>
    <m/>
    <n v="171531"/>
    <n v="1"/>
    <d v="2025-04-03T00:00:00"/>
    <d v="2025-04-15T00:00:00"/>
    <d v="2025-04-16T00:00:00"/>
    <d v="2025-08-13T00:00:00"/>
    <n v="21183260.989999998"/>
    <m/>
    <n v="19700432.719999999"/>
    <n v="-7"/>
    <s v="Below"/>
    <s v="One Crore Ninety Seven Lakh Four Hundred Thirty Two Rupees and Seventy Two Paise Only"/>
    <s v="Circle"/>
    <m/>
    <n v="19700432.719999999"/>
    <s v="KRISHNA CONSTRUCTION"/>
    <s v="BHADRESHSINH BHAGWATSING GOHIL"/>
    <s v="A/8, AKSHARDEEP COMPLEX, OPP. DEEPAK MEMORIAL HALL, SANSKAR MANDAL, BHAVNAGAR-364002"/>
    <n v="9925209999"/>
    <d v="2025-04-30T00:00:00"/>
    <s v="3054 MMGSY NORMAL 2024-25"/>
    <s v="Road and Building Department, Ganghinagar"/>
    <s v="RBD/TRF/e-file/16/2025/2862/Section D1"/>
    <d v="2025-05-21T00:00:00"/>
    <n v="8"/>
    <n v="986000"/>
    <d v="2029-08-25T00:00:00"/>
    <n v="48400"/>
    <n v="0"/>
    <d v="2026-07-17T00:00:00"/>
    <d v="2029-06-26T00:00:00"/>
    <n v="736"/>
    <d v="2025-05-21T00:00:00"/>
    <s v="2025-26"/>
    <n v="67"/>
    <d v="2025-08-02T00:00:00"/>
    <s v="BG"/>
    <s v="HDFC Bank"/>
    <s v="101GT02252020010"/>
    <n v="986000"/>
    <d v="2025-07-21T00:00:00"/>
    <m/>
    <m/>
    <m/>
    <m/>
    <m/>
    <d v="2025-10-15T00:00:00"/>
    <n v="1059"/>
    <d v="2025-08-02T00:00:00"/>
    <m/>
    <m/>
    <m/>
    <m/>
  </r>
  <r>
    <n v="9"/>
    <m/>
    <s v="2025-26"/>
    <x v="0"/>
    <n v="9"/>
    <s v="Construction to Roads of Bhavnagar District Package No.RPC-2/BVN/MMGSY/Normal/2024-25/P.02 Ta. Mahuva, Dist. Bhavnagar"/>
    <s v="(1) Sodvadari To NH Road (Remaining Length)_x000a_(2) Gujarada Dudheri Road"/>
    <s v="Mahuva"/>
    <s v="Mahuva"/>
    <s v="Road"/>
    <m/>
    <n v="171582"/>
    <n v="1"/>
    <d v="2025-04-03T00:00:00"/>
    <d v="2025-04-15T00:00:00"/>
    <d v="2025-04-16T00:00:00"/>
    <d v="2025-08-13T00:00:00"/>
    <n v="19007984.359999999"/>
    <m/>
    <n v="17487345.609999999"/>
    <n v="-8"/>
    <s v="Below"/>
    <s v="One Crore Seventy Four Lakh Eighty Seven Thousand Three Hundred Forty Five Rupees and Sixty One Paise Only"/>
    <s v="Circle"/>
    <m/>
    <n v="17487345.609999999"/>
    <s v="KRISHNA CONSTRUCTION"/>
    <s v="BHADRESHSINH BHAGWATSING GOHIL"/>
    <s v="A/8, AKSHARDEEP COMPLEX, OPP. DEEPAK MEMORIAL HALL, SANSKAR MANDAL, BHAVNAGAR-364002"/>
    <n v="9925209999"/>
    <d v="2025-04-30T00:00:00"/>
    <s v="5054 MMGSY NORMAL 2024-25"/>
    <s v="Superintending Engineer, Panchayat Road and Building Circle-2, Rajkot"/>
    <s v="RPC-2/Tender/Bhav/63"/>
    <d v="2025-05-14T00:00:00"/>
    <n v="8"/>
    <n v="875000"/>
    <d v="2029-08-25T00:00:00"/>
    <n v="42900"/>
    <n v="0"/>
    <d v="2026-07-17T00:00:00"/>
    <d v="2029-06-26T00:00:00"/>
    <n v="856"/>
    <d v="2025-06-18T00:00:00"/>
    <s v="2025-26"/>
    <n v="64"/>
    <d v="2025-08-02T00:00:00"/>
    <s v="BG"/>
    <s v="HDFC Bank"/>
    <s v="101GT02252020009"/>
    <n v="875000"/>
    <d v="2025-07-21T00:00:00"/>
    <m/>
    <m/>
    <m/>
    <m/>
    <m/>
    <d v="2025-10-15T00:00:00"/>
    <n v="1056"/>
    <d v="2025-08-02T00:00:00"/>
    <m/>
    <m/>
    <m/>
    <m/>
  </r>
  <r>
    <n v="10"/>
    <m/>
    <s v="2025-26"/>
    <x v="0"/>
    <n v="10"/>
    <s v="Construction to Roads of Bhavnagar District Package No. RPC-2/BVN/MMGSY/Khas Angbhut/2024-25/P.01 Ta. Mahuva , Dist. Bhavnagar"/>
    <s v="(1) Bhadrod to NH Road (Dholivav Side)_x000a_(2) Bhadrod Khatsura Road (Panchmukhi Hanuman)"/>
    <s v="Mahuva"/>
    <s v="Mahuva"/>
    <s v="Road"/>
    <m/>
    <n v="171587"/>
    <n v="1"/>
    <d v="2025-04-03T00:00:00"/>
    <d v="2025-04-15T00:00:00"/>
    <d v="2025-04-16T00:00:00"/>
    <d v="2025-08-13T00:00:00"/>
    <n v="19285670.34"/>
    <m/>
    <n v="22012664.129999999"/>
    <n v="14.14"/>
    <s v="Above"/>
    <s v="Two Crore Twenty Lakh Twelve Thousand Six Hundred Sixty Four Rupees and Thirteen Paise Only"/>
    <s v="Government"/>
    <m/>
    <n v="22012664.129999999"/>
    <s v="VCPROJECT &amp; INFRA PVT. LTD."/>
    <n v="0"/>
    <s v="2/A, New York Corner, Behind Kiran Motors, Opp. Rajpath Club, Bodakdev, Ahmedabad - 380054"/>
    <n v="7777978777"/>
    <d v="2025-04-30T00:00:00"/>
    <s v="5054 MMGSY SCSP 2024-25"/>
    <s v="Road and Building Department, Ganghinagar"/>
    <s v="RBD/TRF/e-file/16/2025/3487/Section D1"/>
    <d v="2025-06-18T00:00:00"/>
    <n v="8"/>
    <n v="1101000"/>
    <d v="2029-08-25T00:00:00"/>
    <n v="54000"/>
    <n v="0"/>
    <d v="2026-07-17T00:00:00"/>
    <d v="2029-06-26T00:00:00"/>
    <n v="881"/>
    <d v="2025-06-21T00:00:00"/>
    <s v="2025-26"/>
    <n v="75"/>
    <d v="2025-08-08T00:00:00"/>
    <s v="BG"/>
    <s v="AU SMALL FINANCE BANK LTD"/>
    <s v="AOAIPBG251900001"/>
    <n v="1101000"/>
    <d v="2025-07-09T00:00:00"/>
    <m/>
    <m/>
    <m/>
    <m/>
    <m/>
    <d v="2025-10-15T00:00:00"/>
    <n v="1053"/>
    <d v="2025-08-08T00:00:00"/>
    <m/>
    <m/>
    <m/>
    <m/>
  </r>
  <r>
    <n v="11"/>
    <m/>
    <s v="2025-26"/>
    <x v="0"/>
    <n v="11"/>
    <s v="Resurfacing of Dundas to Pipalava Road (MDR) Km. 0/000 to 3/200 Ta. Mahuva , Dist. Bhavnagar"/>
    <m/>
    <s v="Mahuva"/>
    <s v="Mahuva"/>
    <s v="Road"/>
    <m/>
    <n v="171609"/>
    <n v="1"/>
    <d v="2025-04-03T00:00:00"/>
    <d v="2025-04-15T00:00:00"/>
    <d v="2025-04-16T00:00:00"/>
    <d v="2025-08-13T00:00:00"/>
    <n v="24637886.640000001"/>
    <m/>
    <n v="27126313.190000001"/>
    <n v="10.1"/>
    <s v="Above"/>
    <s v="Two Crore Seventy One Lakh Twenty Six Thousand Three Hundred Thirteen Rupees and Nineteen Paise Only"/>
    <s v="Government"/>
    <m/>
    <n v="27126313.190000001"/>
    <s v="VCPROJECT &amp; INFRA PVT. LTD."/>
    <n v="0"/>
    <s v="2/A, New York Corner, Behind Kiran Motors, Opp. Rajpath Club, Bodakdev, Ahmedabad - 380054"/>
    <n v="7777978777"/>
    <d v="2025-04-30T00:00:00"/>
    <s v="3054 MMGSY NORMAL 2024-25"/>
    <s v="Road and Building Department, Ganghinagar"/>
    <s v="RBD/TRF/e-file/16/2025/2861/Section D1"/>
    <d v="2025-05-21T00:00:00"/>
    <n v="8"/>
    <n v="1357000"/>
    <d v="2029-08-25T00:00:00"/>
    <n v="66500"/>
    <n v="0"/>
    <d v="2026-07-17T00:00:00"/>
    <d v="2029-06-26T00:00:00"/>
    <n v="737"/>
    <d v="2025-05-21T00:00:00"/>
    <s v="2025-26"/>
    <n v="57"/>
    <d v="2025-07-19T00:00:00"/>
    <s v="BG"/>
    <s v="CANARA BANK"/>
    <s v="01414GPGE2516701"/>
    <n v="1357000"/>
    <d v="2025-06-16T00:00:00"/>
    <m/>
    <m/>
    <m/>
    <m/>
    <m/>
    <d v="2025-10-15T00:00:00"/>
    <n v="993"/>
    <d v="2025-07-19T00:00:00"/>
    <m/>
    <m/>
    <m/>
    <m/>
  </r>
  <r>
    <n v="12"/>
    <m/>
    <s v="2025-26"/>
    <x v="0"/>
    <n v="12"/>
    <s v="Construction of Budhel to Malanka Road (NP) Km.0/000 to 4/250 Taluka And Dist. Bhavnagar"/>
    <m/>
    <s v="Bhavnagar"/>
    <s v="Bhavnagar"/>
    <s v="Road"/>
    <m/>
    <n v="171614"/>
    <n v="1"/>
    <d v="2025-04-03T00:00:00"/>
    <d v="2025-04-15T00:00:00"/>
    <d v="2025-04-16T00:00:00"/>
    <d v="2025-08-13T00:00:00"/>
    <n v="34424113.649999999"/>
    <m/>
    <n v="28513493.34"/>
    <n v="-17.170000000000002"/>
    <s v="Below"/>
    <s v="Two Crore Eighty Five Lakh Thirteen Thousand Four Hundred Ninety Three Rupees and Thirty Four Paise Only"/>
    <s v="Government"/>
    <m/>
    <n v="28513493.34"/>
    <s v="SHIV DHARA ENTERPRISE"/>
    <n v="0"/>
    <s v="Shop No. 131/B, First Floor, Shiva Belssing-2, Opp. BMC Office, Bhavnagar"/>
    <n v="9925888787"/>
    <d v="2025-05-15T00:00:00"/>
    <s v="5054 MMGSY NORMAL 2024-25"/>
    <s v="Road and Building Department, Ganghinagar"/>
    <s v="RBD/TRF/e-file/16/2025/3192/Section D1"/>
    <d v="2025-05-30T00:00:00"/>
    <n v="10"/>
    <n v="1426000"/>
    <d v="2029-10-24T00:00:00"/>
    <n v="94100"/>
    <n v="494000"/>
    <d v="2026-09-15T00:00:00"/>
    <d v="2029-08-25T00:00:00"/>
    <n v="882"/>
    <d v="2025-06-21T00:00:00"/>
    <m/>
    <m/>
    <m/>
    <m/>
    <m/>
    <m/>
    <m/>
    <m/>
    <m/>
    <m/>
    <m/>
    <m/>
    <m/>
    <d v="2025-10-15T00:00:00"/>
    <m/>
    <m/>
    <m/>
    <m/>
    <m/>
    <m/>
  </r>
  <r>
    <n v="13"/>
    <m/>
    <s v="2025-26"/>
    <x v="0"/>
    <n v="13"/>
    <s v="Resurfacing to Roads of Bhavnagar District Package No. RPC-2/BVN/MMGSY/Normal/2024-25/P.03 Ta. Mahuva , Dist. Bhavnagar"/>
    <s v="(1) Monpar Titodiya Bagdana Road_x000a_(2) Katrodi Hipavadali Road_x000a_"/>
    <s v="Mahuva"/>
    <s v="Mahuva"/>
    <s v="Road"/>
    <m/>
    <n v="171617"/>
    <n v="1"/>
    <d v="2025-04-03T00:00:00"/>
    <d v="2025-04-15T00:00:00"/>
    <d v="2025-04-16T00:00:00"/>
    <d v="2025-08-13T00:00:00"/>
    <n v="23364615.09"/>
    <m/>
    <n v="23362278.629999999"/>
    <n v="-0.01"/>
    <s v="Below"/>
    <s v="Two Crore Thirty Three Lakh Sixty Two Thousand Two Hundred Seventy Eight Rupees and Sixty Three Paise Only"/>
    <s v="Government"/>
    <m/>
    <n v="23362278.629999999"/>
    <s v="C M VAGHELA"/>
    <s v="CHATURBHAI MOHANBHAI VAGHELA"/>
    <s v="MOTI PANIYALI, Via. Po. SHETRUNJI, Ta. PALITANA, Dist. BHAVNAGAR-364270"/>
    <n v="9925448120"/>
    <d v="2025-04-30T00:00:00"/>
    <s v="3054 MMGSY NORMAL 2024-25"/>
    <s v="Road and Building Department, Ganghinagar"/>
    <s v="RBD/TRF/e-file/16/2025/2848/Section D1"/>
    <d v="2025-05-27T00:00:00"/>
    <n v="8"/>
    <n v="1169000"/>
    <d v="2029-08-25T00:00:00"/>
    <n v="57300"/>
    <n v="0"/>
    <d v="2026-07-17T00:00:00"/>
    <d v="2029-06-26T00:00:00"/>
    <n v="883"/>
    <d v="2025-06-21T00:00:00"/>
    <m/>
    <m/>
    <m/>
    <m/>
    <m/>
    <m/>
    <m/>
    <m/>
    <m/>
    <m/>
    <m/>
    <m/>
    <m/>
    <d v="2025-10-15T00:00:00"/>
    <m/>
    <m/>
    <m/>
    <m/>
    <m/>
    <m/>
  </r>
  <r>
    <n v="14"/>
    <m/>
    <s v="2025-26"/>
    <x v="0"/>
    <n v="14"/>
    <s v="Resurfacing of Konjali Kalela Boradi Road (MDR) Km.0/000 to 8/000 Ta. Mahuva, Dist. Bhavnagar"/>
    <m/>
    <s v="Mahuva"/>
    <s v="Mahuva"/>
    <s v="Road"/>
    <m/>
    <n v="171618"/>
    <n v="1"/>
    <d v="2025-04-03T00:00:00"/>
    <d v="2025-04-15T00:00:00"/>
    <d v="2025-04-16T00:00:00"/>
    <d v="2025-08-13T00:00:00"/>
    <n v="26862658.760000002"/>
    <m/>
    <n v="30142589.390000001"/>
    <n v="12.21"/>
    <s v="Above"/>
    <s v="Three Crore One Lakh Forty Two Thousand Five Hundred Eighty Nine Rupees and Thirty Nine Paise Only"/>
    <s v="Government"/>
    <m/>
    <n v="30142589.390000001"/>
    <s v="VCPROJECT &amp; INFRA PVT. LTD."/>
    <n v="0"/>
    <s v="2/A, New York Corner, Behind Kiran Motors, Opp. Rajpath Club, Bodakdev, Ahmedabad - 380054"/>
    <n v="7777978777"/>
    <d v="2025-04-30T00:00:00"/>
    <s v="3054 MMGSY NORMAL 2024-25"/>
    <s v="Road and Building Department, Ganghinagar"/>
    <s v="RBD/TRF/e-file/16/2025/2859/Section D1"/>
    <d v="2025-05-27T00:00:00"/>
    <n v="6"/>
    <n v="1508000"/>
    <d v="2029-06-26T00:00:00"/>
    <n v="73900"/>
    <n v="0"/>
    <d v="2026-05-18T00:00:00"/>
    <d v="2029-04-27T00:00:00"/>
    <n v="772"/>
    <d v="2025-05-27T00:00:00"/>
    <s v="2025-26"/>
    <n v="58"/>
    <d v="2025-07-19T00:00:00"/>
    <s v="BG"/>
    <s v="CANARA BANK"/>
    <s v="01414GPGE2516702"/>
    <n v="1508000"/>
    <d v="2025-06-16T00:00:00"/>
    <m/>
    <m/>
    <m/>
    <m/>
    <m/>
    <d v="2025-10-15T00:00:00"/>
    <n v="994"/>
    <d v="2025-07-19T00:00:00"/>
    <m/>
    <m/>
    <m/>
    <m/>
  </r>
  <r>
    <n v="15"/>
    <m/>
    <s v="2025-26"/>
    <x v="0"/>
    <n v="15"/>
    <s v="Resurfacing to Roads of Bhavnagar District Package No. RPC-2/BVN/MMGSY/Normal/2024-25/P.09 Taluka and Dist. Bhavnagar"/>
    <s v="(1) Bhojapara Approach Road_x000a_(2) Kardej Shampara Road_x000a_(3) Vartej Kamlej Road"/>
    <s v="Bhavnagar"/>
    <s v="Bhavnagar"/>
    <s v="Road"/>
    <m/>
    <n v="171621"/>
    <n v="1"/>
    <d v="2025-04-03T00:00:00"/>
    <d v="2025-04-15T00:00:00"/>
    <d v="2025-04-16T00:00:00"/>
    <d v="2025-08-13T00:00:00"/>
    <n v="11020839.960000001"/>
    <m/>
    <n v="11020839.960000001"/>
    <n v="0"/>
    <s v="Equals"/>
    <s v="One Crore Ten Lakh Twenty Thousand Eight Hundred Thirty Nine Rupees and Ninety Six Paise Only"/>
    <s v="Circle"/>
    <m/>
    <n v="11020839.960000001"/>
    <s v="KRISHNA CONSTRUCTION"/>
    <s v="BHADRESHSINH BHAGWATSING GOHIL"/>
    <s v="A/8, AKSHARDEEP COMPLEX, OPP. DEEPAK MEMORIAL HALL, SANSKAR MANDAL, BHAVNAGAR-364002"/>
    <n v="9925209999"/>
    <d v="2025-04-30T00:00:00"/>
    <s v="3054 MMGSY NORMAL 2024-25"/>
    <s v="Superintending Engineer, Panchayat Road and Building Circle-2, Rajkot"/>
    <s v="RPC-2/Tender/Bhav/62"/>
    <d v="2025-05-14T00:00:00"/>
    <n v="8"/>
    <n v="552000"/>
    <d v="2029-08-25T00:00:00"/>
    <n v="27100"/>
    <n v="0"/>
    <d v="2026-07-17T00:00:00"/>
    <d v="2029-06-26T00:00:00"/>
    <n v="857"/>
    <d v="2025-06-18T00:00:00"/>
    <s v="2025-26"/>
    <n v="69"/>
    <d v="2025-08-02T00:00:00"/>
    <s v="BG"/>
    <s v="HDFC Bank"/>
    <s v="101GT02252020014"/>
    <n v="552000"/>
    <d v="2025-07-21T00:00:00"/>
    <m/>
    <m/>
    <m/>
    <m/>
    <m/>
    <d v="2025-10-15T00:00:00"/>
    <n v="1061"/>
    <d v="2025-08-02T00:00:00"/>
    <m/>
    <m/>
    <m/>
    <m/>
  </r>
  <r>
    <n v="16"/>
    <m/>
    <s v="2025-26"/>
    <x v="0"/>
    <n v="16"/>
    <s v="Special Repairs Roads of Bhavnagar District Package No. RPC-2/BVN/Spaecial Repairs/2023-24/P.31 Ta. Palitana, Dist. Bhavnagar"/>
    <s v="(1) Moti Vavadi Sitapur Road_x000a_(2) Medha Approach Road_x000a_"/>
    <s v="Palitana"/>
    <s v="Palitana"/>
    <s v="Road"/>
    <m/>
    <n v="171624"/>
    <n v="1"/>
    <d v="2025-04-03T00:00:00"/>
    <d v="2025-04-15T00:00:00"/>
    <d v="2025-04-16T00:00:00"/>
    <d v="2025-08-13T00:00:00"/>
    <n v="24743989.260000002"/>
    <m/>
    <n v="23259349.899999999"/>
    <n v="-6"/>
    <s v="Below"/>
    <s v="Two Crore Thirty Two Lakh Fifty Nine Thousand Three Hundred Forty Nine Rupees and Nine Paise Only"/>
    <s v="Government"/>
    <m/>
    <n v="23259349.899999999"/>
    <s v="OM CONSTRUCTION CO."/>
    <s v="VANRAJSINH BOGHUBHA SARVAIYA"/>
    <s v="314, Third Floor, Surabhi Mall, Waghawadi Road, BHAVNAGAR-364001"/>
    <n v="9427511001"/>
    <d v="2025-04-30T00:00:00"/>
    <s v="3054 SR 2023-24"/>
    <s v="Road and Building Department, Ganghinagar"/>
    <s v="RBD/TRF/e-file/16/2025/2856/Section D1"/>
    <d v="2025-05-20T00:00:00"/>
    <n v="8"/>
    <n v="1163000"/>
    <d v="2029-05-11T00:00:00"/>
    <n v="57000"/>
    <n v="0"/>
    <d v="2026-04-02T00:00:00"/>
    <d v="2029-03-12T00:00:00"/>
    <n v="892"/>
    <d v="2025-06-24T00:00:00"/>
    <m/>
    <m/>
    <m/>
    <m/>
    <m/>
    <m/>
    <m/>
    <m/>
    <m/>
    <m/>
    <m/>
    <m/>
    <m/>
    <d v="2025-07-01T00:00:00"/>
    <m/>
    <m/>
    <m/>
    <m/>
    <m/>
    <m/>
  </r>
  <r>
    <n v="17"/>
    <m/>
    <s v="2025-26"/>
    <x v="0"/>
    <n v="17"/>
    <s v="Construction Cement Concrete Roads on Talgajarada to NH Road Km 0/0 to 2/100 Ta. Mahuva, Dist. Bhavnagar"/>
    <m/>
    <s v="Mahuva"/>
    <s v="Mahuva"/>
    <s v="Road"/>
    <m/>
    <n v="171483"/>
    <n v="1"/>
    <d v="2025-04-03T00:00:00"/>
    <d v="2025-04-15T00:00:00"/>
    <d v="2025-04-16T00:00:00"/>
    <d v="2025-08-13T00:00:00"/>
    <n v="29379827.5"/>
    <m/>
    <n v="30848818.879999999"/>
    <n v="5"/>
    <s v="Above"/>
    <s v="Three Crore Eight Lakh Forty Eight Thousand Eight Hundred Eighteen Rupees and Eighty Eight Paise Only"/>
    <s v="Government"/>
    <m/>
    <n v="30848818.879999999"/>
    <s v="OM CONSTRUCTION CO."/>
    <s v="VANRAJSINH BOGHUBHA SARVAIYA"/>
    <s v="314, Third Floor, Surabhi Mall, Waghawadi Road, BHAVNAGAR-364001"/>
    <n v="9427511001"/>
    <d v="2025-04-30T00:00:00"/>
    <s v="5054 Suvidhapath 2024-25"/>
    <s v="Road and Building Department, Ganghinagar"/>
    <s v="RBD/TRF/e-file/16/2025/2855/Section D1"/>
    <d v="2025-05-20T00:00:00"/>
    <n v="6"/>
    <n v="1543000"/>
    <d v="2029-06-26T00:00:00"/>
    <n v="75700"/>
    <n v="0"/>
    <d v="2026-05-18T00:00:00"/>
    <d v="2029-04-27T00:00:00"/>
    <n v="734"/>
    <d v="2025-05-21T00:00:00"/>
    <s v="2025-26"/>
    <n v="61"/>
    <d v="2025-07-19T00:00:00"/>
    <s v="BG"/>
    <s v="Punjab National Bank"/>
    <s v="40500ILG002825"/>
    <n v="1543000"/>
    <d v="2025-06-23T00:00:00"/>
    <m/>
    <m/>
    <m/>
    <m/>
    <m/>
    <d v="2025-10-15T00:00:00"/>
    <n v="997"/>
    <d v="2025-07-19T00:00:00"/>
    <m/>
    <m/>
    <m/>
    <m/>
  </r>
  <r>
    <n v="18"/>
    <m/>
    <s v="2025-26"/>
    <x v="0"/>
    <n v="18"/>
    <s v="Constrcu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71618"/>
    <n v="1"/>
    <d v="2025-04-03T00:00:00"/>
    <d v="2025-04-15T00:00:00"/>
    <d v="2025-04-16T00:00:00"/>
    <d v="2025-08-13T00:00:00"/>
    <m/>
    <s v="Yes"/>
    <m/>
    <m/>
    <s v="Equals"/>
    <s v="Zero Rupees Only"/>
    <s v="Division"/>
    <m/>
    <n v="0"/>
    <m/>
    <n v="0"/>
    <n v="0"/>
    <n v="0"/>
    <m/>
    <m/>
    <m/>
    <m/>
    <m/>
    <m/>
    <n v="0"/>
    <d v="1901-03-25T00:00:00"/>
    <n v="0"/>
    <n v="0"/>
    <d v="1900-02-03T00:00:00"/>
    <d v="1901-01-24T00:00:00"/>
    <m/>
    <m/>
    <m/>
    <m/>
    <m/>
    <m/>
    <m/>
    <m/>
    <m/>
    <m/>
    <m/>
    <m/>
    <m/>
    <m/>
    <m/>
    <m/>
    <m/>
    <m/>
    <m/>
    <m/>
    <m/>
    <m/>
  </r>
  <r>
    <n v="19"/>
    <m/>
    <s v="2025-26"/>
    <x v="0"/>
    <n v="19"/>
    <s v="Construction Cement Concrete Roads of Bhavnagar District Package No. RPC-2/BVN/Suvidhapath/2024-25/P.11 Ta. Umrala, Dist. Bhavnagar"/>
    <s v="(1) Dharuka Bajud Road (At Dharuka Village)_x000a_(2) Umrala Keriya Piparali Road (At Keriya Village)_x000a_(3) Ratanpar Approach Road (At Ratanpar Village)_x000a_(4) Dharuka Chogath Road (At Chogath Village)"/>
    <s v="Umrala"/>
    <s v="Vallabhipur"/>
    <s v="Road"/>
    <m/>
    <n v="171638"/>
    <n v="1"/>
    <d v="2025-04-03T00:00:00"/>
    <d v="2025-04-15T00:00:00"/>
    <d v="2025-04-16T00:00:00"/>
    <d v="2025-08-13T00:00:00"/>
    <n v="12145304.619999999"/>
    <m/>
    <n v="9527991.4700000007"/>
    <n v="-21.55"/>
    <s v="Below"/>
    <s v="Ninety Five Lakh Twenty Seven Thousand Nine Hundred Ninety One Rupees and Forty Seven Paise Only"/>
    <s v="Circle"/>
    <m/>
    <n v="9527991.4700000007"/>
    <s v="V M SOJITRA"/>
    <s v=" VINODBHAI MEGHJIBHAI SOJITRA"/>
    <s v="SHOP NO. 7, FIRST FLOOR, AKSHAR RESIDENCY, GIRIRAJ MAIN ROAD,  JUNAGADH - 362001"/>
    <n v="0"/>
    <d v="2025-04-30T00:00:00"/>
    <s v="5054 Suvidhapath 2024-25"/>
    <s v="Superintending Engineer, Panchayat Road and Building Circle-2, Rajkot"/>
    <s v="RPC-2/Tender/Bhav/59"/>
    <d v="2025-05-14T00:00:00"/>
    <n v="8"/>
    <n v="477000"/>
    <d v="2029-08-25T00:00:00"/>
    <n v="44100"/>
    <n v="421000"/>
    <d v="2026-07-17T00:00:00"/>
    <d v="2029-06-26T00:00:00"/>
    <n v="858"/>
    <d v="2025-06-18T00:00:00"/>
    <m/>
    <m/>
    <m/>
    <m/>
    <m/>
    <m/>
    <m/>
    <m/>
    <m/>
    <m/>
    <m/>
    <m/>
    <m/>
    <d v="2025-10-15T00:00:00"/>
    <m/>
    <m/>
    <m/>
    <m/>
    <m/>
    <m/>
  </r>
  <r>
    <n v="20"/>
    <m/>
    <s v="2025-26"/>
    <x v="0"/>
    <n v="20"/>
    <s v="Construction of Cement Concrete Roads of Bhavnagar District Package No. RPC-2/BVN/Suvidhapath/2024-25/P.10 Ta. Umrala, Dist. Bhavnagar"/>
    <s v="(1) Limda Lakhavad Road (At Lakhavad Village)_x000a_(2) Alampar Vadod Road (At Vadod Village) _x000a_(3) Khijadiya Rajpipala Road (At Khijadiya Village) _x000a_(4) Vangadhra Bhojavadar Samadhiyala Road (At Vangadhra Village)"/>
    <s v="Umrala"/>
    <s v="Vallabhipur"/>
    <s v="Road"/>
    <m/>
    <n v="171643"/>
    <n v="1"/>
    <d v="2025-04-03T00:00:00"/>
    <d v="2025-04-15T00:00:00"/>
    <d v="2025-04-16T00:00:00"/>
    <d v="2025-08-13T00:00:00"/>
    <n v="15944827.16"/>
    <m/>
    <n v="12508716.91"/>
    <n v="-21.55"/>
    <s v="Below"/>
    <s v="One Crore Twenty Five Lakh Eight Thousand Seven Hundred Sixteen Rupees and Ninety One Paise Only"/>
    <s v="Circle"/>
    <m/>
    <n v="12508716.91"/>
    <s v="V M SOJITRA"/>
    <s v=" VINODBHAI MEGHJIBHAI SOJITRA"/>
    <s v="SHOP NO. 7, FIRST FLOOR, AKSHAR RESIDENCY, GIRIRAJ MAIN ROAD,  JUNAGADH - 362001"/>
    <n v="0"/>
    <d v="2025-04-30T00:00:00"/>
    <s v="5054 Suvidhapath 2024-25"/>
    <s v="Superintending Engineer, Panchayat Road and Building Circle-2, Rajkot"/>
    <s v="RPC-2/Tender/Bhav/58"/>
    <d v="2025-05-14T00:00:00"/>
    <n v="8"/>
    <n v="626000"/>
    <d v="2029-04-11T00:00:00"/>
    <n v="57800"/>
    <n v="553000"/>
    <d v="2026-03-03T00:00:00"/>
    <d v="2029-02-10T00:00:00"/>
    <n v="722"/>
    <d v="2025-05-20T00:00:00"/>
    <m/>
    <m/>
    <m/>
    <m/>
    <m/>
    <m/>
    <m/>
    <m/>
    <m/>
    <m/>
    <m/>
    <m/>
    <m/>
    <d v="2025-06-01T00:00:00"/>
    <m/>
    <m/>
    <m/>
    <m/>
    <m/>
    <m/>
  </r>
  <r>
    <n v="21"/>
    <m/>
    <s v="2025-26"/>
    <x v="0"/>
    <n v="21"/>
    <s v="Construction Cement Concrete Roads of Bhavnagar District Package No. RPC-2/BVN/Suvidhapath/2024-25/P.02 Ta. Palitana, Dist. Bhavnagar"/>
    <s v="(1) Virpur Malapara Road joining to Randola (village Virpur)_x000a_(2) Gheti Nanimal Road (village Gheti)_x000a_"/>
    <s v="Palitana"/>
    <s v="Palitana"/>
    <s v="Road"/>
    <m/>
    <n v="171660"/>
    <n v="1"/>
    <d v="2025-04-03T00:00:00"/>
    <d v="2025-04-15T00:00:00"/>
    <d v="2025-04-16T00:00:00"/>
    <d v="2025-08-13T00:00:00"/>
    <n v="14196862.689999999"/>
    <m/>
    <n v="9655286.3200000003"/>
    <n v="-31.99"/>
    <s v="Below"/>
    <s v="Ninety Six Lakh Fifty Five Thousand Two Hundred Eighty Six Rupees and Thirty Two Paise Only"/>
    <s v="Circle"/>
    <m/>
    <n v="9655286.3200000003"/>
    <s v="OM CONSTRUCTION CO."/>
    <s v="VANRAJSINH BOGHUBHA SARVAIYA"/>
    <s v="314, Third Floor, Surabhi Mall, Waghawadi Road, BHAVNAGAR-364001"/>
    <n v="9427511001"/>
    <d v="2025-04-30T00:00:00"/>
    <s v="5054 Suvidhapath 2024-25"/>
    <s v="Superintending Engineer, Panchayat Road and Building Circle-2, Rajkot"/>
    <s v="RPC-2/Tender/Bhav/60"/>
    <d v="2025-05-14T00:00:00"/>
    <n v="6"/>
    <n v="483000"/>
    <d v="2029-06-26T00:00:00"/>
    <n v="69600"/>
    <n v="937000"/>
    <d v="2026-05-18T00:00:00"/>
    <d v="2029-04-27T00:00:00"/>
    <n v="721"/>
    <d v="2025-05-20T00:00:00"/>
    <s v="2025-26"/>
    <n v="62"/>
    <d v="2025-07-19T00:00:00"/>
    <s v="BG"/>
    <s v="Punjab National Bank"/>
    <s v="40500ILG002925"/>
    <n v="483000"/>
    <d v="2025-06-23T00:00:00"/>
    <s v="BG"/>
    <s v="Punjab National Bank"/>
    <s v="40500ILG002725"/>
    <n v="937000"/>
    <d v="2025-06-23T00:00:00"/>
    <d v="2025-10-15T00:00:00"/>
    <n v="998"/>
    <d v="2025-07-19T00:00:00"/>
    <m/>
    <m/>
    <m/>
    <m/>
  </r>
  <r>
    <n v="22"/>
    <m/>
    <s v="2025-26"/>
    <x v="0"/>
    <n v="22"/>
    <s v="Construction Cement Concrete Roads of Bhavnagar District Package No. RPC-2/BVN/Suvidhapath/2024-25/P.01 Ta. Palitana, Dist. Bhavnagar"/>
    <s v="(1) Surnagar Samadhiyala Road (village Samadhiyala)_x000a_(2) Kumbhan Khakhariya Road (village Kumbhan)_x000a_(3) Jamvali Primary School Approach Road (village Jamvali) _x000a_(4) Bhundarakha-1 to Bhundarakha Road (village Bhundarakha)_x000a_(5) Nanimal Dedarada Road (village Dedarada)_x000a_(6) Anida Mandavada Road (village Anida)_x000a_(7) Lapaliya Approach Road (village Lapaliya)"/>
    <s v="Palitana"/>
    <s v="Palitana"/>
    <s v="Road"/>
    <m/>
    <n v="171664"/>
    <n v="1"/>
    <d v="2025-04-03T00:00:00"/>
    <d v="2025-04-15T00:00:00"/>
    <d v="2025-04-16T00:00:00"/>
    <d v="2025-08-13T00:00:00"/>
    <n v="18881716.440000001"/>
    <m/>
    <n v="12841455.35"/>
    <n v="-31.99"/>
    <s v="Below"/>
    <s v="One Crore Twenty Eight Lakh Forty One Thousand Four Hundred Fifty Five Rupees and Thirty Five Paise Only"/>
    <s v="Circle"/>
    <m/>
    <n v="12841455.35"/>
    <s v="OM CONSTRUCTION CO."/>
    <s v="VANRAJSINH BOGHUBHA SARVAIYA"/>
    <s v="314, Third Floor, Surabhi Mall, Waghawadi Road, BHAVNAGAR-364001"/>
    <n v="9427511001"/>
    <d v="2025-04-30T00:00:00"/>
    <s v="5054 Suvidhapath 2024-25"/>
    <s v="Superintending Engineer, Panchayat Road and Building Circle-2, Rajkot"/>
    <s v="RPC-2/Tender/Bhav/61"/>
    <d v="2025-05-14T00:00:00"/>
    <n v="8"/>
    <n v="643000"/>
    <d v="2029-08-25T00:00:00"/>
    <n v="92600"/>
    <n v="1246000"/>
    <d v="2026-07-17T00:00:00"/>
    <d v="2029-06-26T00:00:00"/>
    <n v="859"/>
    <d v="2025-06-18T00:00:00"/>
    <m/>
    <m/>
    <m/>
    <m/>
    <m/>
    <m/>
    <m/>
    <m/>
    <m/>
    <m/>
    <m/>
    <m/>
    <m/>
    <d v="2025-10-15T00:00:00"/>
    <m/>
    <m/>
    <m/>
    <m/>
    <m/>
    <m/>
  </r>
  <r>
    <n v="23"/>
    <m/>
    <s v="2025-26"/>
    <x v="1"/>
    <n v="1"/>
    <s v="Construction To Roads of Bhavnagar District Package No. RPC-2/BVN/MMGSY/Normal/2024-25/P.03 Ta. Mahuva, Dist. Bhavnagar"/>
    <s v="(1) Mahuva Vaghnagar Road_x000a_(2) Katpar Bandar Vistar Road"/>
    <s v="Mahuva"/>
    <s v="Mahuva"/>
    <s v="Road"/>
    <m/>
    <n v="180644"/>
    <m/>
    <d v="2025-05-01T00:00:00"/>
    <d v="2025-05-12T00:00:00"/>
    <d v="2025-05-13T00:00:00"/>
    <d v="2025-09-09T00:00:00"/>
    <n v="13447081.02"/>
    <m/>
    <n v="13043668.59"/>
    <n v="-3"/>
    <s v="Below"/>
    <s v="One Crore Thirty Lakh Forty Three Thousand Six Hundred Sixty Eight Rupees and Fifty Nine Paise Only"/>
    <s v="Circle"/>
    <m/>
    <n v="13043668.59"/>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3"/>
    <d v="2025-06-02T00:00:00"/>
    <n v="6"/>
    <n v="653000"/>
    <d v="2029-06-26T00:00:00"/>
    <n v="32000"/>
    <n v="0"/>
    <d v="2026-05-18T00:00:00"/>
    <d v="2029-04-27T00:00:00"/>
    <n v="861"/>
    <d v="2025-06-19T00:00:00"/>
    <s v="2025-26"/>
    <n v="66"/>
    <d v="2025-08-02T00:00:00"/>
    <s v="BG"/>
    <s v="HDFC Bank"/>
    <s v="101GT02252020011"/>
    <n v="653000"/>
    <d v="2025-07-21T00:00:00"/>
    <m/>
    <m/>
    <m/>
    <m/>
    <m/>
    <d v="2025-10-15T00:00:00"/>
    <n v="1058"/>
    <d v="2025-08-02T00:00:00"/>
    <m/>
    <m/>
    <m/>
    <m/>
  </r>
  <r>
    <n v="24"/>
    <m/>
    <s v="2025-26"/>
    <x v="1"/>
    <n v="2"/>
    <s v="Construction To Roads of Bhavnagar District Package No. RPC-2/BVN/MMGSY/Normal/2024-25/P.01 Ta. Gariyadhar, Dist. Bhavnagar"/>
    <s v="(1) Shivendranagar Dedarada Cutting Road_x000a_(2) Bela Vinay Mandir High School Road"/>
    <s v="Gariyadhar"/>
    <s v="Palitana"/>
    <s v="Road"/>
    <m/>
    <n v="180796"/>
    <m/>
    <d v="2025-05-01T00:00:00"/>
    <d v="2025-05-12T00:00:00"/>
    <d v="2025-05-13T00:00:00"/>
    <d v="2025-09-09T00:00:00"/>
    <n v="19431786.449999999"/>
    <m/>
    <n v="16175019.039999999"/>
    <n v="-16.760000000000002"/>
    <s v="Below"/>
    <s v="One Crore Sixty One Lakh Seventy Five Thousand Nineteen Rupees and Four Paise Only"/>
    <s v="Circle"/>
    <m/>
    <n v="16175019.039999999"/>
    <s v="C M VAGHELA"/>
    <s v="CHATURBHAI MOHANBHAI VAGHELA"/>
    <s v="MOTI PANIYALI, Via. Po. SHETRUNJI, Ta. PALITANA, Dist. BHAVNAGAR-364270"/>
    <n v="9925448120"/>
    <d v="2025-05-27T00:00:00"/>
    <s v="5054 MMGSY NORMAL 2024-25"/>
    <s v="Superintending Engineer, Panchayat Road and Building Circle-2, Rajkot"/>
    <s v="RPC-2/Tender/Bhav/102"/>
    <d v="2025-06-02T00:00:00"/>
    <n v="10"/>
    <n v="809000"/>
    <d v="2029-10-24T00:00:00"/>
    <n v="52600"/>
    <n v="263000"/>
    <d v="2026-09-15T00:00:00"/>
    <d v="2029-08-25T00:00:00"/>
    <n v="862"/>
    <d v="2025-06-19T00:00:00"/>
    <m/>
    <m/>
    <m/>
    <m/>
    <m/>
    <m/>
    <m/>
    <m/>
    <m/>
    <m/>
    <m/>
    <m/>
    <m/>
    <d v="2025-10-15T00:00:00"/>
    <m/>
    <m/>
    <m/>
    <m/>
    <m/>
    <m/>
  </r>
  <r>
    <n v="25"/>
    <m/>
    <s v="2025-26"/>
    <x v="1"/>
    <n v="3"/>
    <s v="Construction of Pachhegam Approach Road Km 0/0 to 2/400, Ta. Gariyadhar, Dist. Bhavnagar"/>
    <m/>
    <s v="Gariyadhar"/>
    <s v="Palitana"/>
    <s v="Road"/>
    <m/>
    <n v="180803"/>
    <m/>
    <d v="2025-05-01T00:00:00"/>
    <d v="2025-05-12T00:00:00"/>
    <d v="2025-05-13T00:00:00"/>
    <d v="2025-09-09T00:00:00"/>
    <n v="18362127.199999999"/>
    <m/>
    <n v="15220367.24"/>
    <n v="-17.11"/>
    <s v="Below"/>
    <s v="One Crore Fifty Two Lakh Twenty Thousand Three Hundred Sixty Seven Rupees and Twenty Four Paise Only"/>
    <s v="Circle"/>
    <m/>
    <n v="15220367.24"/>
    <s v="C M VAGHELA"/>
    <s v="CHATURBHAI MOHANBHAI VAGHELA"/>
    <s v="MOTI PANIYALI, Via. Po. SHETRUNJI, Ta. PALITANA, Dist. BHAVNAGAR-364270"/>
    <n v="9925448120"/>
    <d v="2025-05-27T00:00:00"/>
    <s v="5054 MMGSY NORMAL 2024-25"/>
    <s v="Superintending Engineer, Panchayat Road and Building Circle-2, Rajkot"/>
    <s v="RPC-2/Tender/Bhav/99"/>
    <d v="2025-06-02T00:00:00"/>
    <n v="8"/>
    <n v="762000"/>
    <d v="2029-08-25T00:00:00"/>
    <n v="50200"/>
    <n v="262000"/>
    <d v="2026-07-17T00:00:00"/>
    <d v="2029-06-26T00:00:00"/>
    <n v="863"/>
    <d v="2025-06-19T00:00:00"/>
    <m/>
    <m/>
    <m/>
    <m/>
    <m/>
    <m/>
    <m/>
    <m/>
    <m/>
    <m/>
    <m/>
    <m/>
    <m/>
    <d v="2025-10-15T00:00:00"/>
    <m/>
    <m/>
    <m/>
    <m/>
    <m/>
    <m/>
  </r>
  <r>
    <n v="26"/>
    <m/>
    <s v="2025-26"/>
    <x v="1"/>
    <n v="4"/>
    <s v="Construction of Navaniya Kanthariya Road Km 0/0 to 4/500, Ta. Vallabhipur, Dist. Bhavnagar"/>
    <m/>
    <s v="Vallabhipur"/>
    <s v="Vallabhipur"/>
    <s v="Road"/>
    <m/>
    <n v="180808"/>
    <m/>
    <d v="2025-05-01T00:00:00"/>
    <d v="2025-05-12T00:00:00"/>
    <d v="2025-05-13T00:00:00"/>
    <d v="2025-09-09T00:00:00"/>
    <n v="35977034.640000001"/>
    <m/>
    <n v="30569686.329999998"/>
    <n v="-15.03"/>
    <s v="Below"/>
    <s v="Three Crore Five Lakh Sixty Nine Thousand Six Hundred Eighty Six Rupees and Thirty Three Paise Only"/>
    <s v="Government"/>
    <m/>
    <n v="30569686.329999998"/>
    <s v="BHAVANI CONSTRUCTION COMPANY"/>
    <s v="RANJITBHAI BAHADURBHAI VALA"/>
    <s v="101, SHREEEJI ANAND CORNER, NEAR HDFC BANK, TOWER ROAD, PARA, Dist. BOTAD -364710"/>
    <n v="0"/>
    <d v="2025-05-27T00:00:00"/>
    <s v="5054 MMGSY NORMAL 2024-25"/>
    <s v="Road and Building Department, Ganghinagar"/>
    <s v="RBD/TRF/e-file/16/2025/3350/Section D1"/>
    <d v="2025-06-06T00:00:00"/>
    <n v="10"/>
    <n v="1529000"/>
    <d v="2029-10-24T00:00:00"/>
    <n v="92700"/>
    <n v="362000"/>
    <d v="2026-09-15T00:00:00"/>
    <d v="2029-08-25T00:00:00"/>
    <n v="864"/>
    <d v="2025-06-19T00:00:00"/>
    <m/>
    <m/>
    <m/>
    <m/>
    <m/>
    <m/>
    <m/>
    <m/>
    <m/>
    <m/>
    <m/>
    <m/>
    <m/>
    <d v="2025-10-15T00:00:00"/>
    <m/>
    <m/>
    <m/>
    <m/>
    <m/>
    <m/>
  </r>
  <r>
    <n v="27"/>
    <m/>
    <s v="2025-26"/>
    <x v="1"/>
    <n v="5"/>
    <s v="Construction of Pithalpur Gadhula Road Km 0/0 to 2/700, Ta. Talaja, Dist. Bhavnagar"/>
    <m/>
    <s v="Talaja"/>
    <s v="Talaja"/>
    <s v="Road"/>
    <m/>
    <n v="180814"/>
    <m/>
    <d v="2025-05-01T00:00:00"/>
    <d v="2025-05-12T00:00:00"/>
    <d v="2025-05-13T00:00:00"/>
    <d v="2025-09-09T00:00:00"/>
    <n v="16879671.48"/>
    <m/>
    <n v="14687002.15"/>
    <n v="-12.99"/>
    <s v="Below"/>
    <s v="One Crore Forty Six Lakh Eighty Seven Thousand Two Rupees and Fifteen Paise Only"/>
    <s v="Circle"/>
    <m/>
    <n v="14687002.15"/>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0"/>
    <d v="2025-06-02T00:00:00"/>
    <n v="10"/>
    <n v="735000"/>
    <d v="2029-10-24T00:00:00"/>
    <n v="41000"/>
    <n v="101000"/>
    <d v="2026-09-15T00:00:00"/>
    <d v="2029-08-25T00:00:00"/>
    <n v="865"/>
    <d v="2025-06-19T00:00:00"/>
    <s v="2025-26"/>
    <n v="72"/>
    <d v="2025-08-08T00:00:00"/>
    <s v="BG"/>
    <s v="HDFC Bank"/>
    <s v="101GT02252020008"/>
    <n v="735000"/>
    <d v="2025-07-21T00:00:00"/>
    <s v="BG"/>
    <s v="HDFC Bank"/>
    <s v="101GT02252020015"/>
    <n v="101000"/>
    <d v="2025-07-21T00:00:00"/>
    <d v="2025-10-15T00:00:00"/>
    <n v="1050"/>
    <d v="2025-08-08T00:00:00"/>
    <m/>
    <m/>
    <m/>
    <m/>
  </r>
  <r>
    <n v="28"/>
    <m/>
    <s v="2025-26"/>
    <x v="1"/>
    <n v="6"/>
    <s v="Construction of Padargadh Borada Road Km 0/0 to 2/750, Ta. Talaja, Dist. Bhavnagar"/>
    <m/>
    <s v="Talaja"/>
    <s v="Talaja"/>
    <s v="Road"/>
    <m/>
    <n v="180825"/>
    <m/>
    <d v="2025-05-01T00:00:00"/>
    <d v="2025-05-12T00:00:00"/>
    <d v="2025-05-13T00:00:00"/>
    <d v="2025-09-09T00:00:00"/>
    <n v="15690763.65"/>
    <m/>
    <n v="12747176.390000001"/>
    <n v="-18.760000000000002"/>
    <s v="Below"/>
    <s v="One Crore Twenty Seven Lakh Forty Seven Thousand One Hundred Seventy Six Rupees and Thirty Nine Paise Only"/>
    <s v="Circle"/>
    <m/>
    <n v="12747176.390000001"/>
    <s v="C M VAGHELA"/>
    <s v="CHATURBHAI MOHANBHAI VAGHELA"/>
    <s v="MOTI PANIYALI, Via. Po. SHETRUNJI, Ta. PALITANA, Dist. BHAVNAGAR-364270"/>
    <n v="9925448120"/>
    <d v="2025-05-27T00:00:00"/>
    <s v="5054 MMGSY NORMAL 2024-25"/>
    <s v="Superintending Engineer, Panchayat Road and Building Circle-2, Rajkot"/>
    <s v="RPC-2/Tender/Bhav/105"/>
    <d v="2025-06-02T00:00:00"/>
    <n v="8"/>
    <n v="638000"/>
    <d v="2029-08-25T00:00:00"/>
    <n v="44800"/>
    <n v="275000"/>
    <d v="2026-07-17T00:00:00"/>
    <d v="2029-06-26T00:00:00"/>
    <n v="866"/>
    <d v="2025-06-19T00:00:00"/>
    <m/>
    <m/>
    <m/>
    <m/>
    <m/>
    <m/>
    <m/>
    <m/>
    <m/>
    <m/>
    <m/>
    <m/>
    <m/>
    <d v="2025-10-15T00:00:00"/>
    <m/>
    <m/>
    <m/>
    <m/>
    <m/>
    <m/>
  </r>
  <r>
    <n v="29"/>
    <m/>
    <s v="2025-26"/>
    <x v="1"/>
    <n v="7"/>
    <s v="Construction of Mota Charodiya Jagatpir Ashram Road Km 0/0 to 1/800, Ta. Gariyadhar, Dist. Bhavnagar"/>
    <m/>
    <s v="Gariyadhar"/>
    <s v="Palitana"/>
    <s v="Road"/>
    <m/>
    <n v="180832"/>
    <m/>
    <d v="2025-05-01T00:00:00"/>
    <d v="2025-05-12T00:00:00"/>
    <d v="2025-05-13T00:00:00"/>
    <d v="2025-09-09T00:00:00"/>
    <n v="11333888.539999999"/>
    <m/>
    <n v="9573735.6500000004"/>
    <n v="-15.53"/>
    <s v="Below"/>
    <s v="Ninety Five Lakh Seventy Three Thousand Seven Hundred Thirty Five Rupees and Sixty Five Paise Only"/>
    <s v="Circle"/>
    <m/>
    <n v="9573735.6500000004"/>
    <s v="C M VAGHELA"/>
    <s v="CHATURBHAI MOHANBHAI VAGHELA"/>
    <s v="MOTI PANIYALI, Via. Po. SHETRUNJI, Ta. PALITANA, Dist. BHAVNAGAR-364270"/>
    <n v="9925448120"/>
    <d v="2025-05-27T00:00:00"/>
    <s v="5054 MMGSY SCSP 2024-25"/>
    <s v="Superintending Engineer, Panchayat Road and Building Circle-2, Rajkot"/>
    <s v="RPC-2/Tender/Bhav/104"/>
    <d v="2025-06-02T00:00:00"/>
    <n v="8"/>
    <n v="479000"/>
    <d v="2029-08-25T00:00:00"/>
    <n v="29700"/>
    <n v="126000"/>
    <d v="2026-07-17T00:00:00"/>
    <d v="2029-06-26T00:00:00"/>
    <n v="867"/>
    <d v="2025-06-19T00:00:00"/>
    <m/>
    <m/>
    <m/>
    <m/>
    <m/>
    <m/>
    <m/>
    <m/>
    <m/>
    <m/>
    <m/>
    <m/>
    <m/>
    <d v="2025-10-15T00:00:00"/>
    <m/>
    <m/>
    <m/>
    <m/>
    <m/>
    <m/>
  </r>
  <r>
    <n v="30"/>
    <m/>
    <s v="2025-26"/>
    <x v="1"/>
    <n v="8"/>
    <s v="Construction of Gopnath joining to Mastramdhara link Road Km 0/0 to 2/250, Ta. Talaja, Dist. Bhavnagar"/>
    <m/>
    <s v="Talaja"/>
    <s v="Talaja"/>
    <s v="Road"/>
    <m/>
    <n v="180651"/>
    <m/>
    <d v="2025-05-01T00:00:00"/>
    <d v="2025-05-12T00:00:00"/>
    <d v="2025-05-13T00:00:00"/>
    <d v="2025-09-09T00:00:00"/>
    <n v="13577420.949999999"/>
    <m/>
    <n v="9505552.4100000001"/>
    <n v="-29.99"/>
    <s v="Below"/>
    <s v="Ninety Five Lakh Five Thousand Five Hundred Fifty Two Rupees and Forty One Paise Only"/>
    <s v="Circle"/>
    <m/>
    <n v="9505552.4100000001"/>
    <s v="ASHAPURA CONSTRUCTION"/>
    <n v="0"/>
    <s v="&quot;Ashapura Nivas&quot;, Shivaji Nagar, Talaja, Ta. Talaja Dist. Bhavnagar"/>
    <n v="9638310999"/>
    <d v="2025-05-27T00:00:00"/>
    <s v="5054 MMGSY NORMAL 2024-25"/>
    <s v="Superintending Engineer, Panchayat Road and Building Circle-2, Rajkot"/>
    <s v="RPC-2/Tender/Bhav/97"/>
    <d v="2025-06-02T00:00:00"/>
    <n v="6"/>
    <n v="476000"/>
    <d v="2029-04-19T00:00:00"/>
    <n v="63300"/>
    <n v="815000"/>
    <d v="2026-03-11T00:00:00"/>
    <d v="2029-02-18T00:00:00"/>
    <n v="868"/>
    <d v="2025-06-19T00:00:00"/>
    <s v="2025-26"/>
    <n v="74"/>
    <d v="2025-08-08T00:00:00"/>
    <s v="FDR"/>
    <s v="HDFC Bank"/>
    <s v="50301195323355"/>
    <n v="476000"/>
    <d v="2025-07-31T00:00:00"/>
    <s v="FDR"/>
    <s v="HDFC Bank"/>
    <s v="50301193104650"/>
    <n v="815000"/>
    <d v="2025-07-25T00:00:00"/>
    <d v="2025-08-08T00:00:00"/>
    <n v="1052"/>
    <d v="2025-08-08T00:00:00"/>
    <m/>
    <m/>
    <m/>
    <m/>
  </r>
  <r>
    <n v="31"/>
    <m/>
    <s v="2025-26"/>
    <x v="1"/>
    <n v="9"/>
    <s v="Construction of Langala to Dedakadi Road Km 0/0 to 2/400, Ta. Vallabhipur, Dist. Bhavnagar"/>
    <m/>
    <s v="Umrala"/>
    <s v="Vallabhipur"/>
    <s v="Road"/>
    <m/>
    <n v="180840"/>
    <m/>
    <d v="2025-05-01T00:00:00"/>
    <d v="2025-05-12T00:00:00"/>
    <d v="2025-05-13T00:00:00"/>
    <d v="2025-09-09T00:00:00"/>
    <n v="15863200.939999999"/>
    <m/>
    <n v="14078590.83"/>
    <n v="-11.25"/>
    <s v="Below"/>
    <s v="One Crore Forty Lakh Seventy Eight Thousand Five Hundred Ninety Rupees and Eighty Three Paise Only"/>
    <s v="Circle"/>
    <m/>
    <n v="14078590.83"/>
    <s v="Universal associates"/>
    <n v="0"/>
    <s v="70, Hari Darshan Township, Subhashnagar, Bhavnagar"/>
    <n v="9825209897"/>
    <d v="2025-05-27T00:00:00"/>
    <s v="5054 MMGSY SCSP 2024-25"/>
    <s v="Superintending Engineer, Panchayat Road and Building Circle-2, Rajkot"/>
    <s v="RPC-2/Tender/Bhav/96"/>
    <d v="2025-06-02T00:00:00"/>
    <n v="8"/>
    <n v="704000"/>
    <d v="2029-08-25T00:00:00"/>
    <n v="36500"/>
    <n v="40000"/>
    <d v="2026-07-17T00:00:00"/>
    <d v="2029-06-26T00:00:00"/>
    <n v="869"/>
    <d v="2025-06-19T00:00:00"/>
    <s v="2025-26"/>
    <n v="89"/>
    <d v="2025-08-18T00:00:00"/>
    <s v="FDR"/>
    <s v="State Bank of India"/>
    <n v="44345147183"/>
    <n v="704000"/>
    <d v="2025-08-04T00:00:00"/>
    <s v="FDR"/>
    <s v="State Bank of India"/>
    <n v="44345136001"/>
    <n v="40000"/>
    <d v="2025-08-04T00:00:00"/>
    <d v="2025-10-15T00:00:00"/>
    <n v="1168"/>
    <d v="2025-08-18T00:00:00"/>
    <m/>
    <m/>
    <m/>
    <m/>
  </r>
  <r>
    <n v="32"/>
    <m/>
    <s v="2025-26"/>
    <x v="1"/>
    <n v="10"/>
    <s v="Construction of Sanala To Sanala Cutting Road (NP) Km.0/000 to 1/400 Ta. Jesar, Dist. Bhavnagar"/>
    <m/>
    <s v="Jesar"/>
    <s v="Mahuva"/>
    <s v="Road"/>
    <m/>
    <n v="180844"/>
    <m/>
    <d v="2025-05-01T00:00:00"/>
    <d v="2025-05-12T00:00:00"/>
    <d v="2025-05-13T00:00:00"/>
    <d v="2025-09-09T00:00:00"/>
    <n v="23183208.690000001"/>
    <m/>
    <n v="19107600.600000001"/>
    <n v="-17.579999999999998"/>
    <s v="Below"/>
    <s v="One Crore Ninety One Lakh Seven Thousand Six Hundred Rupees and Six Paise Only"/>
    <s v="Circle"/>
    <m/>
    <n v="19107600.600000001"/>
    <s v="C M VAGHELA"/>
    <s v="CHATURBHAI MOHANBHAI VAGHELA"/>
    <s v="MOTI PANIYALI, Via. Po. SHETRUNJI, Ta. PALITANA, Dist. BHAVNAGAR-364270"/>
    <n v="9925448120"/>
    <d v="2025-05-27T00:00:00"/>
    <s v="5054 MMGSY SCSP 2024-25"/>
    <s v="Road and Building Department, Ganghinagar"/>
    <s v="RBD/TRF/e-file/16/2025/3302/Section D1"/>
    <d v="2025-06-05T00:00:00"/>
    <n v="8"/>
    <n v="956000"/>
    <d v="2029-08-25T00:00:00"/>
    <n v="64100"/>
    <n v="352000"/>
    <d v="2026-07-17T00:00:00"/>
    <d v="2029-06-26T00:00:00"/>
    <n v="870"/>
    <d v="2025-06-19T00:00:00"/>
    <m/>
    <m/>
    <m/>
    <m/>
    <m/>
    <m/>
    <m/>
    <m/>
    <m/>
    <m/>
    <m/>
    <m/>
    <m/>
    <d v="2025-10-15T00:00:00"/>
    <m/>
    <m/>
    <m/>
    <m/>
    <m/>
    <m/>
  </r>
  <r>
    <n v="33"/>
    <s v="2024-25"/>
    <s v="2025-26"/>
    <x v="1"/>
    <n v="11"/>
    <s v="Resurfacing to Roads of Bhavnagar District Package no. RPC-2/BVN/MMGSY/Normal/2024-25/P.04 Ta. Shihor, Dist. Bhavnagar"/>
    <s v="(1) Ramdhari Chorvadala Road_x000a_(2) Sarvedi Dholakuva Road_x000a_(3) Sandhida Dhankadkunda Dholakuva Road"/>
    <s v="Shihor"/>
    <s v="Shihor"/>
    <s v="Road"/>
    <m/>
    <n v="180848"/>
    <m/>
    <d v="2025-05-01T00:00:00"/>
    <d v="2025-05-12T00:00:00"/>
    <d v="2025-05-13T00:00:00"/>
    <d v="2025-09-09T00:00:00"/>
    <n v="44204292.450000003"/>
    <m/>
    <n v="38842311.780000001"/>
    <n v="-12.13"/>
    <s v="Below"/>
    <s v="Three Crore Eighty Eight Lakh Forty Two Thousand Three Hundred Eleven Rupees and Seventy Eight Paise Only"/>
    <s v="Government"/>
    <m/>
    <n v="38842311.780000001"/>
    <s v="SAMIR H SAIYAD"/>
    <n v="0"/>
    <s v="Shop No. 112, Sunrise Complex, Dawn Chowk, Bhavnagar "/>
    <n v="7600749191"/>
    <d v="2025-05-27T00:00:00"/>
    <s v="3054 MMGSY NORMAL 2024-25"/>
    <s v="Road and Building Department, Ganghinagar"/>
    <s v="RBD/TRF/e-file/16/2025/3300/Section D1"/>
    <d v="2025-06-17T00:00:00"/>
    <n v="10"/>
    <n v="1943000"/>
    <d v="2029-11-19T00:00:00"/>
    <n v="104500"/>
    <n v="189000"/>
    <d v="2026-10-11T00:00:00"/>
    <d v="2029-09-20T00:00:00"/>
    <n v="873"/>
    <d v="2025-06-21T00:00:00"/>
    <s v="2025-26"/>
    <n v="202"/>
    <d v="2025-11-10T00:00:00"/>
    <s v="FDR"/>
    <s v="Union Bank of India"/>
    <s v="32423030002307"/>
    <n v="1943000"/>
    <d v="2025-10-29T00:00:00"/>
    <s v="FDR"/>
    <s v="Union Bank of India"/>
    <s v="32423030002308"/>
    <n v="189000"/>
    <d v="2025-10-29T00:00:00"/>
    <d v="2025-11-10T00:00:00"/>
    <n v="1510"/>
    <d v="2025-11-10T00:00:00"/>
    <m/>
    <m/>
    <m/>
    <m/>
  </r>
  <r>
    <n v="34"/>
    <s v="2024-25"/>
    <s v="2025-26"/>
    <x v="1"/>
    <n v="12"/>
    <s v="Resurfacing and Routine Maintenance to Roads of Bhavnagar District Package no. RPC-2/BVN/MMGSY/Normal/2024-25/P.02 Ta. Bhavnagar Ghogha, Dist. Bhavnagar"/>
    <s v="(1) Avaniya Jodhpura Area Road_x000a_(2) Valukadpara Approach Road_x000a_(3) Navagam Approach Road_x000a_(4) Mota Khokhara To Vadi Area Road_x000a_(5) Bhikada Bhikadapara Road_x000a_"/>
    <s v="Bhavnagar"/>
    <s v="Bhavnagar"/>
    <s v="Road"/>
    <m/>
    <n v="180705"/>
    <m/>
    <d v="2025-05-01T00:00:00"/>
    <d v="2025-05-12T00:00:00"/>
    <d v="2025-05-13T00:00:00"/>
    <d v="2025-09-09T00:00:00"/>
    <n v="18127674.920000002"/>
    <m/>
    <n v="16088311.49"/>
    <n v="-11.25"/>
    <s v="Below"/>
    <s v="One Crore Sixty Lakh Eighty Eight Thousand Three Hundred Eleven Rupees and Forty Nine Paise Only"/>
    <s v="Circle"/>
    <n v="1224193.3999999999"/>
    <n v="17312504.890000001"/>
    <s v="Universal associates"/>
    <n v="0"/>
    <s v="70, Hari Darshan Township, Subhashnagar, Bhavnagar"/>
    <n v="9825209897"/>
    <d v="2025-05-27T00:00:00"/>
    <s v="5054 MMGSY NORMAL 2024-25"/>
    <s v="Superintending Engineer, Panchayat Road and Building Circle-2, Rajkot"/>
    <s v="RPC-2/Tender/Bhav/107"/>
    <d v="2025-06-02T00:00:00"/>
    <n v="8"/>
    <n v="805000"/>
    <d v="2029-08-25T00:00:00"/>
    <n v="41700"/>
    <n v="46000"/>
    <d v="2026-07-17T00:00:00"/>
    <d v="2029-06-26T00:00:00"/>
    <n v="874"/>
    <d v="2025-06-21T00:00:00"/>
    <s v="2025-26"/>
    <n v="63"/>
    <d v="2025-07-19T00:00:00"/>
    <s v="FDR"/>
    <s v="State Bank of India"/>
    <n v="44288079123"/>
    <n v="805000"/>
    <d v="2025-07-17T00:00:00"/>
    <s v="FDR"/>
    <s v="State Bank of India"/>
    <n v="44288012760"/>
    <n v="46000"/>
    <d v="2025-07-17T00:00:00"/>
    <d v="2025-10-15T00:00:00"/>
    <n v="999"/>
    <d v="2025-09-17T00:00:00"/>
    <m/>
    <m/>
    <m/>
    <m/>
  </r>
  <r>
    <n v="35"/>
    <m/>
    <s v="2025-26"/>
    <x v="1"/>
    <n v="13"/>
    <s v="Improvement of Khadsaliya Morchand Padva Road (VR NP) (Khadsaliya Morchand Km.0/000 -3/800) Ta.Ghogha, Dist.; Bhavnagar"/>
    <m/>
    <s v="Ghogha"/>
    <s v="Bhavnagar"/>
    <s v="Road"/>
    <m/>
    <n v="180856"/>
    <m/>
    <d v="2025-05-01T00:00:00"/>
    <d v="2025-05-12T00:00:00"/>
    <d v="2025-05-13T00:00:00"/>
    <d v="2025-09-09T00:00:00"/>
    <n v="15081719.609999999"/>
    <m/>
    <n v="13271913.26"/>
    <n v="-12"/>
    <s v="Below"/>
    <s v="One Crore Thirty Two Lakh Seventy One Thousand Nine Hundred Thirteen Rupees and Twenty Six Paise Only"/>
    <s v="Circle"/>
    <m/>
    <n v="13271913.26"/>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1"/>
    <d v="2025-06-02T00:00:00"/>
    <n v="8"/>
    <n v="664000"/>
    <d v="2029-08-25T00:00:00"/>
    <n v="35600"/>
    <n v="61000"/>
    <d v="2026-07-17T00:00:00"/>
    <d v="2029-06-26T00:00:00"/>
    <n v="875"/>
    <d v="2025-06-21T00:00:00"/>
    <s v="2025-26"/>
    <n v="65"/>
    <d v="2025-08-02T00:00:00"/>
    <s v="BG"/>
    <s v="HDFC Bank"/>
    <s v="101GT02252020007"/>
    <n v="664000"/>
    <d v="2025-07-21T00:00:00"/>
    <s v="BG"/>
    <s v="HDFC Bank"/>
    <s v="101GT02252020006"/>
    <n v="61000"/>
    <d v="2025-07-21T00:00:00"/>
    <d v="2025-10-15T00:00:00"/>
    <n v="1057"/>
    <d v="2025-08-02T00:00:00"/>
    <m/>
    <m/>
    <m/>
    <m/>
  </r>
  <r>
    <n v="36"/>
    <m/>
    <s v="2025-26"/>
    <x v="1"/>
    <n v="14"/>
    <s v="Resurfacing of Biladi Nana Mota Pipalava Kankot Road (Sec. Pipalava to Kankot) Km 0/0 to 1/800, Ta. Mahuva, Dist. Bhavnagar"/>
    <m/>
    <s v="Mahuva"/>
    <s v="Mahuva"/>
    <s v="Road"/>
    <m/>
    <n v="180716"/>
    <m/>
    <d v="2025-05-01T00:00:00"/>
    <d v="2025-05-12T00:00:00"/>
    <d v="2025-05-13T00:00:00"/>
    <d v="2025-09-09T00:00:00"/>
    <m/>
    <s v="Yes"/>
    <m/>
    <m/>
    <s v="Equals"/>
    <s v="Zero Rupees Only"/>
    <s v="Division"/>
    <m/>
    <n v="0"/>
    <m/>
    <n v="0"/>
    <n v="0"/>
    <n v="0"/>
    <m/>
    <m/>
    <m/>
    <m/>
    <m/>
    <m/>
    <n v="0"/>
    <d v="1901-03-25T00:00:00"/>
    <n v="0"/>
    <n v="0"/>
    <d v="1900-02-03T00:00:00"/>
    <d v="1901-01-24T00:00:00"/>
    <m/>
    <m/>
    <m/>
    <m/>
    <m/>
    <m/>
    <m/>
    <m/>
    <m/>
    <m/>
    <m/>
    <m/>
    <m/>
    <m/>
    <m/>
    <m/>
    <m/>
    <m/>
    <m/>
    <m/>
    <m/>
    <m/>
  </r>
  <r>
    <n v="37"/>
    <m/>
    <s v="2025-26"/>
    <x v="1"/>
    <n v="15"/>
    <s v="Resurfacing and Routine Maintenance of Borala Approach Road (VR) Km.0/000 to 1/100 Ta.Mahuva, Dist.; Bhavnagar"/>
    <m/>
    <s v="Mahuva"/>
    <s v="Mahuva"/>
    <s v="Road"/>
    <m/>
    <n v="180728"/>
    <n v="1"/>
    <d v="2025-05-01T00:00:00"/>
    <d v="2025-05-12T00:00:00"/>
    <d v="2025-05-13T00:00:00"/>
    <d v="2025-09-09T00:00:00"/>
    <n v="5574164.5300000003"/>
    <m/>
    <n v="6187322.6299999999"/>
    <n v="11"/>
    <s v="Above"/>
    <s v="Sixty One Lakh Eighty Seven Thousand Three Hundred Twenty Two Rupees and Sixty Three Paise Only"/>
    <s v="Circle"/>
    <m/>
    <n v="6187322.6299999999"/>
    <s v="SHIV DHARA ENTERPRISE"/>
    <n v="0"/>
    <s v="Shop No. 131/B, First Floor, Shiva Belssing-2, Opp. BMC Office, Bhavnagar"/>
    <n v="9925888787"/>
    <d v="2025-05-27T00:00:00"/>
    <s v="5054 MMGSY NORMAL 2024-25"/>
    <s v="Superintending Engineer, Panchayat Road and Building Circle-2, Rajkot"/>
    <s v="RPC-2/Tender/Bhav/118"/>
    <d v="2025-06-10T00:00:00"/>
    <n v="4"/>
    <n v="310000"/>
    <d v="2027-05-08T00:00:00"/>
    <n v="15200"/>
    <n v="0"/>
    <d v="2026-03-19T00:00:00"/>
    <d v="2027-03-09T00:00:00"/>
    <n v="876"/>
    <d v="2025-06-21T00:00:00"/>
    <m/>
    <m/>
    <m/>
    <m/>
    <m/>
    <m/>
    <m/>
    <m/>
    <m/>
    <m/>
    <m/>
    <m/>
    <m/>
    <d v="2025-10-15T00:00:00"/>
    <m/>
    <m/>
    <m/>
    <m/>
    <m/>
    <m/>
  </r>
  <r>
    <n v="38"/>
    <m/>
    <s v="2025-26"/>
    <x v="1"/>
    <n v="16"/>
    <s v="Construction of Minor Bridge on Mahuva Mota Jadra Road (NP BT) Ta.Mahuva, Dist.; Bhavnagar"/>
    <m/>
    <s v="Mahuva"/>
    <s v="Mahuva"/>
    <s v="Road"/>
    <m/>
    <n v="180660"/>
    <m/>
    <d v="2025-05-01T00:00:00"/>
    <d v="2025-05-12T00:00:00"/>
    <d v="2025-05-13T00:00:00"/>
    <d v="2025-09-09T00:00:00"/>
    <n v="15230378.720000001"/>
    <m/>
    <n v="10662788.140000001"/>
    <n v="-29.99"/>
    <s v="Below"/>
    <s v="One Crore Six Lakh Sixty Two Thousand Seven Hundred Eighty Eight Rupees and Fourteen Paise Only"/>
    <s v="Circle"/>
    <m/>
    <n v="10662788.140000001"/>
    <s v="VASHRAMBHAI BIJALBHAI AND CO"/>
    <s v="DINESHBHAI VASHRAMBHAI PADAYA,"/>
    <s v="53, Chandraprakash Residency, Sidasar Road, Leela Circle, Bhavnagar-364002"/>
    <n v="9375779757"/>
    <d v="2025-05-27T00:00:00"/>
    <s v="5054 MMGSY NORMAL 2024-25"/>
    <s v="Superintending Engineer, Panchayat Road and Building Circle-2, Rajkot"/>
    <s v="RPC-2/Tender/Bhav/98"/>
    <d v="2025-06-02T00:00:00"/>
    <n v="10"/>
    <n v="534000"/>
    <d v="2029-10-24T00:00:00"/>
    <n v="71000"/>
    <n v="914000"/>
    <d v="2026-09-15T00:00:00"/>
    <d v="2029-08-25T00:00:00"/>
    <n v="879"/>
    <d v="2025-06-21T00:00:00"/>
    <s v="2025-26"/>
    <n v="147"/>
    <d v="2025-09-10T00:00:00"/>
    <s v="FDR"/>
    <s v="HDFC Bank"/>
    <s v="50301204707986"/>
    <n v="534000"/>
    <d v="2025-08-20T00:00:00"/>
    <s v="FDR"/>
    <s v="HDFC Bank"/>
    <s v="50301204708710"/>
    <n v="914000"/>
    <d v="2025-08-20T00:00:00"/>
    <d v="2025-10-15T00:00:00"/>
    <n v="1291"/>
    <d v="2025-09-10T00:00:00"/>
    <m/>
    <m/>
    <m/>
    <m/>
  </r>
  <r>
    <n v="39"/>
    <m/>
    <s v="2025-26"/>
    <x v="1"/>
    <n v="17"/>
    <s v="Construction New Structure of Bhavnagar District Package No. RPC-2/BVN/MMGSY/Normal/2023-24/P.11 Ta. Mahuva"/>
    <s v="(1) Vented Causeway on Dharai Titodiya Road_x000a_(2) Slab Drain on Gundarana Padargadh Road"/>
    <s v="Mahuva"/>
    <s v="Mahuva"/>
    <s v="Road"/>
    <m/>
    <n v="180666"/>
    <m/>
    <d v="2025-05-01T00:00:00"/>
    <d v="2025-05-12T00:00:00"/>
    <d v="2025-05-13T00:00:00"/>
    <d v="2025-09-09T00:00:00"/>
    <n v="11706821.6"/>
    <m/>
    <n v="8624415.4700000007"/>
    <n v="-26.33"/>
    <s v="Below"/>
    <s v="Eighty Six Lakh Twenty Four Thousand Four Hundred Fifteen Rupees and Forty Seven Paise Only"/>
    <s v="Circle"/>
    <m/>
    <n v="8624415.4700000007"/>
    <s v="CHAUHAN LALJIBHAI ARJANBHAI"/>
    <n v="0"/>
    <s v="Plot No. 13/C, Sheri No. 9, Gurunagar, Behind Chitra Petrol, Bhavnagar 364003 "/>
    <n v="8980580857"/>
    <d v="2025-05-27T00:00:00"/>
    <s v="5054 MMGSY NORMAL 2024-25"/>
    <s v="Superintending Engineer, Panchayat Road and Building Circle-2, Rajkot"/>
    <s v="RPC-2/Tender/Bhav/95"/>
    <d v="2025-06-02T00:00:00"/>
    <n v="8"/>
    <n v="432000"/>
    <d v="2029-08-25T00:00:00"/>
    <n v="49300"/>
    <n v="574000"/>
    <d v="2026-07-17T00:00:00"/>
    <d v="2029-06-26T00:00:00"/>
    <n v="877"/>
    <d v="2025-06-21T00:00:00"/>
    <m/>
    <m/>
    <m/>
    <m/>
    <m/>
    <m/>
    <m/>
    <m/>
    <m/>
    <m/>
    <m/>
    <m/>
    <m/>
    <d v="2025-10-15T00:00:00"/>
    <m/>
    <m/>
    <m/>
    <m/>
    <m/>
    <m/>
  </r>
  <r>
    <n v="40"/>
    <m/>
    <s v="2025-26"/>
    <x v="1"/>
    <n v="18"/>
    <s v="Construc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80679"/>
    <m/>
    <d v="2025-05-01T00:00:00"/>
    <d v="2025-05-12T00:00:00"/>
    <d v="2025-05-13T00:00:00"/>
    <d v="2025-09-09T00:00:00"/>
    <n v="24576686.510000002"/>
    <m/>
    <n v="18427599.550000001"/>
    <n v="-25.02"/>
    <s v="Below"/>
    <s v="One Crore Eighty Four Lakh Twenty Seven Thousand Five Hundred Ninety Nine Rupees and Fifty Five Paise Only"/>
    <s v="Circle"/>
    <m/>
    <n v="18427599.550000001"/>
    <s v="BHAVANI CONSTRUCTION COMPANY"/>
    <s v="RANJITBHAI BAHADURBHAI VALA"/>
    <s v="101, SHREEEJI ANAND CORNER, NEAR HDFC BANK, TOWER ROAD, PARA, Dist. BOTAD -364710"/>
    <n v="0"/>
    <d v="2025-05-27T00:00:00"/>
    <s v="5054 Suvidhapath 2024-25"/>
    <s v="Road and Building Department, Ganghinagar"/>
    <s v="RBD/TRF/e-file/16/2025/3304/Section D1"/>
    <d v="2025-06-05T00:00:00"/>
    <n v="8"/>
    <n v="922000"/>
    <d v="2029-08-25T00:00:00"/>
    <n v="99500"/>
    <n v="1108000"/>
    <d v="2026-07-17T00:00:00"/>
    <d v="2029-06-26T00:00:00"/>
    <n v="878"/>
    <d v="2025-06-21T00:00:00"/>
    <m/>
    <m/>
    <m/>
    <m/>
    <m/>
    <m/>
    <m/>
    <m/>
    <m/>
    <m/>
    <m/>
    <m/>
    <m/>
    <d v="2025-10-15T00:00:00"/>
    <m/>
    <m/>
    <m/>
    <m/>
    <m/>
    <m/>
  </r>
  <r>
    <n v="41"/>
    <m/>
    <s v="2025-26"/>
    <x v="1"/>
    <n v="19"/>
    <s v="Construction Cement Concrete Roads of Bhavnagar District Package No. RPC-2/BVN/Suvidhapath/2024-25/P.12, Ta. Palitana, Dist. Bhavnagar"/>
    <s v="(1) Luvarvav Bhundarakha Road (village Luvarvav)_x000a_(2) Dudhala Damarala Bypass Road (village Damarala)"/>
    <s v="Palitana"/>
    <s v="Palitana"/>
    <s v="Road"/>
    <m/>
    <n v="180696"/>
    <m/>
    <d v="2025-05-01T00:00:00"/>
    <d v="2025-05-12T00:00:00"/>
    <d v="2025-05-13T00:00:00"/>
    <d v="2025-09-09T00:00:00"/>
    <n v="9144415.4199999999"/>
    <m/>
    <n v="6126758.3300000001"/>
    <n v="-33"/>
    <s v="Below"/>
    <s v="Sixty One Lakh Twenty Six Thousand Seven Hundred Fifty Eight Rupees and Thirty Three Paise Only"/>
    <s v="Circle"/>
    <m/>
    <n v="6126758.3300000001"/>
    <s v="C M VAGHELA"/>
    <s v="CHATURBHAI MOHANBHAI VAGHELA"/>
    <s v="MOTI PANIYALI, Via. Po. SHETRUNJI, Ta. PALITANA, Dist. BHAVNAGAR-364270"/>
    <n v="9925448120"/>
    <d v="2025-05-27T00:00:00"/>
    <s v="5054 Suvidhapath 2024-25"/>
    <s v="Superintending Engineer, Panchayat Road and Building Circle-2, Rajkot"/>
    <s v="RPC-2/Tender/Bhav/106"/>
    <d v="2025-06-02T00:00:00"/>
    <n v="4"/>
    <n v="307000"/>
    <d v="2027-05-08T00:00:00"/>
    <n v="46000"/>
    <n v="631000"/>
    <d v="2026-03-19T00:00:00"/>
    <d v="2027-03-09T00:00:00"/>
    <n v="880"/>
    <d v="2025-06-21T00:00:00"/>
    <m/>
    <m/>
    <m/>
    <m/>
    <m/>
    <m/>
    <m/>
    <m/>
    <m/>
    <m/>
    <m/>
    <m/>
    <m/>
    <d v="2025-10-15T00:00:00"/>
    <m/>
    <m/>
    <m/>
    <m/>
    <m/>
    <m/>
  </r>
  <r>
    <n v="42"/>
    <m/>
    <s v="2025-26"/>
    <x v="1"/>
    <n v="20"/>
    <s v="Construction of PanchTobara Gangajaliya To Malvali Road To Ratanvav Surnivas Road Km 0/0 to 2/200, Ta. Gariyadhar, Dist. Bhavnagar"/>
    <m/>
    <s v="Gariyadhar"/>
    <s v="Palitana"/>
    <s v="Road"/>
    <m/>
    <m/>
    <m/>
    <d v="2025-05-01T00:00:00"/>
    <d v="2025-05-12T00:00:00"/>
    <d v="2025-05-13T00:00:00"/>
    <d v="2025-09-09T00:00:00"/>
    <m/>
    <s v="Yes"/>
    <m/>
    <m/>
    <s v="Equals"/>
    <s v="Zero Rupees Only"/>
    <s v="Division"/>
    <m/>
    <n v="0"/>
    <m/>
    <n v="0"/>
    <n v="0"/>
    <n v="0"/>
    <m/>
    <m/>
    <m/>
    <m/>
    <m/>
    <m/>
    <n v="0"/>
    <d v="1901-03-25T00:00:00"/>
    <n v="0"/>
    <n v="0"/>
    <d v="1900-02-03T00:00:00"/>
    <d v="1901-01-24T00:00:00"/>
    <m/>
    <m/>
    <m/>
    <m/>
    <m/>
    <m/>
    <m/>
    <m/>
    <m/>
    <m/>
    <m/>
    <m/>
    <m/>
    <m/>
    <m/>
    <m/>
    <m/>
    <m/>
    <m/>
    <m/>
    <m/>
    <m/>
  </r>
  <r>
    <n v="43"/>
    <m/>
    <s v="2025-26"/>
    <x v="2"/>
    <n v="1"/>
    <s v="Remaining works of Gram Panchayat office Building (Frame Structure) Gariyadhar Taluka Package No. 2017-18/18 (Shivendranagar, Moti Vavdi, Rupavati), Dist. Bhavnagar"/>
    <m/>
    <s v="Gariyadhar"/>
    <s v="Palitana"/>
    <s v="Building"/>
    <m/>
    <n v="183939"/>
    <n v="8"/>
    <m/>
    <m/>
    <m/>
    <d v="1900-04-29T00:00:00"/>
    <m/>
    <s v="Yes"/>
    <m/>
    <m/>
    <s v="Equals"/>
    <s v="Zero Rupees Only"/>
    <s v="Division"/>
    <m/>
    <n v="0"/>
    <m/>
    <n v="0"/>
    <n v="0"/>
    <n v="0"/>
    <m/>
    <m/>
    <m/>
    <m/>
    <m/>
    <m/>
    <n v="0"/>
    <d v="1901-03-25T00:00:00"/>
    <n v="0"/>
    <n v="0"/>
    <d v="1900-02-03T00:00:00"/>
    <d v="1901-01-24T00:00:00"/>
    <m/>
    <m/>
    <m/>
    <m/>
    <m/>
    <m/>
    <m/>
    <m/>
    <m/>
    <m/>
    <m/>
    <m/>
    <m/>
    <m/>
    <m/>
    <m/>
    <m/>
    <m/>
    <m/>
    <m/>
    <m/>
    <m/>
  </r>
  <r>
    <n v="44"/>
    <m/>
    <s v="2025-26"/>
    <x v="2"/>
    <n v="2"/>
    <s v="Remaining works Construction of Gram Panchayat office Building (Frame Structure) at village Pansada Dist. Bhavnagar"/>
    <m/>
    <s v="Gariyadhar"/>
    <s v="Palitana"/>
    <s v="Building"/>
    <m/>
    <n v="183940"/>
    <n v="8"/>
    <m/>
    <m/>
    <m/>
    <d v="1900-04-29T00:00:00"/>
    <m/>
    <s v="Yes"/>
    <m/>
    <m/>
    <s v="Equals"/>
    <s v="Zero Rupees Only"/>
    <s v="Division"/>
    <m/>
    <n v="0"/>
    <m/>
    <n v="0"/>
    <n v="0"/>
    <n v="0"/>
    <m/>
    <m/>
    <m/>
    <m/>
    <m/>
    <m/>
    <n v="0"/>
    <d v="1901-03-25T00:00:00"/>
    <n v="0"/>
    <n v="0"/>
    <d v="1900-02-03T00:00:00"/>
    <d v="1901-01-24T00:00:00"/>
    <m/>
    <m/>
    <m/>
    <m/>
    <m/>
    <m/>
    <m/>
    <m/>
    <m/>
    <m/>
    <m/>
    <m/>
    <m/>
    <m/>
    <m/>
    <m/>
    <m/>
    <m/>
    <m/>
    <m/>
    <m/>
    <m/>
  </r>
  <r>
    <n v="45"/>
    <m/>
    <s v="2025-26"/>
    <x v="2"/>
    <n v="3"/>
    <s v="Construction of School Building at Kalivav Primary School (One Class Room)  and Koliyak Kanya P.S. (Four Class Room) Ta. And Dist. Bhavnagar"/>
    <m/>
    <s v="Bhavnagar"/>
    <s v="Bhavnagar"/>
    <s v="Building"/>
    <m/>
    <n v="183941"/>
    <n v="6"/>
    <m/>
    <d v="2025-05-19T00:00:00"/>
    <m/>
    <d v="2025-09-16T00:00:00"/>
    <m/>
    <s v="Yes"/>
    <m/>
    <m/>
    <s v="Equals"/>
    <s v="Zero Rupees Only"/>
    <s v="Division"/>
    <m/>
    <n v="0"/>
    <m/>
    <n v="0"/>
    <n v="0"/>
    <n v="0"/>
    <m/>
    <m/>
    <m/>
    <m/>
    <m/>
    <m/>
    <n v="0"/>
    <d v="1901-03-25T00:00:00"/>
    <n v="0"/>
    <n v="0"/>
    <d v="1900-02-03T00:00:00"/>
    <d v="1901-01-24T00:00:00"/>
    <m/>
    <m/>
    <m/>
    <m/>
    <m/>
    <m/>
    <m/>
    <m/>
    <m/>
    <m/>
    <m/>
    <m/>
    <m/>
    <m/>
    <m/>
    <m/>
    <m/>
    <m/>
    <m/>
    <m/>
    <m/>
    <m/>
  </r>
  <r>
    <n v="46"/>
    <m/>
    <s v="2025-26"/>
    <x v="2"/>
    <n v="4"/>
    <s v="Construction of Nandghar (Anganvadi) Building at Undavi-1 (Bhavnagar) Ta. Bhavnagar Dist. Bhavnagar"/>
    <m/>
    <s v="Bhavnagar"/>
    <s v="Bhavnagar"/>
    <s v="Building"/>
    <s v="Anganvadi"/>
    <n v="183942"/>
    <n v="2"/>
    <m/>
    <m/>
    <m/>
    <d v="1900-04-29T00:00:00"/>
    <m/>
    <s v="Yes"/>
    <m/>
    <m/>
    <s v="Equals"/>
    <s v="Zero Rupees Only"/>
    <s v="Division"/>
    <m/>
    <n v="0"/>
    <m/>
    <n v="0"/>
    <n v="0"/>
    <n v="0"/>
    <m/>
    <m/>
    <m/>
    <m/>
    <m/>
    <m/>
    <n v="0"/>
    <d v="1901-03-25T00:00:00"/>
    <n v="0"/>
    <n v="0"/>
    <d v="1900-02-03T00:00:00"/>
    <d v="1901-01-24T00:00:00"/>
    <m/>
    <m/>
    <m/>
    <m/>
    <m/>
    <m/>
    <m/>
    <m/>
    <m/>
    <m/>
    <m/>
    <m/>
    <m/>
    <m/>
    <m/>
    <m/>
    <m/>
    <m/>
    <m/>
    <m/>
    <m/>
    <m/>
  </r>
  <r>
    <n v="47"/>
    <m/>
    <s v="2025-26"/>
    <x v="2"/>
    <n v="5"/>
    <s v="Construction of Nandghar (Anganvadi) Building at Village Boradi-4 Tal. Mahuva Dist. Bhavnagar"/>
    <m/>
    <s v="Mahuva"/>
    <s v="Mahuva"/>
    <s v="Building"/>
    <s v="Anganvadi"/>
    <n v="183943"/>
    <n v="2"/>
    <d v="2025-05-11T00:00:00"/>
    <d v="2025-05-19T00:00:00"/>
    <m/>
    <d v="2025-09-16T00:00:00"/>
    <n v="1024912.96"/>
    <m/>
    <n v="1006772"/>
    <n v="-1.77"/>
    <s v="Below"/>
    <s v="Ten Lakh Six Thousand Seven Hundred Seventy Two Rupees Only"/>
    <s v="Division"/>
    <m/>
    <n v="1006772"/>
    <s v="JAY KANDHAL CONSTRUCTION"/>
    <s v="Hareshbhai Punabhai Hadiya"/>
    <s v="At. Kundaliyala, Tal. Rajula, Dist. Amreli"/>
    <n v="8320411442"/>
    <m/>
    <m/>
    <m/>
    <m/>
    <m/>
    <n v="3"/>
    <n v="51000"/>
    <d v="2027-02-09T00:00:00"/>
    <n v="2500"/>
    <n v="0"/>
    <d v="2025-12-21T00:00:00"/>
    <d v="2026-12-11T00:00:00"/>
    <n v="885"/>
    <d v="2025-06-23T00:00:00"/>
    <s v="2025-26"/>
    <n v="83"/>
    <d v="2025-08-18T00:00:00"/>
    <s v="FDR"/>
    <s v="Bank of Baroda"/>
    <s v="95560300010767"/>
    <n v="51000"/>
    <d v="2025-08-12T00:00:00"/>
    <m/>
    <m/>
    <m/>
    <m/>
    <m/>
    <d v="2025-08-18T00:00:00"/>
    <n v="1062"/>
    <d v="2025-08-18T00:00:00"/>
    <m/>
    <m/>
    <m/>
    <m/>
  </r>
  <r>
    <n v="48"/>
    <m/>
    <s v="2025-26"/>
    <x v="2"/>
    <n v="6"/>
    <s v="Construction of Nandghar (Anganvadi) Building at Village Kumbhariya, Ta. Mahuva Dist. Bhavnagar"/>
    <m/>
    <s v="Mahuva"/>
    <s v="Mahuva"/>
    <s v="Building"/>
    <s v="Anganvadi"/>
    <n v="183944"/>
    <n v="2"/>
    <m/>
    <m/>
    <m/>
    <d v="1900-04-29T00:00:00"/>
    <m/>
    <s v="Yes"/>
    <m/>
    <m/>
    <s v="Equals"/>
    <s v="Zero Rupees Only"/>
    <s v="Division"/>
    <m/>
    <n v="0"/>
    <m/>
    <n v="0"/>
    <n v="0"/>
    <n v="0"/>
    <m/>
    <m/>
    <m/>
    <m/>
    <m/>
    <m/>
    <n v="0"/>
    <d v="1901-03-25T00:00:00"/>
    <n v="0"/>
    <n v="0"/>
    <d v="1900-02-03T00:00:00"/>
    <d v="1901-01-24T00:00:00"/>
    <m/>
    <m/>
    <m/>
    <m/>
    <m/>
    <m/>
    <m/>
    <m/>
    <m/>
    <m/>
    <m/>
    <m/>
    <m/>
    <m/>
    <m/>
    <m/>
    <m/>
    <m/>
    <m/>
    <m/>
    <m/>
    <m/>
  </r>
  <r>
    <n v="49"/>
    <m/>
    <s v="2025-26"/>
    <x v="2"/>
    <n v="7"/>
    <s v="Construction of Nandghar (Anganvadi) Building at Village Mota Khuntavada-2, Ta. Mahuva Dist. Bhavnagar"/>
    <m/>
    <s v="Mahuva"/>
    <s v="Mahuva"/>
    <s v="Building"/>
    <s v="Anganvadi"/>
    <n v="183945"/>
    <n v="2"/>
    <m/>
    <m/>
    <m/>
    <d v="1900-04-29T00:00:00"/>
    <m/>
    <s v="Yes"/>
    <m/>
    <m/>
    <s v="Equals"/>
    <s v="Zero Rupees Only"/>
    <s v="Division"/>
    <m/>
    <n v="0"/>
    <m/>
    <n v="0"/>
    <n v="0"/>
    <n v="0"/>
    <m/>
    <m/>
    <m/>
    <m/>
    <m/>
    <m/>
    <n v="0"/>
    <d v="1901-03-25T00:00:00"/>
    <n v="0"/>
    <n v="0"/>
    <d v="1900-02-03T00:00:00"/>
    <d v="1901-01-24T00:00:00"/>
    <m/>
    <m/>
    <m/>
    <m/>
    <m/>
    <m/>
    <m/>
    <m/>
    <m/>
    <m/>
    <m/>
    <m/>
    <m/>
    <m/>
    <m/>
    <m/>
    <m/>
    <m/>
    <m/>
    <m/>
    <m/>
    <m/>
  </r>
  <r>
    <n v="50"/>
    <m/>
    <s v="2025-26"/>
    <x v="2"/>
    <n v="8"/>
    <s v="Construction of Nandghar (Anganvadi) Building at Village Titodiya, Ta. Mahuva Dist. Bhavnagar"/>
    <m/>
    <s v="Mahuva"/>
    <s v="Mahuva"/>
    <s v="Building"/>
    <s v="Anganvadi"/>
    <n v="183946"/>
    <n v="2"/>
    <m/>
    <m/>
    <m/>
    <d v="1900-04-29T00:00:00"/>
    <m/>
    <s v="Yes"/>
    <m/>
    <m/>
    <s v="Equals"/>
    <s v="Zero Rupees Only"/>
    <s v="Division"/>
    <m/>
    <n v="0"/>
    <m/>
    <n v="0"/>
    <n v="0"/>
    <n v="0"/>
    <m/>
    <m/>
    <m/>
    <m/>
    <m/>
    <m/>
    <n v="0"/>
    <d v="1901-03-25T00:00:00"/>
    <n v="0"/>
    <n v="0"/>
    <d v="1900-02-03T00:00:00"/>
    <d v="1901-01-24T00:00:00"/>
    <m/>
    <m/>
    <m/>
    <m/>
    <m/>
    <m/>
    <m/>
    <m/>
    <m/>
    <m/>
    <m/>
    <m/>
    <m/>
    <m/>
    <m/>
    <m/>
    <m/>
    <m/>
    <m/>
    <m/>
    <m/>
    <m/>
  </r>
  <r>
    <n v="51"/>
    <m/>
    <s v="2025-26"/>
    <x v="2"/>
    <n v="9"/>
    <s v="Construction of Nandghar (Anganvadi) Building at Village Gundarani, Ta. Mahuva Dist. Bhavnagar"/>
    <m/>
    <s v="Mahuva"/>
    <s v="Mahuva"/>
    <s v="Building"/>
    <s v="Anganvadi"/>
    <n v="183947"/>
    <n v="2"/>
    <m/>
    <m/>
    <m/>
    <d v="1900-04-29T00:00:00"/>
    <m/>
    <s v="Yes"/>
    <m/>
    <m/>
    <s v="Equals"/>
    <s v="Zero Rupees Only"/>
    <s v="Division"/>
    <m/>
    <n v="0"/>
    <m/>
    <n v="0"/>
    <n v="0"/>
    <n v="0"/>
    <m/>
    <m/>
    <m/>
    <m/>
    <m/>
    <m/>
    <n v="0"/>
    <d v="1901-03-25T00:00:00"/>
    <n v="0"/>
    <n v="0"/>
    <d v="1900-02-03T00:00:00"/>
    <d v="1901-01-24T00:00:00"/>
    <m/>
    <m/>
    <m/>
    <m/>
    <m/>
    <m/>
    <m/>
    <m/>
    <m/>
    <m/>
    <m/>
    <m/>
    <m/>
    <m/>
    <m/>
    <m/>
    <m/>
    <m/>
    <m/>
    <m/>
    <m/>
    <m/>
  </r>
  <r>
    <n v="52"/>
    <m/>
    <s v="2025-26"/>
    <x v="2"/>
    <n v="10"/>
    <s v="Construction of Nandghar (Anganvadi) Building at Village Malvav-4 Tal. Mahuva Dist. Bhavnagar"/>
    <m/>
    <s v="Mahuva"/>
    <s v="Mahuva"/>
    <s v="Building"/>
    <s v="Anganvadi"/>
    <n v="183948"/>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6"/>
    <d v="2025-06-23T00:00:00"/>
    <s v="2025-26"/>
    <n v="92"/>
    <d v="2025-08-18T00:00:00"/>
    <s v="FDR"/>
    <s v="SAURASHTRA GRAMIN BANK"/>
    <n v="78048721869"/>
    <n v="51000"/>
    <d v="2025-07-25T00:00:00"/>
    <m/>
    <m/>
    <m/>
    <m/>
    <m/>
    <d v="2025-08-18T00:00:00"/>
    <n v="1171"/>
    <d v="2025-08-18T00:00:00"/>
    <m/>
    <m/>
    <m/>
    <m/>
  </r>
  <r>
    <n v="53"/>
    <m/>
    <s v="2025-26"/>
    <x v="2"/>
    <n v="11"/>
    <s v="Construction of Nandghar (Anganvadi) Building at Village Mota Malpara, Ta. Mahuva Dist. Bhavnagar"/>
    <m/>
    <s v="Mahuva"/>
    <s v="Mahuva"/>
    <s v="Building"/>
    <s v="Anganvadi"/>
    <n v="183949"/>
    <n v="2"/>
    <m/>
    <m/>
    <m/>
    <d v="1900-04-29T00:00:00"/>
    <m/>
    <s v="Yes"/>
    <m/>
    <m/>
    <s v="Equals"/>
    <s v="Zero Rupees Only"/>
    <s v="Division"/>
    <m/>
    <n v="0"/>
    <m/>
    <n v="0"/>
    <n v="0"/>
    <n v="0"/>
    <m/>
    <m/>
    <m/>
    <m/>
    <m/>
    <m/>
    <n v="0"/>
    <d v="1901-03-25T00:00:00"/>
    <n v="0"/>
    <n v="0"/>
    <d v="1900-02-03T00:00:00"/>
    <d v="1901-01-24T00:00:00"/>
    <m/>
    <m/>
    <m/>
    <m/>
    <m/>
    <m/>
    <m/>
    <m/>
    <m/>
    <m/>
    <m/>
    <m/>
    <m/>
    <m/>
    <m/>
    <m/>
    <m/>
    <m/>
    <m/>
    <m/>
    <m/>
    <m/>
  </r>
  <r>
    <n v="54"/>
    <m/>
    <s v="2025-26"/>
    <x v="2"/>
    <n v="12"/>
    <s v="Construction of Nandghar (Anganvadi) Building at Village Bagdana-3, Ta. Mahuva Dist. Bhavnagar"/>
    <m/>
    <s v="Mahuva"/>
    <s v="Mahuva"/>
    <s v="Building"/>
    <s v="Anganvadi"/>
    <n v="183950"/>
    <n v="2"/>
    <m/>
    <m/>
    <m/>
    <d v="1900-04-29T00:00:00"/>
    <m/>
    <s v="Yes"/>
    <m/>
    <m/>
    <s v="Equals"/>
    <s v="Zero Rupees Only"/>
    <s v="Division"/>
    <m/>
    <n v="0"/>
    <m/>
    <n v="0"/>
    <n v="0"/>
    <n v="0"/>
    <m/>
    <m/>
    <m/>
    <m/>
    <m/>
    <m/>
    <n v="0"/>
    <d v="1901-03-25T00:00:00"/>
    <n v="0"/>
    <n v="0"/>
    <d v="1900-02-03T00:00:00"/>
    <d v="1901-01-24T00:00:00"/>
    <m/>
    <m/>
    <m/>
    <m/>
    <m/>
    <m/>
    <m/>
    <m/>
    <m/>
    <m/>
    <m/>
    <m/>
    <m/>
    <m/>
    <m/>
    <m/>
    <m/>
    <m/>
    <m/>
    <m/>
    <m/>
    <m/>
  </r>
  <r>
    <n v="55"/>
    <m/>
    <s v="2025-26"/>
    <x v="2"/>
    <n v="13"/>
    <s v="Construction of Nandghar (Anganvadi) Building at Village Mota Khuntavada-3, Ta. Mahuva Dist. Bhavnagar"/>
    <m/>
    <s v="Mahuva"/>
    <s v="Mahuva"/>
    <s v="Building"/>
    <s v="Anganvadi"/>
    <n v="183953"/>
    <n v="2"/>
    <m/>
    <m/>
    <m/>
    <d v="1900-04-29T00:00:00"/>
    <m/>
    <s v="Yes"/>
    <m/>
    <m/>
    <s v="Equals"/>
    <s v="Zero Rupees Only"/>
    <s v="Division"/>
    <m/>
    <n v="0"/>
    <m/>
    <n v="0"/>
    <n v="0"/>
    <n v="0"/>
    <m/>
    <m/>
    <m/>
    <m/>
    <m/>
    <m/>
    <n v="0"/>
    <d v="1901-03-25T00:00:00"/>
    <n v="0"/>
    <n v="0"/>
    <d v="1900-02-03T00:00:00"/>
    <d v="1901-01-24T00:00:00"/>
    <m/>
    <m/>
    <m/>
    <m/>
    <m/>
    <m/>
    <m/>
    <m/>
    <m/>
    <m/>
    <m/>
    <m/>
    <m/>
    <m/>
    <m/>
    <m/>
    <m/>
    <m/>
    <m/>
    <m/>
    <m/>
    <m/>
  </r>
  <r>
    <n v="56"/>
    <m/>
    <s v="2025-26"/>
    <x v="2"/>
    <n v="14"/>
    <s v="Construction of Nandghar (Anganvadi) Building at Village Vaghvadarda, Ta. Mahuva Dist. Bhavnagar"/>
    <m/>
    <s v="Mahuva"/>
    <s v="Mahuva"/>
    <s v="Building"/>
    <s v="Anganvadi"/>
    <n v="183954"/>
    <n v="2"/>
    <m/>
    <m/>
    <m/>
    <d v="1900-04-29T00:00:00"/>
    <m/>
    <s v="Yes"/>
    <m/>
    <m/>
    <s v="Equals"/>
    <s v="Zero Rupees Only"/>
    <s v="Division"/>
    <m/>
    <n v="0"/>
    <m/>
    <n v="0"/>
    <n v="0"/>
    <n v="0"/>
    <m/>
    <m/>
    <m/>
    <m/>
    <m/>
    <m/>
    <n v="0"/>
    <d v="1901-03-25T00:00:00"/>
    <n v="0"/>
    <n v="0"/>
    <d v="1900-02-03T00:00:00"/>
    <d v="1901-01-24T00:00:00"/>
    <m/>
    <m/>
    <m/>
    <m/>
    <m/>
    <m/>
    <m/>
    <m/>
    <m/>
    <m/>
    <m/>
    <m/>
    <m/>
    <m/>
    <m/>
    <m/>
    <m/>
    <m/>
    <m/>
    <m/>
    <m/>
    <m/>
  </r>
  <r>
    <n v="57"/>
    <m/>
    <s v="2025-26"/>
    <x v="2"/>
    <n v="15"/>
    <s v="Construction of Nandghar (Anganvadi) Building at Village Nikol, Ta. Mahuva Dist. Bhavnagar"/>
    <m/>
    <s v="Mahuva"/>
    <s v="Mahuva"/>
    <s v="Building"/>
    <s v="Anganvadi"/>
    <n v="183955"/>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7"/>
    <d v="2025-06-23T00:00:00"/>
    <s v="2025-26"/>
    <n v="91"/>
    <d v="2025-08-18T00:00:00"/>
    <s v="FDR"/>
    <s v="SAURASHTRA GRAMIN BANK"/>
    <n v="78048721858"/>
    <n v="51000"/>
    <d v="2025-07-25T00:00:00"/>
    <m/>
    <m/>
    <m/>
    <m/>
    <m/>
    <d v="2025-08-18T00:00:00"/>
    <n v="1170"/>
    <d v="2025-08-18T00:00:00"/>
    <m/>
    <m/>
    <m/>
    <m/>
  </r>
  <r>
    <n v="58"/>
    <m/>
    <s v="2025-26"/>
    <x v="2"/>
    <n v="16"/>
    <s v="Construction of Nandghar (Anganvadi) Building at Village Lusadi, Ta. Mahuva Dist. Bhavnagar"/>
    <m/>
    <s v="Mahuva"/>
    <s v="Mahuva"/>
    <s v="Building"/>
    <s v="Anganvadi"/>
    <n v="183956"/>
    <n v="2"/>
    <m/>
    <m/>
    <m/>
    <d v="1900-04-29T00:00:00"/>
    <m/>
    <s v="Yes"/>
    <m/>
    <m/>
    <s v="Equals"/>
    <s v="Zero Rupees Only"/>
    <s v="Division"/>
    <m/>
    <n v="0"/>
    <m/>
    <n v="0"/>
    <n v="0"/>
    <n v="0"/>
    <m/>
    <m/>
    <m/>
    <m/>
    <m/>
    <m/>
    <n v="0"/>
    <d v="1901-03-25T00:00:00"/>
    <n v="0"/>
    <n v="0"/>
    <d v="1900-02-03T00:00:00"/>
    <d v="1901-01-24T00:00:00"/>
    <m/>
    <m/>
    <m/>
    <m/>
    <m/>
    <m/>
    <m/>
    <m/>
    <m/>
    <m/>
    <m/>
    <m/>
    <m/>
    <m/>
    <m/>
    <m/>
    <m/>
    <m/>
    <m/>
    <m/>
    <m/>
    <m/>
  </r>
  <r>
    <n v="59"/>
    <m/>
    <s v="2025-26"/>
    <x v="2"/>
    <n v="17"/>
    <s v="Construction of Nandghar (Anganvadi) Building at Village Boradi-1 Tal. Mahuva Dist. Bhavnagar"/>
    <m/>
    <s v="Mahuva"/>
    <s v="Mahuva"/>
    <s v="Building"/>
    <s v="Anganvadi"/>
    <n v="183957"/>
    <n v="2"/>
    <d v="2025-05-11T00:00:00"/>
    <d v="2025-05-19T00:00:00"/>
    <m/>
    <d v="2025-09-16T00:00:00"/>
    <n v="1024912.96"/>
    <m/>
    <n v="1006772"/>
    <n v="-1.77"/>
    <s v="Below"/>
    <s v="Ten Lakh Six Thousand Seven Hundred Seventy Two Rupees Only"/>
    <s v="Division"/>
    <m/>
    <n v="1006772"/>
    <s v="JAY KANDHAL CONSTRUCTION"/>
    <s v="Hareshbhai Punabhai Hadiya"/>
    <s v="At. Kundaliyala, Tal. Rajula, Dist. Amreli"/>
    <n v="8320411442"/>
    <m/>
    <m/>
    <m/>
    <m/>
    <m/>
    <n v="3"/>
    <n v="51000"/>
    <d v="2027-02-09T00:00:00"/>
    <n v="2500"/>
    <n v="0"/>
    <d v="2025-12-21T00:00:00"/>
    <d v="2026-12-11T00:00:00"/>
    <n v="888"/>
    <d v="2025-06-23T00:00:00"/>
    <s v="2025-26"/>
    <n v="84"/>
    <d v="2025-08-18T00:00:00"/>
    <s v="FDR"/>
    <s v="Bank of Baroda"/>
    <s v="95560300010766"/>
    <n v="51000"/>
    <d v="2025-08-12T00:00:00"/>
    <m/>
    <m/>
    <m/>
    <m/>
    <m/>
    <d v="2025-08-18T00:00:00"/>
    <n v="1063"/>
    <d v="2025-08-18T00:00:00"/>
    <m/>
    <m/>
    <m/>
    <m/>
  </r>
  <r>
    <n v="60"/>
    <m/>
    <s v="2025-26"/>
    <x v="2"/>
    <n v="18"/>
    <s v="Construction of Nandghar (Anganvadi) Building at Village Malvav-3 Tal. Mahuva Dist. Bhavnagar"/>
    <m/>
    <s v="Mahuva"/>
    <s v="Mahuva"/>
    <s v="Building"/>
    <s v="Anganvadi"/>
    <n v="183958"/>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9"/>
    <d v="2025-06-23T00:00:00"/>
    <s v="2025-26"/>
    <n v="90"/>
    <d v="2025-08-18T00:00:00"/>
    <s v="FDR"/>
    <s v="SAURASHTRA GRAMIN BANK"/>
    <n v="78048721870"/>
    <n v="51000"/>
    <d v="2025-07-25T00:00:00"/>
    <m/>
    <m/>
    <m/>
    <m/>
    <m/>
    <d v="2025-08-18T00:00:00"/>
    <n v="1169"/>
    <d v="2025-08-18T00:00:00"/>
    <m/>
    <m/>
    <m/>
    <m/>
  </r>
  <r>
    <n v="61"/>
    <m/>
    <s v="2025-26"/>
    <x v="2"/>
    <n v="19"/>
    <s v="Construction of Nandghar (Anganvadi) Building at Village Dudana, Ta. Mahuva Dist. Bhavnagar"/>
    <m/>
    <s v="Mahuva"/>
    <s v="Mahuva"/>
    <s v="Building"/>
    <s v="Anganvadi"/>
    <n v="183959"/>
    <n v="2"/>
    <m/>
    <m/>
    <m/>
    <d v="1900-04-29T00:00:00"/>
    <m/>
    <s v="Yes"/>
    <m/>
    <m/>
    <s v="Equals"/>
    <s v="Zero Rupees Only"/>
    <s v="Division"/>
    <m/>
    <n v="0"/>
    <m/>
    <n v="0"/>
    <n v="0"/>
    <n v="0"/>
    <m/>
    <m/>
    <m/>
    <m/>
    <m/>
    <m/>
    <n v="0"/>
    <d v="1901-03-25T00:00:00"/>
    <n v="0"/>
    <n v="0"/>
    <d v="1900-02-03T00:00:00"/>
    <d v="1901-01-24T00:00:00"/>
    <m/>
    <m/>
    <m/>
    <m/>
    <m/>
    <m/>
    <m/>
    <m/>
    <m/>
    <m/>
    <m/>
    <m/>
    <m/>
    <m/>
    <m/>
    <m/>
    <m/>
    <m/>
    <m/>
    <m/>
    <m/>
    <m/>
  </r>
  <r>
    <n v="62"/>
    <m/>
    <s v="2025-26"/>
    <x v="3"/>
    <n v="1"/>
    <m/>
    <m/>
    <m/>
    <e v="#N/A"/>
    <s v="Building"/>
    <m/>
    <m/>
    <m/>
    <m/>
    <m/>
    <m/>
    <d v="1900-04-29T00:00:00"/>
    <m/>
    <s v="Yes"/>
    <m/>
    <m/>
    <s v="Equals"/>
    <s v="Zero Rupees Only"/>
    <s v="Division"/>
    <m/>
    <n v="0"/>
    <m/>
    <n v="0"/>
    <n v="0"/>
    <n v="0"/>
    <m/>
    <m/>
    <m/>
    <m/>
    <m/>
    <m/>
    <n v="0"/>
    <d v="1901-03-25T00:00:00"/>
    <n v="0"/>
    <n v="0"/>
    <d v="1900-02-03T00:00:00"/>
    <d v="1901-01-24T00:00:00"/>
    <m/>
    <m/>
    <m/>
    <m/>
    <m/>
    <m/>
    <m/>
    <m/>
    <m/>
    <m/>
    <m/>
    <m/>
    <m/>
    <m/>
    <m/>
    <m/>
    <m/>
    <m/>
    <m/>
    <m/>
    <m/>
    <m/>
  </r>
  <r>
    <n v="63"/>
    <m/>
    <s v="2025-26"/>
    <x v="3"/>
    <n v="2"/>
    <m/>
    <m/>
    <m/>
    <e v="#N/A"/>
    <s v="Building"/>
    <m/>
    <m/>
    <m/>
    <m/>
    <m/>
    <m/>
    <d v="1900-04-29T00:00:00"/>
    <m/>
    <s v="Yes"/>
    <m/>
    <m/>
    <s v="Equals"/>
    <s v="Zero Rupees Only"/>
    <s v="Division"/>
    <m/>
    <n v="0"/>
    <m/>
    <n v="0"/>
    <n v="0"/>
    <n v="0"/>
    <m/>
    <m/>
    <m/>
    <m/>
    <m/>
    <m/>
    <n v="0"/>
    <d v="1901-03-25T00:00:00"/>
    <n v="0"/>
    <n v="0"/>
    <d v="1900-02-03T00:00:00"/>
    <d v="1901-01-24T00:00:00"/>
    <m/>
    <m/>
    <m/>
    <m/>
    <m/>
    <m/>
    <m/>
    <m/>
    <m/>
    <m/>
    <m/>
    <m/>
    <m/>
    <m/>
    <m/>
    <m/>
    <m/>
    <m/>
    <m/>
    <m/>
    <m/>
    <m/>
  </r>
  <r>
    <n v="64"/>
    <m/>
    <s v="2025-26"/>
    <x v="3"/>
    <n v="3"/>
    <m/>
    <m/>
    <m/>
    <e v="#N/A"/>
    <s v="Building"/>
    <m/>
    <m/>
    <m/>
    <m/>
    <m/>
    <m/>
    <d v="1900-04-29T00:00:00"/>
    <m/>
    <s v="Yes"/>
    <m/>
    <m/>
    <s v="Equals"/>
    <s v="Zero Rupees Only"/>
    <s v="Division"/>
    <m/>
    <n v="0"/>
    <m/>
    <n v="0"/>
    <n v="0"/>
    <n v="0"/>
    <m/>
    <m/>
    <m/>
    <m/>
    <m/>
    <m/>
    <n v="0"/>
    <d v="1901-03-25T00:00:00"/>
    <n v="0"/>
    <n v="0"/>
    <d v="1900-02-03T00:00:00"/>
    <d v="1901-01-24T00:00:00"/>
    <m/>
    <m/>
    <m/>
    <m/>
    <m/>
    <m/>
    <m/>
    <m/>
    <m/>
    <m/>
    <m/>
    <m/>
    <m/>
    <m/>
    <m/>
    <m/>
    <m/>
    <m/>
    <m/>
    <m/>
    <m/>
    <m/>
  </r>
  <r>
    <n v="65"/>
    <m/>
    <s v="2025-26"/>
    <x v="3"/>
    <n v="4"/>
    <s v="Construction of Gram Panchayat office (Frame structure) at Village Morchupna Tal. Jesar Dist. Bhavnagar"/>
    <m/>
    <s v="Jesar"/>
    <s v="Mahuva"/>
    <s v="Building"/>
    <s v="Gram Panchayat"/>
    <n v="187879"/>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899"/>
    <d v="2025-06-27T00:00:00"/>
    <s v="2025-26"/>
    <n v="45"/>
    <d v="2025-07-14T00:00:00"/>
    <s v="FDR"/>
    <s v="SAURASHTRA GRAMIN BANK"/>
    <n v="78048407397"/>
    <n v="88000"/>
    <d v="2025-07-07T00:00:00"/>
    <s v="FDR"/>
    <s v="SAURASHTRA GRAMIN BANK"/>
    <n v="78048460248"/>
    <n v="24000"/>
    <d v="2025-07-10T00:00:00"/>
    <d v="2025-07-14T00:00:00"/>
    <n v="949"/>
    <d v="2025-07-14T00:00:00"/>
    <m/>
    <m/>
    <m/>
    <m/>
  </r>
  <r>
    <n v="66"/>
    <m/>
    <s v="2025-26"/>
    <x v="3"/>
    <n v="5"/>
    <m/>
    <m/>
    <m/>
    <e v="#N/A"/>
    <s v="Building"/>
    <m/>
    <m/>
    <m/>
    <m/>
    <m/>
    <m/>
    <d v="1900-04-29T00:00:00"/>
    <m/>
    <s v="Yes"/>
    <m/>
    <m/>
    <s v="Equals"/>
    <s v="Zero Rupees Only"/>
    <s v="Division"/>
    <m/>
    <n v="0"/>
    <m/>
    <n v="0"/>
    <n v="0"/>
    <n v="0"/>
    <m/>
    <m/>
    <m/>
    <m/>
    <m/>
    <m/>
    <n v="0"/>
    <d v="1901-03-25T00:00:00"/>
    <n v="0"/>
    <n v="0"/>
    <d v="1900-02-03T00:00:00"/>
    <d v="1901-01-24T00:00:00"/>
    <m/>
    <m/>
    <m/>
    <m/>
    <m/>
    <m/>
    <m/>
    <m/>
    <m/>
    <m/>
    <m/>
    <m/>
    <m/>
    <m/>
    <m/>
    <m/>
    <m/>
    <m/>
    <m/>
    <m/>
    <m/>
    <m/>
  </r>
  <r>
    <n v="67"/>
    <m/>
    <s v="2025-26"/>
    <x v="3"/>
    <n v="6"/>
    <s v="Construction of Gram Panchayat office (Frame structure) at Village Intiya Tal. Jesar Dist. Bhavnagar"/>
    <m/>
    <s v="Jesar"/>
    <s v="Mahuva"/>
    <s v="Building"/>
    <s v="Gram Panchayat"/>
    <n v="187881"/>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0"/>
    <d v="2025-06-27T00:00:00"/>
    <s v="2025-26"/>
    <n v="94"/>
    <d v="2025-08-18T00:00:00"/>
    <s v="FDR"/>
    <s v="SAURASHTRA GRAMIN BANK"/>
    <n v="78048506863"/>
    <n v="99000"/>
    <d v="2025-07-14T00:00:00"/>
    <m/>
    <m/>
    <m/>
    <m/>
    <m/>
    <d v="2025-08-18T00:00:00"/>
    <n v="1173"/>
    <d v="2025-08-18T00:00:00"/>
    <m/>
    <m/>
    <m/>
    <m/>
  </r>
  <r>
    <n v="68"/>
    <m/>
    <s v="2025-26"/>
    <x v="3"/>
    <n v="7"/>
    <m/>
    <m/>
    <m/>
    <e v="#N/A"/>
    <s v="Building"/>
    <m/>
    <m/>
    <m/>
    <m/>
    <m/>
    <m/>
    <d v="1900-04-29T00:00:00"/>
    <m/>
    <s v="Yes"/>
    <m/>
    <m/>
    <s v="Equals"/>
    <s v="Zero Rupees Only"/>
    <s v="Division"/>
    <m/>
    <n v="0"/>
    <m/>
    <n v="0"/>
    <n v="0"/>
    <n v="0"/>
    <m/>
    <m/>
    <m/>
    <m/>
    <m/>
    <m/>
    <n v="0"/>
    <d v="1901-03-25T00:00:00"/>
    <n v="0"/>
    <n v="0"/>
    <d v="1900-02-03T00:00:00"/>
    <d v="1901-01-24T00:00:00"/>
    <m/>
    <m/>
    <m/>
    <m/>
    <m/>
    <m/>
    <m/>
    <m/>
    <m/>
    <m/>
    <m/>
    <m/>
    <m/>
    <m/>
    <m/>
    <m/>
    <m/>
    <m/>
    <m/>
    <m/>
    <m/>
    <m/>
  </r>
  <r>
    <n v="69"/>
    <m/>
    <s v="2025-26"/>
    <x v="3"/>
    <n v="8"/>
    <s v="Construction of Gram Panchayat office (Frame structure) at Village Ranparda (Chok) Tal. Jesar Dist. Bhavnagar"/>
    <m/>
    <s v="Jesar"/>
    <s v="Mahuva"/>
    <s v="Building"/>
    <s v="Gram Panchayat"/>
    <n v="187883"/>
    <n v="1"/>
    <m/>
    <m/>
    <m/>
    <d v="1900-04-29T00:00:00"/>
    <n v="2079935.08"/>
    <m/>
    <n v="1892532.93"/>
    <n v="-9.01"/>
    <s v="Below"/>
    <s v="Eighteen Lakh Ninety Two Thousand Five Hundred Thirty Two Rupees and Ninety Three Paise Only"/>
    <s v="Division"/>
    <m/>
    <n v="1892532.93"/>
    <s v="C M VAGHELA"/>
    <s v="CHATURBHAI MOHANBHAI VAGHELA"/>
    <s v="MOTI PANIYALI, Via. Po. SHETRUNJI, Ta. PALITANA, Dist. BHAVNAGAR-364270"/>
    <n v="9925448120"/>
    <m/>
    <s v="CDP-5"/>
    <m/>
    <m/>
    <m/>
    <n v="4"/>
    <n v="95000"/>
    <d v="2027-05-08T00:00:00"/>
    <n v="4700"/>
    <n v="0"/>
    <d v="2026-03-19T00:00:00"/>
    <d v="2027-03-09T00:00:00"/>
    <n v="901"/>
    <d v="2025-06-27T00:00:00"/>
    <s v="2025-26"/>
    <n v="193"/>
    <d v="2025-10-13T00:00:00"/>
    <s v="FDR"/>
    <s v="HDFC Bank"/>
    <s v="50301222159542"/>
    <n v="95000"/>
    <d v="2025-09-26T00:00:00"/>
    <m/>
    <m/>
    <m/>
    <m/>
    <m/>
    <d v="2025-10-15T00:00:00"/>
    <n v="1476"/>
    <d v="2025-10-13T00:00:00"/>
    <m/>
    <m/>
    <m/>
    <m/>
  </r>
  <r>
    <n v="70"/>
    <m/>
    <s v="2025-26"/>
    <x v="3"/>
    <n v="9"/>
    <s v="Construction of Gram Panchayat office (Frame structure) at Village Ranparada (Khara) Tal. Palitana Dist. Bhavnagar"/>
    <m/>
    <s v="Palitana"/>
    <s v="Palitana"/>
    <s v="Building"/>
    <s v="Gram Panchayat"/>
    <n v="187884"/>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2"/>
    <d v="2025-06-27T00:00:00"/>
    <s v="2025-26"/>
    <n v="95"/>
    <d v="2025-08-18T00:00:00"/>
    <s v="FDR"/>
    <s v="SAURASHTRA GRAMIN BANK"/>
    <n v="78048506829"/>
    <n v="99000"/>
    <d v="2025-07-14T00:00:00"/>
    <m/>
    <m/>
    <m/>
    <m/>
    <m/>
    <d v="2025-08-18T00:00:00"/>
    <n v="1174"/>
    <d v="2025-08-18T00:00:00"/>
    <m/>
    <m/>
    <m/>
    <m/>
  </r>
  <r>
    <n v="71"/>
    <m/>
    <s v="2025-26"/>
    <x v="3"/>
    <n v="10"/>
    <s v="Construction of Gram Panchayat office (Frame structure) at Village Dudhala Ta. Palitana Dist. Bhavnagar"/>
    <m/>
    <s v="Palitana"/>
    <s v="Palitana"/>
    <s v="Building"/>
    <s v="Gram Panchayat"/>
    <n v="187885"/>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3"/>
    <d v="2025-06-27T00:00:00"/>
    <s v="2025-26"/>
    <n v="96"/>
    <d v="2025-08-18T00:00:00"/>
    <s v="FDR"/>
    <s v="SAURASHTRA GRAMIN BANK"/>
    <n v="78048506193"/>
    <n v="99000"/>
    <d v="2025-07-14T00:00:00"/>
    <m/>
    <m/>
    <m/>
    <m/>
    <m/>
    <d v="2025-08-18T00:00:00"/>
    <n v="1175"/>
    <d v="2025-08-18T00:00:00"/>
    <m/>
    <m/>
    <m/>
    <m/>
  </r>
  <r>
    <n v="72"/>
    <m/>
    <s v="2025-26"/>
    <x v="3"/>
    <n v="11"/>
    <s v="Construction of Gram Panchayat office (Frame structure) at Village Moti Rajsthali Tal. Palitana Dist. Bhavnagar"/>
    <m/>
    <s v="Palitana"/>
    <s v="Palitana"/>
    <s v="Building"/>
    <s v="Gram Panchayat"/>
    <n v="187886"/>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4"/>
    <d v="2025-06-27T00:00:00"/>
    <s v="2025-26"/>
    <n v="46"/>
    <d v="2025-07-14T00:00:00"/>
    <s v="FDR"/>
    <s v="SAURASHTRA GRAMIN BANK"/>
    <n v="78048407364"/>
    <n v="88000"/>
    <d v="2025-07-07T00:00:00"/>
    <s v="FDR"/>
    <s v="SAURASHTRA GRAMIN BANK"/>
    <n v="78048459947"/>
    <n v="24000"/>
    <d v="2025-07-10T00:00:00"/>
    <d v="2025-07-14T00:00:00"/>
    <n v="950"/>
    <d v="2025-07-14T00:00:00"/>
    <m/>
    <m/>
    <m/>
    <m/>
  </r>
  <r>
    <n v="73"/>
    <m/>
    <s v="2025-26"/>
    <x v="3"/>
    <n v="12"/>
    <s v="Construction of Gram Panchayat office (Frame structure) at Village Satananes Ta.Palitana Dist. Bhavnagar"/>
    <m/>
    <s v="Palitana"/>
    <s v="Palitana"/>
    <s v="Building"/>
    <s v="Gram Panchayat"/>
    <n v="187887"/>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5"/>
    <d v="2025-06-27T00:00:00"/>
    <s v="2025-26"/>
    <n v="47"/>
    <d v="2025-07-14T00:00:00"/>
    <s v="FDR"/>
    <s v="SAURASHTRA GRAMIN BANK"/>
    <n v="78048407353"/>
    <n v="88000"/>
    <d v="2025-07-07T00:00:00"/>
    <s v="FDR"/>
    <s v="SAURASHTRA GRAMIN BANK"/>
    <n v="78048460306"/>
    <n v="24000"/>
    <d v="2025-07-10T00:00:00"/>
    <d v="2025-07-14T00:00:00"/>
    <n v="951"/>
    <d v="2025-07-14T00:00:00"/>
    <m/>
    <m/>
    <m/>
    <m/>
  </r>
  <r>
    <n v="74"/>
    <m/>
    <s v="2025-26"/>
    <x v="3"/>
    <n v="13"/>
    <s v="Construction of Gram Panchayat office (Frame structure) at Village Chonda Tal. Palitana Dist. Bhavnagar"/>
    <m/>
    <s v="Palitana"/>
    <s v="Palitana"/>
    <s v="Building"/>
    <s v="Gram Panchayat"/>
    <n v="187888"/>
    <n v="1"/>
    <m/>
    <m/>
    <m/>
    <d v="1900-04-29T00:00:00"/>
    <n v="2079935.08"/>
    <m/>
    <n v="1923731.96"/>
    <n v="-7.51"/>
    <s v="Below"/>
    <s v="Nineteen Lakh Twenty Three Thousand Seven Hundred Thirty One Rupees and Ninety Six Paise Only"/>
    <s v="Division"/>
    <m/>
    <n v="1923731.96"/>
    <s v="SANDIP DINESHBHAI VANZARA"/>
    <s v="SANDIP DINESHBHAI VANZARA"/>
    <s v="Opp. HP PUMP, Palitana Road, Gariyadhar"/>
    <n v="8866209297"/>
    <m/>
    <m/>
    <m/>
    <m/>
    <m/>
    <n v="4"/>
    <n v="97000"/>
    <d v="2027-03-11T00:00:00"/>
    <n v="4800"/>
    <n v="0"/>
    <d v="2026-01-20T00:00:00"/>
    <d v="2027-01-10T00:00:00"/>
    <n v="906"/>
    <d v="2025-06-27T00:00:00"/>
    <s v="2025-26"/>
    <n v="93"/>
    <d v="2025-08-18T00:00:00"/>
    <s v="FDR"/>
    <s v="State Bank of India"/>
    <s v="00000044293876825"/>
    <n v="97000"/>
    <d v="2025-07-19T00:00:00"/>
    <m/>
    <m/>
    <m/>
    <m/>
    <m/>
    <d v="2025-08-18T00:00:00"/>
    <n v="1172"/>
    <d v="2025-08-18T00:00:00"/>
    <m/>
    <m/>
    <m/>
    <m/>
  </r>
  <r>
    <n v="75"/>
    <m/>
    <s v="2025-26"/>
    <x v="3"/>
    <n v="14"/>
    <m/>
    <m/>
    <m/>
    <e v="#N/A"/>
    <s v="Building"/>
    <m/>
    <m/>
    <m/>
    <m/>
    <m/>
    <m/>
    <d v="1900-04-29T00:00:00"/>
    <m/>
    <s v="Yes"/>
    <m/>
    <m/>
    <s v="Equals"/>
    <s v="Zero Rupees Only"/>
    <s v="Division"/>
    <m/>
    <n v="0"/>
    <m/>
    <n v="0"/>
    <n v="0"/>
    <n v="0"/>
    <m/>
    <m/>
    <m/>
    <m/>
    <m/>
    <m/>
    <n v="0"/>
    <d v="1901-03-25T00:00:00"/>
    <n v="0"/>
    <n v="0"/>
    <d v="1900-02-03T00:00:00"/>
    <d v="1901-01-24T00:00:00"/>
    <m/>
    <m/>
    <m/>
    <m/>
    <m/>
    <m/>
    <m/>
    <m/>
    <m/>
    <m/>
    <m/>
    <m/>
    <m/>
    <m/>
    <m/>
    <m/>
    <m/>
    <m/>
    <m/>
    <m/>
    <m/>
    <m/>
  </r>
  <r>
    <n v="76"/>
    <m/>
    <s v="2025-26"/>
    <x v="3"/>
    <n v="15"/>
    <m/>
    <m/>
    <m/>
    <e v="#N/A"/>
    <s v="Building"/>
    <m/>
    <m/>
    <m/>
    <m/>
    <m/>
    <m/>
    <d v="1900-04-29T00:00:00"/>
    <m/>
    <s v="Yes"/>
    <m/>
    <m/>
    <s v="Equals"/>
    <s v="Zero Rupees Only"/>
    <s v="Division"/>
    <m/>
    <n v="0"/>
    <m/>
    <n v="0"/>
    <n v="0"/>
    <n v="0"/>
    <m/>
    <m/>
    <m/>
    <m/>
    <m/>
    <m/>
    <n v="0"/>
    <d v="1901-03-25T00:00:00"/>
    <n v="0"/>
    <n v="0"/>
    <d v="1900-02-03T00:00:00"/>
    <d v="1901-01-24T00:00:00"/>
    <m/>
    <m/>
    <m/>
    <m/>
    <m/>
    <m/>
    <m/>
    <m/>
    <m/>
    <m/>
    <m/>
    <m/>
    <m/>
    <m/>
    <m/>
    <m/>
    <m/>
    <m/>
    <m/>
    <m/>
    <m/>
    <m/>
  </r>
  <r>
    <n v="77"/>
    <m/>
    <s v="2025-26"/>
    <x v="3"/>
    <n v="16"/>
    <s v="Construction of Gram Panchayat office (Frame structure) at Village Bhandariya Ta. Palitana Dist. Bhavnagar"/>
    <m/>
    <s v="Palitana"/>
    <s v="Palitana"/>
    <s v="Building"/>
    <s v="Gram Panchayat"/>
    <n v="187891"/>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7"/>
    <d v="2025-06-27T00:00:00"/>
    <s v="2025-26"/>
    <n v="48"/>
    <d v="2025-07-14T00:00:00"/>
    <s v="FDR"/>
    <s v="SAURASHTRA GRAMIN BANK"/>
    <n v="78048407342"/>
    <n v="88000"/>
    <d v="2025-07-07T00:00:00"/>
    <s v="FDR"/>
    <s v="SAURASHTRA GRAMIN BANK"/>
    <n v="78048460328"/>
    <n v="24000"/>
    <d v="2025-07-10T00:00:00"/>
    <d v="2025-07-14T00:00:00"/>
    <n v="952"/>
    <d v="2025-07-14T00:00:00"/>
    <m/>
    <m/>
    <m/>
    <m/>
  </r>
  <r>
    <n v="78"/>
    <m/>
    <s v="2025-26"/>
    <x v="3"/>
    <n v="17"/>
    <m/>
    <m/>
    <m/>
    <e v="#N/A"/>
    <s v="Building"/>
    <m/>
    <m/>
    <m/>
    <m/>
    <m/>
    <m/>
    <d v="1900-04-29T00:00:00"/>
    <m/>
    <s v="Yes"/>
    <m/>
    <m/>
    <s v="Equals"/>
    <s v="Zero Rupees Only"/>
    <s v="Division"/>
    <m/>
    <n v="0"/>
    <m/>
    <n v="0"/>
    <n v="0"/>
    <n v="0"/>
    <m/>
    <m/>
    <m/>
    <m/>
    <m/>
    <m/>
    <n v="0"/>
    <d v="1901-03-25T00:00:00"/>
    <n v="0"/>
    <n v="0"/>
    <d v="1900-02-03T00:00:00"/>
    <d v="1901-01-24T00:00:00"/>
    <m/>
    <m/>
    <m/>
    <m/>
    <m/>
    <m/>
    <m/>
    <m/>
    <m/>
    <m/>
    <m/>
    <m/>
    <m/>
    <m/>
    <m/>
    <m/>
    <m/>
    <m/>
    <m/>
    <m/>
    <m/>
    <m/>
  </r>
  <r>
    <n v="79"/>
    <m/>
    <s v="2025-26"/>
    <x v="3"/>
    <n v="18"/>
    <m/>
    <m/>
    <m/>
    <e v="#N/A"/>
    <s v="Building"/>
    <m/>
    <m/>
    <m/>
    <m/>
    <m/>
    <m/>
    <d v="1900-04-29T00:00:00"/>
    <m/>
    <s v="Yes"/>
    <m/>
    <m/>
    <s v="Equals"/>
    <s v="Zero Rupees Only"/>
    <s v="Division"/>
    <m/>
    <n v="0"/>
    <m/>
    <n v="0"/>
    <n v="0"/>
    <n v="0"/>
    <m/>
    <m/>
    <m/>
    <m/>
    <m/>
    <m/>
    <n v="0"/>
    <d v="1901-03-25T00:00:00"/>
    <n v="0"/>
    <n v="0"/>
    <d v="1900-02-03T00:00:00"/>
    <d v="1901-01-24T00:00:00"/>
    <m/>
    <m/>
    <m/>
    <m/>
    <m/>
    <m/>
    <m/>
    <m/>
    <m/>
    <m/>
    <m/>
    <m/>
    <m/>
    <m/>
    <m/>
    <m/>
    <m/>
    <m/>
    <m/>
    <m/>
    <m/>
    <m/>
  </r>
  <r>
    <n v="80"/>
    <m/>
    <s v="2025-26"/>
    <x v="3"/>
    <n v="19"/>
    <s v="Construction of Gram Panchayat office (Frame structure) at Village Motishree Tal. Palitana Dist. Bhavnagar"/>
    <m/>
    <s v="Palitana"/>
    <s v="Palitana"/>
    <s v="Building"/>
    <s v="Gram Panchayat"/>
    <n v="187894"/>
    <n v="1"/>
    <m/>
    <m/>
    <m/>
    <d v="1900-04-29T00:00:00"/>
    <n v="2079935.08"/>
    <m/>
    <n v="1923939.95"/>
    <n v="-7.5"/>
    <s v="Below"/>
    <s v="Nineteen Lakh Twenty Three Thousand Nine Hundred Thirty Nine Rupees and Ninety Five Paise Only"/>
    <s v="Division"/>
    <m/>
    <n v="1923939.95"/>
    <s v="UDAYBHAI R. LUNSAR"/>
    <s v="UDAYBHAI RAMKUBHAI LUNSAR"/>
    <s v="Shop No. 5, First Floor, Nilkanth Arcade, Opp. Arjun Tokiz, Palitana Road, Gariyadhar- 364505"/>
    <n v="9824226646"/>
    <m/>
    <m/>
    <m/>
    <m/>
    <m/>
    <n v="4"/>
    <n v="97000"/>
    <d v="2027-03-11T00:00:00"/>
    <n v="4800"/>
    <n v="0"/>
    <d v="2026-01-20T00:00:00"/>
    <d v="2027-01-10T00:00:00"/>
    <n v="908"/>
    <d v="2025-06-27T00:00:00"/>
    <s v="2025-26"/>
    <n v="97"/>
    <d v="2025-08-18T00:00:00"/>
    <s v="FDR"/>
    <s v="SAURASHTRA GRAMIN BANK"/>
    <n v="78048506910"/>
    <n v="97000"/>
    <d v="2025-07-14T00:00:00"/>
    <m/>
    <m/>
    <m/>
    <m/>
    <m/>
    <d v="2025-08-18T00:00:00"/>
    <n v="1176"/>
    <d v="2025-08-18T00:00:00"/>
    <m/>
    <m/>
    <m/>
    <m/>
  </r>
  <r>
    <n v="81"/>
    <m/>
    <s v="2025-26"/>
    <x v="3"/>
    <n v="20"/>
    <s v="Construction of Gram Panchayat office (Frame structure) at Village Dungarpur Tal. Palitana Dist. Bhavnagar"/>
    <m/>
    <s v="Palitana"/>
    <s v="Palitana"/>
    <s v="Building"/>
    <s v="Gram Panchayat"/>
    <n v="187895"/>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9"/>
    <d v="2025-06-27T00:00:00"/>
    <s v="2025-26"/>
    <n v="49"/>
    <d v="2025-07-14T00:00:00"/>
    <s v="FDR"/>
    <s v="SAURASHTRA GRAMIN BANK"/>
    <n v="78048407331"/>
    <n v="88000"/>
    <d v="2025-07-07T00:00:00"/>
    <s v="FDR"/>
    <s v="SAURASHTRA GRAMIN BANK"/>
    <n v="78048460282"/>
    <n v="24000"/>
    <d v="2025-07-10T00:00:00"/>
    <d v="2025-07-14T00:00:00"/>
    <n v="953"/>
    <d v="2025-07-14T00:00:00"/>
    <m/>
    <m/>
    <m/>
    <m/>
  </r>
  <r>
    <n v="82"/>
    <m/>
    <s v="2025-26"/>
    <x v="3"/>
    <n v="21"/>
    <m/>
    <m/>
    <m/>
    <e v="#N/A"/>
    <s v="Building"/>
    <m/>
    <m/>
    <m/>
    <m/>
    <m/>
    <m/>
    <d v="1900-04-29T00:00:00"/>
    <m/>
    <s v="Yes"/>
    <m/>
    <m/>
    <s v="Equals"/>
    <s v="Zero Rupees Only"/>
    <s v="Division"/>
    <m/>
    <n v="0"/>
    <m/>
    <n v="0"/>
    <n v="0"/>
    <n v="0"/>
    <m/>
    <m/>
    <m/>
    <m/>
    <m/>
    <m/>
    <n v="0"/>
    <d v="1901-03-25T00:00:00"/>
    <n v="0"/>
    <n v="0"/>
    <d v="1900-02-03T00:00:00"/>
    <d v="1901-01-24T00:00:00"/>
    <m/>
    <m/>
    <m/>
    <m/>
    <m/>
    <m/>
    <m/>
    <m/>
    <m/>
    <m/>
    <m/>
    <m/>
    <m/>
    <m/>
    <m/>
    <m/>
    <m/>
    <m/>
    <m/>
    <m/>
    <m/>
    <m/>
  </r>
  <r>
    <n v="83"/>
    <m/>
    <s v="2025-26"/>
    <x v="3"/>
    <n v="22"/>
    <s v="Construction of Gram Panchayat office (Frame structure) at Village Nava Sarod Tal. Palitana Dist. Bhavnagar"/>
    <m/>
    <s v="Palitana"/>
    <s v="Palitana"/>
    <s v="Building"/>
    <s v="Gram Panchayat"/>
    <n v="187897"/>
    <n v="1"/>
    <m/>
    <m/>
    <m/>
    <d v="1900-04-29T00:00:00"/>
    <n v="2079935.08"/>
    <m/>
    <n v="1980930.17"/>
    <n v="-4.76"/>
    <s v="Below"/>
    <s v="Nineteen Lakh Eighty Thousand Nine Hundred Thirty Rupees and Seventeen Paise Only"/>
    <s v="Division"/>
    <m/>
    <n v="1980930.17"/>
    <s v="ASHOKBHAI PARSHOTAMBHAI_x000a_BARAIYA"/>
    <s v="ASHOKBHAI PARSHOTAMBHAI_x000a_BARAIYA"/>
    <s v="At Lapaliya, Post- Nani Rajsthali, Tal. Palitana - 364270"/>
    <n v="9898775037"/>
    <m/>
    <m/>
    <m/>
    <m/>
    <m/>
    <n v="4"/>
    <n v="100000"/>
    <d v="2027-02-05T00:00:00"/>
    <n v="4900"/>
    <n v="0"/>
    <d v="2025-12-17T00:00:00"/>
    <d v="2026-12-07T00:00:00"/>
    <n v="910"/>
    <d v="2025-06-27T00:00:00"/>
    <m/>
    <m/>
    <m/>
    <m/>
    <m/>
    <m/>
    <m/>
    <m/>
    <m/>
    <m/>
    <m/>
    <m/>
    <m/>
    <d v="2025-07-15T00:00:00"/>
    <m/>
    <m/>
    <m/>
    <m/>
    <m/>
    <m/>
  </r>
  <r>
    <n v="84"/>
    <m/>
    <s v="2025-26"/>
    <x v="3"/>
    <n v="23"/>
    <m/>
    <m/>
    <m/>
    <e v="#N/A"/>
    <s v="Building"/>
    <m/>
    <m/>
    <m/>
    <m/>
    <m/>
    <m/>
    <d v="1900-04-29T00:00:00"/>
    <m/>
    <s v="Yes"/>
    <m/>
    <m/>
    <s v="Equals"/>
    <s v="Zero Rupees Only"/>
    <s v="Division"/>
    <m/>
    <n v="0"/>
    <m/>
    <n v="0"/>
    <n v="0"/>
    <n v="0"/>
    <m/>
    <m/>
    <m/>
    <m/>
    <m/>
    <m/>
    <n v="0"/>
    <d v="1901-03-25T00:00:00"/>
    <n v="0"/>
    <n v="0"/>
    <d v="1900-02-03T00:00:00"/>
    <d v="1901-01-24T00:00:00"/>
    <m/>
    <m/>
    <m/>
    <m/>
    <m/>
    <m/>
    <m/>
    <m/>
    <m/>
    <m/>
    <m/>
    <m/>
    <m/>
    <m/>
    <m/>
    <m/>
    <m/>
    <m/>
    <m/>
    <m/>
    <m/>
    <m/>
  </r>
  <r>
    <n v="85"/>
    <m/>
    <s v="2025-26"/>
    <x v="3"/>
    <n v="24"/>
    <m/>
    <m/>
    <m/>
    <e v="#N/A"/>
    <s v="Building"/>
    <m/>
    <m/>
    <m/>
    <m/>
    <m/>
    <m/>
    <d v="1900-04-29T00:00:00"/>
    <m/>
    <s v="Yes"/>
    <m/>
    <m/>
    <s v="Equals"/>
    <s v="Zero Rupees Only"/>
    <s v="Division"/>
    <m/>
    <n v="0"/>
    <m/>
    <n v="0"/>
    <n v="0"/>
    <n v="0"/>
    <m/>
    <m/>
    <m/>
    <m/>
    <m/>
    <m/>
    <n v="0"/>
    <d v="1901-03-25T00:00:00"/>
    <n v="0"/>
    <n v="0"/>
    <d v="1900-02-03T00:00:00"/>
    <d v="1901-01-24T00:00:00"/>
    <m/>
    <m/>
    <m/>
    <m/>
    <m/>
    <m/>
    <m/>
    <m/>
    <m/>
    <m/>
    <m/>
    <m/>
    <m/>
    <m/>
    <m/>
    <m/>
    <m/>
    <m/>
    <m/>
    <m/>
    <m/>
    <m/>
  </r>
  <r>
    <n v="86"/>
    <m/>
    <s v="2025-26"/>
    <x v="3"/>
    <n v="25"/>
    <m/>
    <m/>
    <m/>
    <e v="#N/A"/>
    <s v="Building"/>
    <m/>
    <m/>
    <m/>
    <m/>
    <m/>
    <m/>
    <d v="1900-04-29T00:00:00"/>
    <m/>
    <s v="Yes"/>
    <m/>
    <m/>
    <s v="Equals"/>
    <s v="Zero Rupees Only"/>
    <s v="Division"/>
    <m/>
    <n v="0"/>
    <m/>
    <n v="0"/>
    <n v="0"/>
    <n v="0"/>
    <m/>
    <m/>
    <m/>
    <m/>
    <m/>
    <m/>
    <n v="0"/>
    <d v="1901-03-25T00:00:00"/>
    <n v="0"/>
    <n v="0"/>
    <d v="1900-02-03T00:00:00"/>
    <d v="1901-01-24T00:00:00"/>
    <m/>
    <m/>
    <m/>
    <m/>
    <m/>
    <m/>
    <m/>
    <m/>
    <m/>
    <m/>
    <m/>
    <m/>
    <m/>
    <m/>
    <m/>
    <m/>
    <m/>
    <m/>
    <m/>
    <m/>
    <m/>
    <m/>
  </r>
  <r>
    <n v="87"/>
    <m/>
    <s v="2025-26"/>
    <x v="3"/>
    <n v="26"/>
    <m/>
    <m/>
    <m/>
    <e v="#N/A"/>
    <s v="Building"/>
    <m/>
    <m/>
    <m/>
    <m/>
    <m/>
    <m/>
    <d v="1900-04-29T00:00:00"/>
    <m/>
    <s v="Yes"/>
    <m/>
    <m/>
    <s v="Equals"/>
    <s v="Zero Rupees Only"/>
    <s v="Division"/>
    <m/>
    <n v="0"/>
    <m/>
    <n v="0"/>
    <n v="0"/>
    <n v="0"/>
    <m/>
    <m/>
    <m/>
    <m/>
    <m/>
    <m/>
    <n v="0"/>
    <d v="1901-03-25T00:00:00"/>
    <n v="0"/>
    <n v="0"/>
    <d v="1900-02-03T00:00:00"/>
    <d v="1901-01-24T00:00:00"/>
    <m/>
    <m/>
    <m/>
    <m/>
    <m/>
    <m/>
    <m/>
    <m/>
    <m/>
    <m/>
    <m/>
    <m/>
    <m/>
    <m/>
    <m/>
    <m/>
    <m/>
    <m/>
    <m/>
    <m/>
    <m/>
    <m/>
  </r>
  <r>
    <n v="88"/>
    <m/>
    <s v="2025-26"/>
    <x v="3"/>
    <n v="27"/>
    <m/>
    <m/>
    <m/>
    <e v="#N/A"/>
    <s v="Building"/>
    <m/>
    <m/>
    <m/>
    <m/>
    <m/>
    <m/>
    <d v="1900-04-29T00:00:00"/>
    <m/>
    <s v="Yes"/>
    <m/>
    <m/>
    <s v="Equals"/>
    <s v="Zero Rupees Only"/>
    <s v="Division"/>
    <m/>
    <n v="0"/>
    <m/>
    <n v="0"/>
    <n v="0"/>
    <n v="0"/>
    <m/>
    <m/>
    <m/>
    <m/>
    <m/>
    <m/>
    <n v="0"/>
    <d v="1901-03-25T00:00:00"/>
    <n v="0"/>
    <n v="0"/>
    <d v="1900-02-03T00:00:00"/>
    <d v="1901-01-24T00:00:00"/>
    <m/>
    <m/>
    <m/>
    <m/>
    <m/>
    <m/>
    <m/>
    <m/>
    <m/>
    <m/>
    <m/>
    <m/>
    <m/>
    <m/>
    <m/>
    <m/>
    <m/>
    <m/>
    <m/>
    <m/>
    <m/>
    <m/>
  </r>
  <r>
    <n v="89"/>
    <m/>
    <s v="2025-26"/>
    <x v="3"/>
    <n v="28"/>
    <s v="Construction of Gram Panchayat office (Frame structure) at Village Bambhaniya Tal. Mahuva Dist. Bhavnagar"/>
    <m/>
    <s v="Mahuva"/>
    <s v="Mahuva"/>
    <s v="Building"/>
    <s v="Gram Panchayat"/>
    <n v="187904"/>
    <n v="1"/>
    <d v="2025-05-18T00:00:00"/>
    <d v="2025-05-26T00:00:00"/>
    <d v="2025-05-27T00:00:00"/>
    <d v="2025-09-23T00:00:00"/>
    <n v="2079935.08"/>
    <m/>
    <n v="1967618.59"/>
    <n v="-5.4"/>
    <s v="Below"/>
    <s v="Nineteen Lakh Sixty Seven Thousand Six Hundred Eighteen Rupees and Fifty Nine Paise Only"/>
    <s v="Division"/>
    <m/>
    <n v="1967618.59"/>
    <s v="MAYANKKUMAR JAYANTIBHAI GODHANI"/>
    <n v="0"/>
    <s v="314, Rise On Plaza, Sarthana Jakatnaka, Surat - 395006"/>
    <n v="9099381567"/>
    <m/>
    <m/>
    <m/>
    <m/>
    <m/>
    <n v="4"/>
    <n v="99000"/>
    <d v="2027-02-05T00:00:00"/>
    <n v="4900"/>
    <n v="0"/>
    <d v="2025-12-17T00:00:00"/>
    <d v="2026-12-07T00:00:00"/>
    <n v="911"/>
    <d v="2025-06-27T00:00:00"/>
    <m/>
    <m/>
    <m/>
    <m/>
    <m/>
    <m/>
    <m/>
    <m/>
    <m/>
    <m/>
    <m/>
    <m/>
    <m/>
    <d v="2025-07-15T00:00:00"/>
    <m/>
    <m/>
    <m/>
    <m/>
    <m/>
    <m/>
  </r>
  <r>
    <n v="90"/>
    <m/>
    <s v="2025-26"/>
    <x v="3"/>
    <n v="29"/>
    <s v="Construction of Gram Panchayat office (Frame structure) at Village Dundas Tal. Mahuva Dist. Bhavnagar"/>
    <m/>
    <s v="Mahuva"/>
    <s v="Mahuva"/>
    <s v="Building"/>
    <s v="Gram Panchayat"/>
    <n v="187905"/>
    <n v="1"/>
    <m/>
    <m/>
    <m/>
    <d v="1900-04-29T00:00:00"/>
    <n v="2079935.08"/>
    <m/>
    <n v="1930179.75"/>
    <n v="-7.2"/>
    <s v="Below"/>
    <s v="Nineteen Lakh Thirty Thousand One Hundred Seventy Nine Rupees and Seventy Five Paise Only"/>
    <s v="Division"/>
    <m/>
    <n v="1930179.75"/>
    <s v="MAYANKKUMAR JAYANTIBHAI GODHANI"/>
    <n v="0"/>
    <s v="314, Rise On Plaza, Sarthana Jakatnaka, Surat - 395006"/>
    <n v="9099381567"/>
    <m/>
    <m/>
    <m/>
    <m/>
    <m/>
    <n v="4"/>
    <n v="97000"/>
    <d v="2027-02-05T00:00:00"/>
    <n v="4800"/>
    <n v="0"/>
    <d v="2025-12-17T00:00:00"/>
    <d v="2026-12-07T00:00:00"/>
    <n v="912"/>
    <d v="2025-06-27T00:00:00"/>
    <m/>
    <m/>
    <m/>
    <m/>
    <m/>
    <m/>
    <m/>
    <m/>
    <m/>
    <m/>
    <m/>
    <m/>
    <m/>
    <d v="2025-07-15T00:00:00"/>
    <m/>
    <m/>
    <m/>
    <m/>
    <m/>
    <m/>
  </r>
  <r>
    <n v="91"/>
    <m/>
    <s v="2025-26"/>
    <x v="3"/>
    <n v="30"/>
    <m/>
    <m/>
    <m/>
    <e v="#N/A"/>
    <s v="Building"/>
    <m/>
    <m/>
    <m/>
    <m/>
    <m/>
    <m/>
    <d v="1900-04-29T00:00:00"/>
    <m/>
    <s v="Yes"/>
    <m/>
    <m/>
    <s v="Equals"/>
    <s v="Zero Rupees Only"/>
    <s v="Division"/>
    <m/>
    <n v="0"/>
    <m/>
    <n v="0"/>
    <n v="0"/>
    <n v="0"/>
    <m/>
    <m/>
    <m/>
    <m/>
    <m/>
    <m/>
    <n v="0"/>
    <d v="1901-03-25T00:00:00"/>
    <n v="0"/>
    <n v="0"/>
    <d v="1900-02-03T00:00:00"/>
    <d v="1901-01-24T00:00:00"/>
    <m/>
    <m/>
    <m/>
    <m/>
    <m/>
    <m/>
    <m/>
    <m/>
    <m/>
    <m/>
    <m/>
    <m/>
    <m/>
    <m/>
    <m/>
    <m/>
    <m/>
    <m/>
    <m/>
    <m/>
    <m/>
    <m/>
  </r>
  <r>
    <n v="92"/>
    <m/>
    <s v="2025-26"/>
    <x v="3"/>
    <n v="31"/>
    <m/>
    <m/>
    <m/>
    <e v="#N/A"/>
    <s v="Building"/>
    <m/>
    <m/>
    <m/>
    <m/>
    <m/>
    <m/>
    <d v="1900-04-29T00:00:00"/>
    <m/>
    <s v="Yes"/>
    <m/>
    <m/>
    <s v="Equals"/>
    <s v="Zero Rupees Only"/>
    <s v="Division"/>
    <m/>
    <n v="0"/>
    <m/>
    <n v="0"/>
    <n v="0"/>
    <n v="0"/>
    <m/>
    <m/>
    <m/>
    <m/>
    <m/>
    <m/>
    <n v="0"/>
    <d v="1901-03-25T00:00:00"/>
    <n v="0"/>
    <n v="0"/>
    <d v="1900-02-03T00:00:00"/>
    <d v="1901-01-24T00:00:00"/>
    <m/>
    <m/>
    <m/>
    <m/>
    <m/>
    <m/>
    <m/>
    <m/>
    <m/>
    <m/>
    <m/>
    <m/>
    <m/>
    <m/>
    <m/>
    <m/>
    <m/>
    <m/>
    <m/>
    <m/>
    <m/>
    <m/>
  </r>
  <r>
    <n v="93"/>
    <m/>
    <s v="2025-26"/>
    <x v="3"/>
    <n v="32"/>
    <m/>
    <m/>
    <m/>
    <e v="#N/A"/>
    <s v="Building"/>
    <m/>
    <m/>
    <m/>
    <m/>
    <m/>
    <m/>
    <d v="1900-04-29T00:00:00"/>
    <m/>
    <s v="Yes"/>
    <m/>
    <m/>
    <s v="Equals"/>
    <s v="Zero Rupees Only"/>
    <s v="Division"/>
    <m/>
    <n v="0"/>
    <m/>
    <n v="0"/>
    <n v="0"/>
    <n v="0"/>
    <m/>
    <m/>
    <m/>
    <m/>
    <m/>
    <m/>
    <n v="0"/>
    <d v="1901-03-25T00:00:00"/>
    <n v="0"/>
    <n v="0"/>
    <d v="1900-02-03T00:00:00"/>
    <d v="1901-01-24T00:00:00"/>
    <m/>
    <m/>
    <m/>
    <m/>
    <m/>
    <m/>
    <m/>
    <m/>
    <m/>
    <m/>
    <m/>
    <m/>
    <m/>
    <m/>
    <m/>
    <m/>
    <m/>
    <m/>
    <m/>
    <m/>
    <m/>
    <m/>
  </r>
  <r>
    <n v="94"/>
    <m/>
    <s v="2025-26"/>
    <x v="3"/>
    <n v="33"/>
    <s v="Construction of Gram Panchayat office (Frame structure) at Village Kotamoi Tal. Jesar Dist. Bhavnagar"/>
    <m/>
    <s v="Jesar"/>
    <s v="Mahuva"/>
    <s v="Building"/>
    <s v="Gram Panchayat"/>
    <n v="187909"/>
    <n v="1"/>
    <m/>
    <m/>
    <m/>
    <d v="1900-04-29T00:00:00"/>
    <n v="2027056.59"/>
    <m/>
    <n v="1844418.79"/>
    <n v="-9.01"/>
    <s v="Below"/>
    <s v="Eighteen Lakh Forty Four Thousand Four Hundred Eighteen Rupees and Seventy Nine Paise Only"/>
    <s v="Division"/>
    <m/>
    <n v="1844418.79"/>
    <s v="C M VAGHELA"/>
    <s v="CHATURBHAI MOHANBHAI VAGHELA"/>
    <s v="MOTI PANIYALI, Via. Po. SHETRUNJI, Ta. PALITANA, Dist. BHAVNAGAR-364270"/>
    <n v="9925448120"/>
    <m/>
    <m/>
    <m/>
    <m/>
    <m/>
    <n v="4"/>
    <n v="93000"/>
    <d v="2027-02-05T00:00:00"/>
    <n v="4600"/>
    <n v="0"/>
    <d v="2025-12-17T00:00:00"/>
    <d v="2026-12-07T00:00:00"/>
    <n v="913"/>
    <d v="2025-06-27T00:00:00"/>
    <m/>
    <m/>
    <m/>
    <m/>
    <m/>
    <m/>
    <m/>
    <m/>
    <m/>
    <m/>
    <m/>
    <m/>
    <m/>
    <d v="2025-07-15T00:00:00"/>
    <m/>
    <m/>
    <m/>
    <m/>
    <m/>
    <m/>
  </r>
  <r>
    <n v="95"/>
    <m/>
    <s v="2025-26"/>
    <x v="3"/>
    <n v="34"/>
    <m/>
    <m/>
    <m/>
    <e v="#N/A"/>
    <s v="Building"/>
    <m/>
    <m/>
    <m/>
    <m/>
    <m/>
    <m/>
    <d v="1900-04-29T00:00:00"/>
    <m/>
    <s v="Yes"/>
    <m/>
    <m/>
    <s v="Equals"/>
    <s v="Zero Rupees Only"/>
    <s v="Division"/>
    <m/>
    <n v="0"/>
    <m/>
    <n v="0"/>
    <n v="0"/>
    <n v="0"/>
    <m/>
    <m/>
    <m/>
    <m/>
    <m/>
    <m/>
    <n v="0"/>
    <d v="1901-03-25T00:00:00"/>
    <n v="0"/>
    <n v="0"/>
    <d v="1900-02-03T00:00:00"/>
    <d v="1901-01-24T00:00:00"/>
    <m/>
    <m/>
    <m/>
    <m/>
    <m/>
    <m/>
    <m/>
    <m/>
    <m/>
    <m/>
    <m/>
    <m/>
    <m/>
    <m/>
    <m/>
    <m/>
    <m/>
    <m/>
    <m/>
    <m/>
    <m/>
    <m/>
  </r>
  <r>
    <n v="96"/>
    <m/>
    <s v="2025-26"/>
    <x v="3"/>
    <n v="35"/>
    <m/>
    <m/>
    <m/>
    <e v="#N/A"/>
    <s v="Building"/>
    <m/>
    <m/>
    <m/>
    <m/>
    <m/>
    <m/>
    <d v="1900-04-29T00:00:00"/>
    <m/>
    <s v="Yes"/>
    <m/>
    <m/>
    <s v="Equals"/>
    <s v="Zero Rupees Only"/>
    <s v="Division"/>
    <m/>
    <n v="0"/>
    <m/>
    <n v="0"/>
    <n v="0"/>
    <n v="0"/>
    <m/>
    <m/>
    <m/>
    <m/>
    <m/>
    <m/>
    <n v="0"/>
    <d v="1901-03-25T00:00:00"/>
    <n v="0"/>
    <n v="0"/>
    <d v="1900-02-03T00:00:00"/>
    <d v="1901-01-24T00:00:00"/>
    <m/>
    <m/>
    <m/>
    <m/>
    <m/>
    <m/>
    <m/>
    <m/>
    <m/>
    <m/>
    <m/>
    <m/>
    <m/>
    <m/>
    <m/>
    <m/>
    <m/>
    <m/>
    <m/>
    <m/>
    <m/>
    <m/>
  </r>
  <r>
    <n v="97"/>
    <m/>
    <s v="2025-26"/>
    <x v="3"/>
    <n v="36"/>
    <m/>
    <m/>
    <m/>
    <e v="#N/A"/>
    <s v="Building"/>
    <m/>
    <m/>
    <m/>
    <m/>
    <m/>
    <m/>
    <d v="1900-04-29T00:00:00"/>
    <m/>
    <s v="Yes"/>
    <m/>
    <m/>
    <s v="Equals"/>
    <s v="Zero Rupees Only"/>
    <s v="Division"/>
    <m/>
    <n v="0"/>
    <m/>
    <n v="0"/>
    <n v="0"/>
    <n v="0"/>
    <m/>
    <m/>
    <m/>
    <m/>
    <m/>
    <m/>
    <n v="0"/>
    <d v="1901-03-25T00:00:00"/>
    <n v="0"/>
    <n v="0"/>
    <d v="1900-02-03T00:00:00"/>
    <d v="1901-01-24T00:00:00"/>
    <m/>
    <m/>
    <m/>
    <m/>
    <m/>
    <m/>
    <m/>
    <m/>
    <m/>
    <m/>
    <m/>
    <m/>
    <m/>
    <m/>
    <m/>
    <m/>
    <m/>
    <m/>
    <m/>
    <m/>
    <m/>
    <m/>
  </r>
  <r>
    <n v="98"/>
    <m/>
    <s v="2025-26"/>
    <x v="3"/>
    <n v="37"/>
    <s v="Construction of Gram Panchayat office (Frame structure) at Village Hadamtala Tal.Umrala Dist. Bhavnagar"/>
    <m/>
    <s v="Umrala"/>
    <s v="Vallabhipur"/>
    <s v="Building"/>
    <s v="Gram Panchayat"/>
    <n v="187914"/>
    <n v="1"/>
    <m/>
    <m/>
    <m/>
    <d v="1900-04-29T00:00:00"/>
    <n v="2027056.59"/>
    <m/>
    <n v="1801850.6"/>
    <n v="-11.11"/>
    <s v="Below"/>
    <s v="Eighteen Lakh One Thousand Eight Hundred Fifty Rupees and Six Paise Only"/>
    <s v="Division"/>
    <m/>
    <n v="1801850.6"/>
    <s v="DEV CONSTRUCTION"/>
    <s v="D. H. Gohil"/>
    <s v="At. Vangadhra, Ta.Umrala, Dist. Bhavnagar"/>
    <n v="8780286268"/>
    <m/>
    <m/>
    <m/>
    <m/>
    <m/>
    <n v="4"/>
    <n v="91000"/>
    <d v="2027-04-03T00:00:00"/>
    <n v="4800"/>
    <n v="5000"/>
    <d v="2026-02-12T00:00:00"/>
    <d v="2027-02-02T00:00:00"/>
    <n v="914"/>
    <d v="2025-06-27T00:00:00"/>
    <s v="2025-26"/>
    <n v="149"/>
    <d v="2025-09-10T00:00:00"/>
    <s v="FDR"/>
    <s v="State Bank of India"/>
    <n v="44412611449"/>
    <n v="91000"/>
    <d v="2025-08-28T00:00:00"/>
    <s v="FDR"/>
    <s v="State Bank of India"/>
    <n v="44412614122"/>
    <n v="5000"/>
    <d v="2025-08-28T00:00:00"/>
    <d v="2025-09-10T00:00:00"/>
    <n v="1293"/>
    <d v="2025-09-10T00:00:00"/>
    <m/>
    <m/>
    <m/>
    <m/>
  </r>
  <r>
    <n v="99"/>
    <m/>
    <s v="2025-26"/>
    <x v="3"/>
    <n v="38"/>
    <m/>
    <m/>
    <m/>
    <e v="#N/A"/>
    <s v="Building"/>
    <m/>
    <m/>
    <m/>
    <m/>
    <m/>
    <m/>
    <d v="1900-04-29T00:00:00"/>
    <m/>
    <s v="Yes"/>
    <m/>
    <m/>
    <s v="Equals"/>
    <s v="Zero Rupees Only"/>
    <s v="Division"/>
    <m/>
    <n v="0"/>
    <m/>
    <n v="0"/>
    <n v="0"/>
    <n v="0"/>
    <m/>
    <m/>
    <m/>
    <m/>
    <m/>
    <m/>
    <n v="0"/>
    <d v="1901-03-25T00:00:00"/>
    <n v="0"/>
    <n v="0"/>
    <d v="1900-02-03T00:00:00"/>
    <d v="1901-01-24T00:00:00"/>
    <m/>
    <m/>
    <m/>
    <m/>
    <m/>
    <m/>
    <m/>
    <m/>
    <m/>
    <m/>
    <m/>
    <m/>
    <m/>
    <m/>
    <m/>
    <m/>
    <m/>
    <m/>
    <m/>
    <m/>
    <m/>
    <m/>
  </r>
  <r>
    <n v="100"/>
    <m/>
    <s v="2025-26"/>
    <x v="3"/>
    <n v="39"/>
    <s v="Construction of Gram Panchayat office ( for Population from 5000- 10000) at Village Ranghola Tal. Umrala Dist. Bhavnagar"/>
    <m/>
    <s v="Umrala"/>
    <s v="Vallabhipur"/>
    <s v="Building"/>
    <s v="Gram Panchayat"/>
    <n v="187916"/>
    <n v="1"/>
    <m/>
    <m/>
    <m/>
    <d v="1900-04-29T00:00:00"/>
    <n v="2654980.89"/>
    <m/>
    <n v="2389748.2999999998"/>
    <n v="-9.99"/>
    <s v="Below"/>
    <s v="Twenty Three Lakh Eighty Nine Thousand Seven Hundred Forty Eight Rupees and Three Paise Only"/>
    <s v="Division"/>
    <m/>
    <n v="2389748.2999999998"/>
    <s v="DEV CONSTRUCTION"/>
    <s v="D. H. Gohil"/>
    <s v="At. Vangadhra, Ta.Umrala, Dist. Bhavnagar"/>
    <n v="8780286268"/>
    <m/>
    <m/>
    <m/>
    <m/>
    <m/>
    <n v="4"/>
    <n v="120000"/>
    <d v="2027-02-05T00:00:00"/>
    <n v="5900"/>
    <n v="0"/>
    <d v="2025-12-17T00:00:00"/>
    <d v="2026-12-07T00:00:00"/>
    <n v="915"/>
    <d v="2025-06-27T00:00:00"/>
    <m/>
    <m/>
    <m/>
    <m/>
    <m/>
    <m/>
    <m/>
    <m/>
    <m/>
    <m/>
    <m/>
    <m/>
    <m/>
    <d v="2025-07-15T00:00:00"/>
    <m/>
    <m/>
    <m/>
    <m/>
    <m/>
    <m/>
  </r>
  <r>
    <n v="101"/>
    <m/>
    <s v="2025-26"/>
    <x v="3"/>
    <n v="40"/>
    <m/>
    <m/>
    <m/>
    <e v="#N/A"/>
    <s v="Building"/>
    <m/>
    <m/>
    <m/>
    <m/>
    <m/>
    <m/>
    <d v="1900-04-29T00:00:00"/>
    <m/>
    <s v="Yes"/>
    <m/>
    <m/>
    <s v="Equals"/>
    <s v="Zero Rupees Only"/>
    <s v="Division"/>
    <m/>
    <n v="0"/>
    <m/>
    <n v="0"/>
    <n v="0"/>
    <n v="0"/>
    <m/>
    <m/>
    <m/>
    <m/>
    <m/>
    <m/>
    <n v="0"/>
    <d v="1901-03-25T00:00:00"/>
    <n v="0"/>
    <n v="0"/>
    <d v="1900-02-03T00:00:00"/>
    <d v="1901-01-24T00:00:00"/>
    <m/>
    <m/>
    <m/>
    <m/>
    <m/>
    <m/>
    <m/>
    <m/>
    <m/>
    <m/>
    <m/>
    <m/>
    <m/>
    <m/>
    <m/>
    <m/>
    <m/>
    <m/>
    <m/>
    <m/>
    <m/>
    <m/>
  </r>
  <r>
    <n v="102"/>
    <m/>
    <s v="2025-26"/>
    <x v="3"/>
    <n v="41"/>
    <m/>
    <m/>
    <m/>
    <e v="#N/A"/>
    <s v="Building"/>
    <m/>
    <m/>
    <m/>
    <m/>
    <m/>
    <m/>
    <d v="1900-04-29T00:00:00"/>
    <m/>
    <s v="Yes"/>
    <m/>
    <m/>
    <s v="Equals"/>
    <s v="Zero Rupees Only"/>
    <s v="Division"/>
    <m/>
    <n v="0"/>
    <m/>
    <n v="0"/>
    <n v="0"/>
    <n v="0"/>
    <m/>
    <m/>
    <m/>
    <m/>
    <m/>
    <m/>
    <n v="0"/>
    <d v="1901-03-25T00:00:00"/>
    <n v="0"/>
    <n v="0"/>
    <d v="1900-02-03T00:00:00"/>
    <d v="1901-01-24T00:00:00"/>
    <m/>
    <m/>
    <m/>
    <m/>
    <m/>
    <m/>
    <m/>
    <m/>
    <m/>
    <m/>
    <m/>
    <m/>
    <m/>
    <m/>
    <m/>
    <m/>
    <m/>
    <m/>
    <m/>
    <m/>
    <m/>
    <m/>
  </r>
  <r>
    <n v="103"/>
    <m/>
    <s v="2025-26"/>
    <x v="3"/>
    <n v="42"/>
    <s v="Construction of Gram Panchayat office ( for Population from 5000- 10000) at Village Chogath Tal. Umrala Dist. Bhavnagar"/>
    <m/>
    <s v="Umrala"/>
    <s v="Vallabhipur"/>
    <s v="Building"/>
    <s v="Gram Panchayat"/>
    <n v="187919"/>
    <n v="1"/>
    <m/>
    <m/>
    <m/>
    <d v="1900-04-29T00:00:00"/>
    <n v="2654980.89"/>
    <m/>
    <n v="2360012.5099999998"/>
    <n v="-11.11"/>
    <s v="Below"/>
    <s v="Twenty Three Lakh Sixty Thousand Twelve Rupees and Fifty One Paise Only"/>
    <s v="Division"/>
    <m/>
    <n v="2360012.5099999998"/>
    <s v="DEV CONSTRUCTION"/>
    <s v="D. H. Gohil"/>
    <s v="At. Vangadhra, Ta.Umrala, Dist. Bhavnagar"/>
    <n v="8780286268"/>
    <m/>
    <m/>
    <m/>
    <m/>
    <m/>
    <n v="4"/>
    <n v="119000"/>
    <d v="2027-02-05T00:00:00"/>
    <n v="6200"/>
    <n v="6000"/>
    <d v="2025-12-17T00:00:00"/>
    <d v="2026-12-07T00:00:00"/>
    <n v="916"/>
    <d v="2025-06-27T00:00:00"/>
    <m/>
    <m/>
    <m/>
    <m/>
    <m/>
    <m/>
    <m/>
    <m/>
    <m/>
    <m/>
    <m/>
    <m/>
    <m/>
    <d v="2025-07-15T00:00:00"/>
    <m/>
    <m/>
    <m/>
    <m/>
    <m/>
    <m/>
  </r>
  <r>
    <n v="104"/>
    <m/>
    <s v="2025-26"/>
    <x v="4"/>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89005"/>
    <n v="1"/>
    <m/>
    <m/>
    <m/>
    <d v="1900-04-29T00:00:00"/>
    <m/>
    <s v="Yes"/>
    <m/>
    <m/>
    <s v="Equals"/>
    <s v="Zero Rupees Only"/>
    <s v="Division"/>
    <m/>
    <n v="0"/>
    <m/>
    <n v="0"/>
    <n v="0"/>
    <n v="0"/>
    <m/>
    <m/>
    <m/>
    <m/>
    <m/>
    <m/>
    <n v="0"/>
    <d v="1901-03-25T00:00:00"/>
    <n v="0"/>
    <n v="0"/>
    <d v="1900-02-03T00:00:00"/>
    <d v="1901-01-24T00:00:00"/>
    <m/>
    <m/>
    <m/>
    <m/>
    <m/>
    <m/>
    <m/>
    <m/>
    <m/>
    <m/>
    <m/>
    <m/>
    <m/>
    <m/>
    <m/>
    <m/>
    <m/>
    <m/>
    <m/>
    <m/>
    <m/>
    <m/>
  </r>
  <r>
    <n v="105"/>
    <m/>
    <s v="2025-26"/>
    <x v="5"/>
    <n v="1"/>
    <s v="Empanelment of Consultancy Services for Identification of Road alignment(ROW) as per revenue Records for Different roads under jurisdiction of R &amp; B (P) Division, Bhavnagar"/>
    <m/>
    <m/>
    <e v="#N/A"/>
    <s v="Consultant"/>
    <m/>
    <m/>
    <n v="1"/>
    <m/>
    <m/>
    <m/>
    <d v="1900-04-29T00:00:00"/>
    <m/>
    <m/>
    <m/>
    <m/>
    <s v="Equals"/>
    <s v="Zero Rupees Only"/>
    <s v="Division"/>
    <m/>
    <n v="0"/>
    <m/>
    <n v="0"/>
    <n v="0"/>
    <n v="0"/>
    <m/>
    <m/>
    <m/>
    <m/>
    <m/>
    <m/>
    <n v="0"/>
    <d v="1901-03-25T00:00:00"/>
    <n v="0"/>
    <n v="0"/>
    <d v="1900-02-03T00:00:00"/>
    <d v="1901-01-24T00:00:00"/>
    <m/>
    <m/>
    <m/>
    <m/>
    <m/>
    <m/>
    <m/>
    <m/>
    <m/>
    <m/>
    <m/>
    <m/>
    <m/>
    <m/>
    <m/>
    <m/>
    <m/>
    <d v="2025-08-26T00:00:00"/>
    <m/>
    <m/>
    <m/>
    <m/>
  </r>
  <r>
    <n v="106"/>
    <m/>
    <s v="2025-26"/>
    <x v="6"/>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99480"/>
    <n v="2"/>
    <d v="2025-06-28T00:00:00"/>
    <d v="2025-07-07T00:00:00"/>
    <d v="2025-07-08T00:00:00"/>
    <d v="2025-11-04T00:00:00"/>
    <n v="419152057.25"/>
    <m/>
    <m/>
    <m/>
    <s v="Equals"/>
    <s v="Zero Rupees Only"/>
    <s v="Division"/>
    <m/>
    <n v="0"/>
    <m/>
    <n v="0"/>
    <n v="0"/>
    <n v="0"/>
    <d v="2025-08-06T00:00:00"/>
    <m/>
    <m/>
    <m/>
    <m/>
    <m/>
    <n v="0"/>
    <d v="1903-03-15T00:00:00"/>
    <n v="0"/>
    <n v="0"/>
    <d v="1900-02-03T00:00:00"/>
    <d v="1903-01-14T00:00:00"/>
    <m/>
    <m/>
    <m/>
    <m/>
    <m/>
    <m/>
    <m/>
    <m/>
    <m/>
    <m/>
    <m/>
    <m/>
    <m/>
    <m/>
    <m/>
    <m/>
    <m/>
    <m/>
    <m/>
    <m/>
    <m/>
    <m/>
  </r>
  <r>
    <n v="107"/>
    <m/>
    <s v="2025-26"/>
    <x v="7"/>
    <n v="1"/>
    <s v="Construction of Gram Panchayat office (Frame structure) at Village Karla Tal. Jesar Dist. Bhavnagar"/>
    <m/>
    <s v="Jesar"/>
    <s v="Mahuva"/>
    <s v="Building"/>
    <s v="Gram Panchayat"/>
    <n v="199536"/>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0"/>
    <d v="2025-08-08T00:00:00"/>
    <s v="2025-26"/>
    <n v="154"/>
    <d v="2025-09-11T00:00:00"/>
    <s v="FDR"/>
    <s v="State Bank of India"/>
    <n v="44407033360"/>
    <n v="104000"/>
    <d v="2025-08-30T00:00:00"/>
    <m/>
    <m/>
    <m/>
    <m/>
    <m/>
    <d v="2025-09-11T00:00:00"/>
    <n v="1299"/>
    <d v="2025-09-11T00:00:00"/>
    <m/>
    <m/>
    <m/>
    <m/>
  </r>
  <r>
    <n v="108"/>
    <m/>
    <s v="2025-26"/>
    <x v="7"/>
    <n v="2"/>
    <s v="Construction of Gram Panchayat office (Frame structure) at Village Chiroda Tal. Jesar Dist. Bhavnagar"/>
    <m/>
    <s v="Jesar"/>
    <s v="Mahuva"/>
    <s v="Building"/>
    <s v="Gram Panchayat"/>
    <n v="199539"/>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8"/>
    <d v="2025-08-08T00:00:00"/>
    <s v="2025-26"/>
    <n v="155"/>
    <d v="2025-09-11T00:00:00"/>
    <s v="FDR"/>
    <s v="State Bank of India"/>
    <n v="44407033359"/>
    <n v="104000"/>
    <d v="2025-08-30T00:00:00"/>
    <m/>
    <m/>
    <m/>
    <m/>
    <m/>
    <d v="2025-09-11T00:00:00"/>
    <n v="1300"/>
    <d v="2025-09-11T00:00:00"/>
    <m/>
    <m/>
    <m/>
    <m/>
  </r>
  <r>
    <n v="109"/>
    <m/>
    <s v="2025-26"/>
    <x v="7"/>
    <n v="3"/>
    <s v="Construction of Gram Panchayat office (Frame structure) at Village Shantinagar Tal. Jesar Dist. Bhavnagar"/>
    <m/>
    <s v="Jesar"/>
    <s v="Mahuva"/>
    <s v="Building"/>
    <s v="Gram Panchayat"/>
    <n v="199541"/>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9"/>
    <d v="2025-08-08T00:00:00"/>
    <s v="2025-26"/>
    <n v="156"/>
    <d v="2025-09-11T00:00:00"/>
    <s v="FDR"/>
    <s v="State Bank of India"/>
    <n v="44407033361"/>
    <n v="104000"/>
    <d v="2025-08-30T00:00:00"/>
    <m/>
    <m/>
    <m/>
    <m/>
    <m/>
    <d v="2025-09-11T00:00:00"/>
    <n v="1301"/>
    <d v="2025-09-11T00:00:00"/>
    <m/>
    <m/>
    <m/>
    <m/>
  </r>
  <r>
    <n v="110"/>
    <m/>
    <s v="2025-26"/>
    <x v="7"/>
    <n v="4"/>
    <s v="Construction of Gram Panchayat office (Frame structure) at Village Shevadivadar Tal. Jesar Dist. Bhavnagar"/>
    <m/>
    <s v="Jesar"/>
    <s v="Mahuva"/>
    <s v="Building"/>
    <s v="Gram Panchayat"/>
    <n v="199544"/>
    <n v="2"/>
    <d v="2025-06-29T00:00:00"/>
    <d v="2025-07-10T00:00:00"/>
    <d v="2025-07-11T00:00:00"/>
    <d v="2025-11-07T00:00:00"/>
    <n v="2079935.08"/>
    <m/>
    <n v="1957426.9"/>
    <n v="-5.89"/>
    <s v="Below"/>
    <s v="Nineteen Lakh Fifty Seven Thousand Four Hundred Twenty Six Rupees and Nine Paise Only"/>
    <s v="Division"/>
    <m/>
    <n v="1957426.9"/>
    <s v="Shri Siddhi Vinayak Construction"/>
    <s v="Labhshankar ladhva"/>
    <s v="At Po. Karmadiya, Via Thaliya, Ta. Mahuva, Dist. Bhavnagar - 364145"/>
    <n v="9825445121"/>
    <m/>
    <s v="CDP-5"/>
    <m/>
    <m/>
    <m/>
    <n v="4"/>
    <n v="98000"/>
    <d v="2027-04-24T00:00:00"/>
    <n v="4900"/>
    <n v="0"/>
    <d v="2026-03-05T00:00:00"/>
    <d v="2027-02-23T00:00:00"/>
    <n v="1120"/>
    <d v="2025-08-08T00:00:00"/>
    <s v="2025-26"/>
    <n v="168"/>
    <d v="2025-10-01T00:00:00"/>
    <s v="FDR"/>
    <s v="SAURASHTRA GRAMIN BANK"/>
    <n v="78048996970"/>
    <n v="98000"/>
    <d v="2025-08-18T00:00:00"/>
    <m/>
    <m/>
    <m/>
    <m/>
    <m/>
    <d v="2025-10-01T00:00:00"/>
    <n v="1410"/>
    <d v="2025-10-01T00:00:00"/>
    <m/>
    <m/>
    <m/>
    <m/>
  </r>
  <r>
    <n v="111"/>
    <m/>
    <s v="2025-26"/>
    <x v="7"/>
    <n v="5"/>
    <s v="Construction of Gram Panchayat office (Frame structure) at Village Tol Saladi Chotili Tal. Jesar Dist. Bhavnagar"/>
    <m/>
    <s v="Jesar"/>
    <s v="Mahuva"/>
    <s v="Building"/>
    <s v="Gram Panchayat"/>
    <n v="199545"/>
    <n v="2"/>
    <d v="2025-06-29T00:00:00"/>
    <d v="2025-07-10T00:00:00"/>
    <d v="2025-07-11T00:00:00"/>
    <d v="2025-11-07T00:00:00"/>
    <n v="2079935.08"/>
    <m/>
    <n v="1936627.55"/>
    <n v="-6.89"/>
    <s v="Below"/>
    <s v="Nineteen Lakh Thirty Six Thousand Six Hundred Twenty Seven Rupees and Fifty Five Paise Only"/>
    <s v="Division"/>
    <m/>
    <n v="1936627.55"/>
    <s v="Shri Siddhi Vinayak Construction"/>
    <s v="Labhshankar ladhva"/>
    <s v="At Po. Karmadiya, Via Thaliya, Ta. Mahuva, Dist. Bhavnagar - 364145"/>
    <n v="9825445121"/>
    <m/>
    <s v="CDP-5"/>
    <m/>
    <m/>
    <m/>
    <n v="4"/>
    <n v="97000"/>
    <d v="2027-03-25T00:00:00"/>
    <n v="4800"/>
    <n v="0"/>
    <d v="2026-02-03T00:00:00"/>
    <d v="2027-01-24T00:00:00"/>
    <n v="1124"/>
    <d v="2025-08-08T00:00:00"/>
    <s v="2025-26"/>
    <n v="131"/>
    <d v="2025-09-01T00:00:00"/>
    <s v="FDR"/>
    <s v="SAURASHTRA GRAMIN BANK"/>
    <n v="78048996969"/>
    <n v="97000"/>
    <d v="2025-08-18T00:00:00"/>
    <m/>
    <m/>
    <m/>
    <m/>
    <m/>
    <d v="2025-09-01T00:00:00"/>
    <n v="1239"/>
    <d v="2025-09-01T00:00:00"/>
    <m/>
    <m/>
    <m/>
    <m/>
  </r>
  <r>
    <n v="112"/>
    <m/>
    <s v="2025-26"/>
    <x v="7"/>
    <n v="6"/>
    <s v="Construction of Gram Panchayat office (Frame structure) at Village Senjaliya Ta. Palitana Dist. Bhavnagar"/>
    <m/>
    <s v="Palitana"/>
    <s v="Palitana"/>
    <s v="Building"/>
    <s v="Gram Panchayat"/>
    <n v="199546"/>
    <n v="2"/>
    <d v="2025-06-29T00:00:00"/>
    <d v="2025-07-10T00:00:00"/>
    <d v="2025-07-11T00:00:00"/>
    <d v="2025-11-07T00:00:00"/>
    <n v="2079935.08"/>
    <m/>
    <n v="1954930.98"/>
    <n v="-6.01"/>
    <s v="Below"/>
    <s v="Nineteen Lakh Fifty Four Thousand Nine Hundred Thirty Rupees and Ninety Eight Paise Only"/>
    <s v="Division"/>
    <m/>
    <n v="1954930.98"/>
    <s v="BABUBHAI HAKABHAI GOHIL"/>
    <n v="0"/>
    <s v="Dr. Ambedkar Society, Jamvali Road, Palitana, Dist Bhavnagar"/>
    <n v="9106563480"/>
    <m/>
    <m/>
    <m/>
    <m/>
    <m/>
    <n v="4"/>
    <n v="98000"/>
    <d v="2027-03-08T00:00:00"/>
    <n v="4900"/>
    <n v="0"/>
    <d v="2026-01-17T00:00:00"/>
    <d v="2027-01-07T00:00:00"/>
    <n v="1125"/>
    <d v="2025-08-08T00:00:00"/>
    <m/>
    <m/>
    <m/>
    <m/>
    <m/>
    <m/>
    <m/>
    <m/>
    <m/>
    <m/>
    <m/>
    <m/>
    <m/>
    <d v="2025-08-15T00:00:00"/>
    <m/>
    <m/>
    <m/>
    <m/>
    <m/>
    <m/>
  </r>
  <r>
    <n v="113"/>
    <m/>
    <s v="2025-26"/>
    <x v="7"/>
    <n v="7"/>
    <s v="Construction of Gram Panchayat office (Frame structure) at Village Pithalpur Ta. Palitana Dist. Bhavnagar"/>
    <m/>
    <s v="Palitana"/>
    <s v="Palitana"/>
    <s v="Building"/>
    <s v="Gram Panchayat"/>
    <n v="199547"/>
    <n v="2"/>
    <d v="2025-06-29T00:00:00"/>
    <d v="2025-07-10T00:00:00"/>
    <d v="2025-07-11T00:00:00"/>
    <d v="2025-11-07T00:00:00"/>
    <n v="2079935.08"/>
    <m/>
    <n v="1944531.31"/>
    <n v="-6.51"/>
    <s v="Below"/>
    <s v="Nineteen Lakh Forty Four Thousand Five Hundred Thirty One Rupees and Thirty One Paise Only"/>
    <s v="Division"/>
    <m/>
    <n v="1944531.31"/>
    <s v="SHIV CONTRUCTION"/>
    <s v="ALIGBHAI LAKHUBHAI BARAL"/>
    <s v="At Bhandariya, Ta. Palitana, Dist. Bhavnagar"/>
    <n v="8780428967"/>
    <m/>
    <s v="CDP-5"/>
    <m/>
    <m/>
    <m/>
    <n v="4"/>
    <n v="98000"/>
    <d v="2027-03-11T00:00:00"/>
    <n v="4900"/>
    <n v="0"/>
    <d v="2026-01-20T00:00:00"/>
    <d v="2027-01-10T00:00:00"/>
    <n v="1126"/>
    <d v="2025-08-08T00:00:00"/>
    <s v="2025-26"/>
    <n v="98"/>
    <d v="2025-08-18T00:00:00"/>
    <s v="FDR"/>
    <s v="SAURASHTRA GRAMIN BANK"/>
    <n v="78048990934"/>
    <n v="98000"/>
    <d v="2025-08-18T00:00:00"/>
    <m/>
    <m/>
    <m/>
    <m/>
    <m/>
    <d v="2025-08-18T00:00:00"/>
    <n v="1178"/>
    <d v="2025-08-18T00:00:00"/>
    <m/>
    <m/>
    <m/>
    <m/>
  </r>
  <r>
    <n v="114"/>
    <m/>
    <s v="2025-26"/>
    <x v="7"/>
    <n v="8"/>
    <s v="Construction of Gram Panchayat office (Frame structure) at Village Nani Paniyali Ta. Palitana Dist. Bhavnagar"/>
    <m/>
    <s v="Palitana"/>
    <s v="Palitana"/>
    <s v="Building"/>
    <s v="Gram Panchayat"/>
    <n v="199552"/>
    <n v="2"/>
    <d v="2025-06-29T00:00:00"/>
    <d v="2025-07-10T00:00:00"/>
    <d v="2025-07-11T00:00:00"/>
    <d v="2025-11-07T00:00:00"/>
    <n v="2079935.08"/>
    <m/>
    <n v="1927475.84"/>
    <n v="-7.33"/>
    <s v="Below"/>
    <s v="Nineteen Lakh Twenty Seven Thousand Four Hundred Seventy Five Rupees and Eighty Four Paise Only"/>
    <s v="Division"/>
    <m/>
    <n v="1927475.84"/>
    <s v="Aarti Construction"/>
    <n v="0"/>
    <s v="Shetrunji Dam, Nani Paniyali, Palitana, Bhavnagar-364270"/>
    <n v="8140303377"/>
    <m/>
    <s v="CDP-5"/>
    <m/>
    <m/>
    <m/>
    <n v="4"/>
    <n v="97000"/>
    <d v="2027-04-24T00:00:00"/>
    <n v="4800"/>
    <n v="0"/>
    <d v="2026-03-05T00:00:00"/>
    <d v="2027-02-23T00:00:00"/>
    <n v="1127"/>
    <d v="2025-08-08T00:00:00"/>
    <s v="2025-26"/>
    <n v="161"/>
    <d v="2025-10-01T00:00:00"/>
    <s v="FDR"/>
    <s v="SAURASHTRA GRAMIN BANK"/>
    <n v="78049078234"/>
    <n v="97000"/>
    <d v="2025-08-25T00:00:00"/>
    <m/>
    <m/>
    <m/>
    <m/>
    <m/>
    <d v="2025-10-01T00:00:00"/>
    <n v="1402"/>
    <d v="2025-10-01T00:00:00"/>
    <m/>
    <m/>
    <m/>
    <m/>
  </r>
  <r>
    <n v="115"/>
    <m/>
    <s v="2025-26"/>
    <x v="7"/>
    <n v="9"/>
    <s v="Construction of Gram Panchayat office (Frame structure) at Village Hanol Ta. Palitana Dist. Bhavnagar"/>
    <m/>
    <s v="Palitana"/>
    <s v="Palitana"/>
    <s v="Building"/>
    <s v="Gram Panchayat"/>
    <n v="199554"/>
    <n v="2"/>
    <d v="2025-06-29T00:00:00"/>
    <d v="2025-07-10T00:00:00"/>
    <d v="2025-07-11T00:00:00"/>
    <d v="2025-11-07T00:00:00"/>
    <n v="2079935.08"/>
    <m/>
    <n v="2012337.19"/>
    <n v="-3.25"/>
    <s v="Below"/>
    <s v="Twenty Lakh Twelve Thousand Three Hundred Thirty Seven Rupees and Nineteen Paise Only"/>
    <s v="Division"/>
    <m/>
    <n v="2012337.19"/>
    <s v="BABUBHAI HAKABHAI GOHIL"/>
    <n v="0"/>
    <s v="Dr. Ambedkar Society, Jamvali Road, Palitana, Dist Bhavnagar"/>
    <n v="9106563480"/>
    <m/>
    <s v="CDP-5"/>
    <m/>
    <m/>
    <m/>
    <n v="4"/>
    <n v="101000"/>
    <d v="2027-05-06T00:00:00"/>
    <n v="5000"/>
    <n v="0"/>
    <d v="2026-03-17T00:00:00"/>
    <d v="2027-03-07T00:00:00"/>
    <n v="1128"/>
    <d v="2025-08-08T00:00:00"/>
    <s v="2025-26"/>
    <n v="192"/>
    <d v="2025-10-13T00:00:00"/>
    <s v="BG"/>
    <s v="Union Bank of India"/>
    <s v="58490GI3D4045925"/>
    <n v="101000"/>
    <d v="2025-10-07T00:00:00"/>
    <m/>
    <m/>
    <m/>
    <m/>
    <m/>
    <d v="2025-10-13T00:00:00"/>
    <n v="1476"/>
    <d v="2025-10-13T00:00:00"/>
    <m/>
    <m/>
    <m/>
    <m/>
  </r>
  <r>
    <n v="116"/>
    <m/>
    <s v="2025-26"/>
    <x v="7"/>
    <n v="10"/>
    <s v="Construction of Gram Panchayat office (Frame structure) at Village Nanimal Tal. Palitana Dist. Bhavnagar"/>
    <m/>
    <s v="Palitana"/>
    <s v="Palitana"/>
    <s v="Building"/>
    <s v="Gram Panchayat"/>
    <n v="199557"/>
    <n v="2"/>
    <d v="2025-06-29T00:00:00"/>
    <d v="2025-07-10T00:00:00"/>
    <d v="2025-07-11T00:00:00"/>
    <d v="2025-11-07T00:00:00"/>
    <n v="2079935.08"/>
    <m/>
    <n v="1944531.31"/>
    <n v="-6.51"/>
    <s v="Below"/>
    <s v="Nineteen Lakh Forty Four Thousand Five Hundred Thirty One Rupees and Thirty One Paise Only"/>
    <s v="Division"/>
    <m/>
    <n v="1944531.31"/>
    <s v="GOHIL NARENDRASINH P"/>
    <s v="Narendrasinh Parbatsinh Gohil"/>
    <s v="At Village Rajapara (Thadach), Ta. Palitana, Dist. Bhavnagar - 364270"/>
    <n v="9998577523"/>
    <m/>
    <s v="CDP-5"/>
    <m/>
    <m/>
    <m/>
    <n v="4"/>
    <n v="98000"/>
    <d v="2027-03-26T00:00:00"/>
    <n v="4900"/>
    <n v="0"/>
    <d v="2026-02-04T00:00:00"/>
    <d v="2027-01-25T00:00:00"/>
    <n v="1129"/>
    <d v="2025-08-08T00:00:00"/>
    <s v="2025-26"/>
    <n v="141"/>
    <d v="2025-09-02T00:00:00"/>
    <s v="FDR"/>
    <s v="SAURASHTRA GRAMIN BANK"/>
    <n v="78049041419"/>
    <n v="98000"/>
    <d v="2025-08-21T00:00:00"/>
    <m/>
    <m/>
    <m/>
    <m/>
    <m/>
    <d v="2025-09-02T00:00:00"/>
    <n v="1252"/>
    <d v="2025-09-02T00:00:00"/>
    <m/>
    <m/>
    <m/>
    <m/>
  </r>
  <r>
    <n v="117"/>
    <m/>
    <s v="2025-26"/>
    <x v="7"/>
    <n v="11"/>
    <s v="Construction of Gram Panchayat office (Frame structure) at Village Khadsaliya Tal. Mahuva Dist. Bhavnagar"/>
    <m/>
    <s v="Mahuva"/>
    <s v="Mahuva"/>
    <s v="Building"/>
    <s v="Gram Panchayat"/>
    <n v="199560"/>
    <n v="2"/>
    <d v="2025-06-29T00:00:00"/>
    <d v="2025-07-10T00:00:00"/>
    <d v="2025-07-11T00:00:00"/>
    <d v="2025-11-07T00:00:00"/>
    <n v="2079935.08"/>
    <m/>
    <n v="1989873.89"/>
    <n v="-4.33"/>
    <s v="Below"/>
    <s v="Nineteen Lakh Eighty Nine Thousand Eight Hundred Seventy Three Rupees and Eighty Nine Paise Only"/>
    <s v="Division"/>
    <m/>
    <n v="1989873.89"/>
    <s v="VANDEMATARAM CONSTRUCTION"/>
    <s v="(1) Batiya Vishalbhai Vinubhai_x000a_(2) Dhandhukiya Umeshbhai "/>
    <s v="At. Dihor, Tana Varal Road, Shak Market, Ta. Talaja, Dist. Bhavnagar-364150"/>
    <n v="9067752267"/>
    <m/>
    <s v="CDP-5"/>
    <m/>
    <m/>
    <m/>
    <n v="4"/>
    <n v="100000"/>
    <d v="2027-03-08T00:00:00"/>
    <n v="4900"/>
    <n v="0"/>
    <d v="2026-01-17T00:00:00"/>
    <d v="2027-01-07T00:00:00"/>
    <n v="1130"/>
    <d v="2025-08-08T00:00:00"/>
    <m/>
    <m/>
    <m/>
    <m/>
    <m/>
    <m/>
    <m/>
    <m/>
    <m/>
    <m/>
    <m/>
    <m/>
    <m/>
    <d v="2025-08-15T00:00:00"/>
    <m/>
    <m/>
    <m/>
    <m/>
    <m/>
    <m/>
  </r>
  <r>
    <n v="118"/>
    <m/>
    <s v="2025-26"/>
    <x v="7"/>
    <n v="1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19"/>
    <m/>
    <s v="2025-26"/>
    <x v="7"/>
    <n v="13"/>
    <s v="Construction of Gram Panchayat office (Frame structure) at Village Lusadi Tal. Mahuva Dist. Bhavnagar"/>
    <m/>
    <s v="Mahuva"/>
    <s v="Mahuva"/>
    <s v="Building"/>
    <s v="Gram Panchayat"/>
    <n v="199563"/>
    <n v="2"/>
    <d v="2025-06-29T00:00:00"/>
    <d v="2025-07-10T00:00:00"/>
    <d v="2025-07-11T00:00:00"/>
    <d v="2025-11-07T00:00:00"/>
    <n v="2079935.08"/>
    <m/>
    <n v="1817863.26"/>
    <n v="-12.6"/>
    <s v="Below"/>
    <s v="Eighteen Lakh Seventeen Thousand Eight Hundred Sixty Three Rupees and Twenty Six Paise Only"/>
    <s v="Division"/>
    <m/>
    <n v="1817863.26"/>
    <s v="BALAJI CONSTRUCTION"/>
    <s v="Siddharth Parbatbhai Bed"/>
    <s v="At Hemal, Ta. Jafarabad, Dist. Amreli - 365545"/>
    <n v="9586762457"/>
    <m/>
    <s v="CDP-5"/>
    <m/>
    <m/>
    <m/>
    <n v="4"/>
    <n v="91000"/>
    <d v="2027-04-03T00:00:00"/>
    <n v="5000"/>
    <n v="11000"/>
    <d v="2026-02-12T00:00:00"/>
    <d v="2027-02-02T00:00:00"/>
    <n v="1132"/>
    <d v="2025-08-08T00:00:00"/>
    <s v="2025-26"/>
    <n v="143"/>
    <d v="2025-09-10T00:00:00"/>
    <s v="FDR"/>
    <s v="SAURASHTRA GRAMIN BANK"/>
    <n v="78049184786"/>
    <n v="91000"/>
    <d v="2025-09-03T00:00:00"/>
    <s v="FDR"/>
    <s v="SAURASHTRA GRAMIN BANK"/>
    <n v="78049184797"/>
    <n v="11000"/>
    <d v="2025-09-03T00:00:00"/>
    <d v="2025-09-10T00:00:00"/>
    <n v="1286"/>
    <d v="2025-09-10T00:00:00"/>
    <m/>
    <m/>
    <m/>
    <m/>
  </r>
  <r>
    <n v="120"/>
    <m/>
    <s v="2025-26"/>
    <x v="7"/>
    <n v="14"/>
    <s v="Construction of Gram Panchayat office (Frame structure) at Village Loyanga Tal. Mahuva Dist. Bhavnagar"/>
    <m/>
    <s v="Mahuva"/>
    <s v="Mahuva"/>
    <s v="Building"/>
    <s v="Gram Panchayat"/>
    <n v="199565"/>
    <n v="2"/>
    <d v="2025-06-29T00:00:00"/>
    <d v="2025-07-10T00:00:00"/>
    <d v="2025-07-11T00:00:00"/>
    <d v="2025-11-07T00:00:00"/>
    <n v="2079935.08"/>
    <m/>
    <n v="1916036.2"/>
    <n v="-7.88"/>
    <s v="Below"/>
    <s v="Nineteen Lakh Sixteen Thousand Thirty Six Rupees and Two Paise Only"/>
    <s v="Division"/>
    <m/>
    <n v="1916036.2"/>
    <s v="SARVAIYA RAJENDRASINH BAHADURSINH"/>
    <n v="0"/>
    <s v="At Bordi, Post - Borda, Ta. Talaja, Dist. Bhavnagar - 364130"/>
    <n v="0"/>
    <m/>
    <s v="CDP-5"/>
    <m/>
    <m/>
    <m/>
    <n v="4"/>
    <n v="96000"/>
    <d v="2027-03-26T00:00:00"/>
    <n v="4800"/>
    <n v="0"/>
    <d v="2026-02-04T00:00:00"/>
    <d v="2027-01-25T00:00:00"/>
    <n v="1121"/>
    <d v="2025-08-08T00:00:00"/>
    <s v="2025-26"/>
    <n v="139"/>
    <d v="2025-09-02T00:00:00"/>
    <s v="FDR"/>
    <s v="Central Bank of India"/>
    <n v="5856182489"/>
    <n v="96000"/>
    <d v="2025-08-18T00:00:00"/>
    <m/>
    <m/>
    <m/>
    <m/>
    <m/>
    <d v="2025-09-02T00:00:00"/>
    <n v="1250"/>
    <d v="2025-09-02T00:00:00"/>
    <m/>
    <m/>
    <m/>
    <m/>
  </r>
  <r>
    <n v="121"/>
    <m/>
    <s v="2025-26"/>
    <x v="7"/>
    <n v="1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22"/>
    <m/>
    <s v="2025-26"/>
    <x v="7"/>
    <n v="16"/>
    <s v="Construction of Gram Panchayat office (Frame structure) at Village Bhaguda-Mahuva Dist. Bhavnagar"/>
    <m/>
    <s v="Mahuva"/>
    <s v="Mahuva"/>
    <s v="Building"/>
    <s v="Gram Panchayat"/>
    <n v="199570"/>
    <n v="2"/>
    <d v="2025-06-29T00:00:00"/>
    <d v="2025-07-10T00:00:00"/>
    <d v="2025-07-11T00:00:00"/>
    <d v="2025-11-07T00:00:00"/>
    <n v="2079935.08"/>
    <m/>
    <n v="1896900.79"/>
    <n v="-8.8000000000000007"/>
    <s v="Below"/>
    <s v="Eighteen Lakh Ninety Six Thousand Nine Hundred Rupees and Seventy Nine Paise Only"/>
    <s v="Division"/>
    <m/>
    <n v="1896900.79"/>
    <s v="CUBE INFA PROJECTS"/>
    <s v="KISHANKUMAR PATABHAI KALSARIYA"/>
    <s v="Survey No. 374 P/A 2-16, Office No. 2, Left side of Entry Gate of Balkrushna Campus, Gir Gadhada Road, At. Una, Taluka Una, Dist. Gir Somnath - 362560"/>
    <n v="9824251035"/>
    <m/>
    <s v="CDP-5"/>
    <m/>
    <m/>
    <m/>
    <n v="4"/>
    <n v="95000"/>
    <d v="2027-03-23T00:00:00"/>
    <n v="4700"/>
    <n v="0"/>
    <d v="2026-02-01T00:00:00"/>
    <d v="2027-01-22T00:00:00"/>
    <n v="1122"/>
    <d v="2025-08-08T00:00:00"/>
    <s v="2025-26"/>
    <n v="122"/>
    <d v="2025-08-30T00:00:00"/>
    <s v="FDR"/>
    <s v="ICICI BANK"/>
    <s v="771613001589"/>
    <n v="95000"/>
    <d v="2025-08-20T00:00:00"/>
    <m/>
    <m/>
    <m/>
    <m/>
    <m/>
    <d v="2025-08-30T00:00:00"/>
    <n v="1227"/>
    <d v="2025-08-30T00:00:00"/>
    <m/>
    <m/>
    <m/>
    <m/>
  </r>
  <r>
    <n v="123"/>
    <m/>
    <s v="2025-26"/>
    <x v="7"/>
    <n v="17"/>
    <s v="Construction of Gram Panchayat office (Frame structure) at Village Kalela Ta. Mahuva Dist. Bhavnagar"/>
    <m/>
    <s v="Mahuva"/>
    <s v="Mahuva"/>
    <s v="Building"/>
    <s v="Gram Panchayat"/>
    <n v="199573"/>
    <n v="2"/>
    <d v="2025-06-29T00:00:00"/>
    <d v="2025-07-10T00:00:00"/>
    <d v="2025-07-11T00:00:00"/>
    <d v="2025-11-07T00:00:00"/>
    <n v="2079935.08"/>
    <m/>
    <n v="2077855.14"/>
    <n v="-0.1"/>
    <s v="Below"/>
    <s v="Twenty Lakh Seventy Seven Thousand Eight Hundred Fifty Five Rupees and Fourteen Paise Only"/>
    <s v="Division"/>
    <m/>
    <n v="2077855.14"/>
    <s v="S D KHUMAN"/>
    <s v="Khuman Shivrajbhai Dilubhai"/>
    <s v="52, Lion Shopping Center, Near Kohinoor Hotel, Jafarabad Road, Rajula, Dist. Amreli - 365560"/>
    <n v="9909950650"/>
    <m/>
    <s v="CDP-5"/>
    <m/>
    <m/>
    <m/>
    <n v="4"/>
    <n v="104000"/>
    <d v="2027-03-23T00:00:00"/>
    <n v="5100"/>
    <n v="0"/>
    <d v="2026-02-01T00:00:00"/>
    <d v="2027-01-22T00:00:00"/>
    <n v="1133"/>
    <d v="2025-08-08T00:00:00"/>
    <s v="2025-26"/>
    <n v="120"/>
    <d v="2025-08-30T00:00:00"/>
    <s v="FDR"/>
    <s v="HDFC Bank"/>
    <s v="50301205687021"/>
    <n v="104000"/>
    <d v="2025-08-23T00:00:00"/>
    <m/>
    <m/>
    <m/>
    <m/>
    <m/>
    <d v="2025-08-30T00:00:00"/>
    <n v="1225"/>
    <d v="2025-08-30T00:00:00"/>
    <m/>
    <m/>
    <m/>
    <m/>
  </r>
  <r>
    <n v="124"/>
    <m/>
    <s v="2025-26"/>
    <x v="7"/>
    <n v="18"/>
    <s v="Construction of Gram Panchayat office (Frame structure) at Village Bila Tal. Jesar Dist. Bhavnagar"/>
    <m/>
    <s v="Jesar"/>
    <s v="Mahuva"/>
    <s v="Building"/>
    <s v="Gram Panchayat"/>
    <n v="199575"/>
    <n v="2"/>
    <d v="2025-06-29T00:00:00"/>
    <d v="2025-07-10T00:00:00"/>
    <d v="2025-07-11T00:00:00"/>
    <d v="2025-11-07T00:00:00"/>
    <n v="2027056.59"/>
    <m/>
    <n v="2016718.6"/>
    <n v="-0.51"/>
    <s v="Below"/>
    <s v="Twenty Lakh Sixteen Thousand Seven Hundred Eighteen Rupees and Six Paise Only"/>
    <s v="Division"/>
    <m/>
    <n v="2016718.6"/>
    <s v="UDAYBHAI R. LUNSAR"/>
    <s v="UDAYBHAI RAMKUBHAI LUNSAR"/>
    <s v="Shop No. 5, First Floor, Nilkanth Arcade, Opp. Arjun Tokiz, Palitana Road, Gariyadhar- 364505"/>
    <n v="9824226646"/>
    <m/>
    <s v="CDP-5"/>
    <m/>
    <m/>
    <m/>
    <n v="4"/>
    <n v="101000"/>
    <d v="2027-04-04T00:00:00"/>
    <n v="5000"/>
    <n v="0"/>
    <d v="2026-02-13T00:00:00"/>
    <d v="2027-02-03T00:00:00"/>
    <n v="1134"/>
    <d v="2025-08-08T00:00:00"/>
    <s v="2025-26"/>
    <n v="157"/>
    <d v="2025-09-11T00:00:00"/>
    <s v="FDR"/>
    <s v="State Bank of India"/>
    <n v="44407033356"/>
    <n v="101000"/>
    <d v="2025-08-30T00:00:00"/>
    <m/>
    <m/>
    <m/>
    <m/>
    <m/>
    <d v="2025-09-11T00:00:00"/>
    <n v="1302"/>
    <d v="2025-09-11T00:00:00"/>
    <m/>
    <m/>
    <m/>
    <m/>
  </r>
  <r>
    <n v="125"/>
    <m/>
    <s v="2025-26"/>
    <x v="7"/>
    <n v="19"/>
    <s v="Construction of Gram Panchayat office (Frame structure) at Village Padhiyarka Tal. Mahuva Dist. Bhavnagar"/>
    <m/>
    <s v="Mahuva"/>
    <s v="Mahuva"/>
    <s v="Building"/>
    <s v="Gram Panchayat"/>
    <n v="199577"/>
    <n v="2"/>
    <d v="2025-06-29T00:00:00"/>
    <d v="2025-07-10T00:00:00"/>
    <d v="2025-07-11T00:00:00"/>
    <d v="2025-11-07T00:00:00"/>
    <n v="2027056.59"/>
    <m/>
    <n v="1864689.36"/>
    <n v="-8.01"/>
    <s v="Below"/>
    <s v="Eighteen Lakh Sixty Four Thousand Six Hundred Eighty Nine Rupees and Thirty Six Paise Only"/>
    <s v="Division"/>
    <m/>
    <n v="1864689.36"/>
    <s v="HARBHOLE BUILDERS &amp;_x000a_CONSTRUCTION"/>
    <n v="0"/>
    <s v="Near Gayatri Temple, Veraval Road, Una, Dist. Gir Somnath - 362560"/>
    <n v="7698616111"/>
    <m/>
    <s v="CDP-5"/>
    <m/>
    <m/>
    <m/>
    <n v="4"/>
    <n v="94000"/>
    <d v="2027-04-24T00:00:00"/>
    <n v="4700"/>
    <n v="0"/>
    <d v="2026-03-05T00:00:00"/>
    <d v="2027-02-23T00:00:00"/>
    <n v="1131"/>
    <d v="2025-08-08T00:00:00"/>
    <s v="2025-26"/>
    <n v="162"/>
    <d v="2025-10-01T00:00:00"/>
    <s v="FDR"/>
    <s v="State Bank of India"/>
    <n v="44426507577"/>
    <n v="94000"/>
    <d v="2025-09-01T00:00:00"/>
    <m/>
    <m/>
    <m/>
    <m/>
    <m/>
    <d v="2025-10-01T00:00:00"/>
    <n v="1403"/>
    <d v="2025-10-01T00:00:00"/>
    <m/>
    <m/>
    <m/>
    <m/>
  </r>
  <r>
    <n v="126"/>
    <m/>
    <s v="2025-26"/>
    <x v="7"/>
    <n v="20"/>
    <s v="Construction of Gram Panchayat office (Frame structure) at Village Bhadara Tal. Mahuva Dist. Bhavnagar"/>
    <m/>
    <s v="Mahuva"/>
    <s v="Mahuva"/>
    <s v="Building"/>
    <s v="Gram Panchayat"/>
    <n v="199578"/>
    <n v="2"/>
    <d v="2025-06-29T00:00:00"/>
    <d v="2025-07-10T00:00:00"/>
    <d v="2025-07-11T00:00:00"/>
    <d v="2025-11-07T00:00:00"/>
    <n v="2027056.59"/>
    <m/>
    <n v="1972326.06"/>
    <n v="-2.7"/>
    <s v="Below"/>
    <s v="Nineteen Lakh Seventy Two Thousand Three Hundred Twenty Six Rupees and Six Paise Only"/>
    <s v="Division"/>
    <m/>
    <n v="1972326.06"/>
    <s v="MAYANKKUMAR JAYANTIBHAI GODHANI"/>
    <n v="0"/>
    <s v="314, Rise On Plaza, Sarthana Jakatnaka, Surat - 395006"/>
    <n v="9099381567"/>
    <m/>
    <m/>
    <m/>
    <m/>
    <m/>
    <n v="4"/>
    <n v="99000"/>
    <d v="2027-03-08T00:00:00"/>
    <n v="4900"/>
    <n v="0"/>
    <d v="2026-01-17T00:00:00"/>
    <d v="2027-01-07T00:00:00"/>
    <n v="1135"/>
    <d v="2025-08-08T00:00:00"/>
    <m/>
    <m/>
    <m/>
    <m/>
    <m/>
    <m/>
    <m/>
    <m/>
    <m/>
    <m/>
    <m/>
    <m/>
    <m/>
    <d v="2025-08-15T00:00:00"/>
    <m/>
    <m/>
    <m/>
    <m/>
    <m/>
    <m/>
  </r>
  <r>
    <n v="127"/>
    <m/>
    <s v="2025-26"/>
    <x v="7"/>
    <n v="2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28"/>
    <m/>
    <s v="2025-26"/>
    <x v="7"/>
    <n v="22"/>
    <s v="Construction of Gram Panchayat office (Frame structure) at Village Madhuvan Tal. Talaja Dist. Bhavnagar"/>
    <m/>
    <s v="Talaja"/>
    <s v="Talaja"/>
    <s v="Building"/>
    <s v="Gram Panchayat"/>
    <n v="199581"/>
    <n v="2"/>
    <d v="2025-06-29T00:00:00"/>
    <d v="2025-07-10T00:00:00"/>
    <d v="2025-07-11T00:00:00"/>
    <d v="2025-11-07T00:00:00"/>
    <n v="2027056.59"/>
    <m/>
    <n v="1970704.42"/>
    <n v="-2.78"/>
    <s v="Below"/>
    <s v="Nineteen Lakh Seventy Thousand Seven Hundred Four Rupees and Forty Two Paise Only"/>
    <s v="Division"/>
    <m/>
    <n v="1970704.42"/>
    <s v="SURYADEEP SUPPLIERS"/>
    <s v="Pratapbhai Lakhubhai Beparia"/>
    <s v="At Lothpur, Ta. Jafarabad, Dist. Amreli - 365540"/>
    <n v="9727987777"/>
    <m/>
    <s v="CDP-5"/>
    <m/>
    <m/>
    <m/>
    <n v="4"/>
    <n v="99000"/>
    <d v="2027-04-04T00:00:00"/>
    <n v="4900"/>
    <n v="0"/>
    <d v="2026-02-13T00:00:00"/>
    <d v="2027-02-03T00:00:00"/>
    <n v="1136"/>
    <d v="2025-08-08T00:00:00"/>
    <s v="2025-26"/>
    <n v="150"/>
    <d v="2025-09-11T00:00:00"/>
    <s v="FDR"/>
    <s v="ICICI BANK"/>
    <s v="162313004875"/>
    <n v="99000"/>
    <d v="2025-08-20T00:00:00"/>
    <m/>
    <m/>
    <m/>
    <m/>
    <m/>
    <d v="2025-09-11T00:00:00"/>
    <n v="1295"/>
    <d v="2025-09-11T00:00:00"/>
    <m/>
    <m/>
    <m/>
    <m/>
  </r>
  <r>
    <n v="129"/>
    <m/>
    <s v="2025-26"/>
    <x v="7"/>
    <n v="23"/>
    <s v="Construction of Gram Panchayat office ( for Population from 5000- 10000) at Village Khadsaliya Tal. Bhavnagar Dist. Bhavnagar"/>
    <m/>
    <s v="Bhavnagar"/>
    <s v="Bhavnagar"/>
    <s v="Building"/>
    <s v="Gram Panchayat"/>
    <n v="199582"/>
    <n v="2"/>
    <d v="2025-06-29T00:00:00"/>
    <d v="2025-07-10T00:00:00"/>
    <d v="2025-07-11T00:00:00"/>
    <d v="2025-11-07T00:00:00"/>
    <n v="2654980.89"/>
    <m/>
    <n v="2468866.73"/>
    <n v="-7.01"/>
    <s v="Below"/>
    <s v="Twenty Four Lakh Sixty Eight Thousand Eight Hundred Sixty Six Rupees and Seventy Three Paise Only"/>
    <s v="Division"/>
    <m/>
    <n v="2468866.73"/>
    <s v="PARTH K MEHTA"/>
    <s v="PARTH Kiritkumar MEHTA"/>
    <s v="Plot No. 1578/I, New Champa Tenament, Divadi Road, Rupani Circle, Bhavnagar - 364002"/>
    <n v="7990934709"/>
    <m/>
    <m/>
    <m/>
    <m/>
    <m/>
    <n v="4"/>
    <n v="124000"/>
    <d v="2027-03-08T00:00:00"/>
    <n v="6100"/>
    <n v="0"/>
    <d v="2026-01-17T00:00:00"/>
    <d v="2027-01-07T00:00:00"/>
    <n v="1137"/>
    <d v="2025-08-08T00:00:00"/>
    <m/>
    <m/>
    <m/>
    <m/>
    <m/>
    <m/>
    <m/>
    <m/>
    <m/>
    <m/>
    <m/>
    <m/>
    <m/>
    <d v="2025-08-15T00:00:00"/>
    <m/>
    <m/>
    <m/>
    <m/>
    <m/>
    <m/>
  </r>
  <r>
    <n v="130"/>
    <m/>
    <s v="2025-26"/>
    <x v="7"/>
    <n v="24"/>
    <s v="Construction of Gram Panchayat office ( for Population from 5000- 10000) at Village Hathab Tal. Bhavangar Dist. Bhavnagar"/>
    <m/>
    <s v="Bhavangar"/>
    <e v="#N/A"/>
    <s v="Building"/>
    <s v="Gram Panchayat"/>
    <n v="199583"/>
    <n v="2"/>
    <d v="2025-06-29T00:00:00"/>
    <d v="2025-07-10T00:00:00"/>
    <d v="2025-07-11T00:00:00"/>
    <d v="2025-11-07T00:00:00"/>
    <n v="2654980.89"/>
    <m/>
    <n v="2468866.73"/>
    <n v="-7.01"/>
    <s v="Below"/>
    <s v="Twenty Four Lakh Sixty Eight Thousand Eight Hundred Sixty Six Rupees and Seventy Three Paise Only"/>
    <s v="Division"/>
    <m/>
    <n v="2468866.73"/>
    <s v="PARTH K MEHTA"/>
    <s v="PARTH Kiritkumar MEHTA"/>
    <s v="Plot No. 1578/I, New Champa Tenament, Divadi Road, Rupani Circle, Bhavnagar - 364002"/>
    <n v="7990934709"/>
    <m/>
    <m/>
    <m/>
    <m/>
    <m/>
    <n v="4"/>
    <n v="124000"/>
    <d v="2027-03-08T00:00:00"/>
    <n v="6100"/>
    <n v="0"/>
    <d v="2026-01-17T00:00:00"/>
    <d v="2027-01-07T00:00:00"/>
    <n v="1144"/>
    <d v="2025-08-08T00:00:00"/>
    <m/>
    <m/>
    <m/>
    <m/>
    <m/>
    <m/>
    <m/>
    <m/>
    <m/>
    <m/>
    <m/>
    <m/>
    <m/>
    <d v="2025-08-15T00:00:00"/>
    <m/>
    <m/>
    <m/>
    <m/>
    <m/>
    <m/>
  </r>
  <r>
    <n v="131"/>
    <m/>
    <s v="2025-26"/>
    <x v="7"/>
    <n v="2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2"/>
    <m/>
    <s v="2025-26"/>
    <x v="7"/>
    <n v="26"/>
    <s v="Construction of Gram Panchayat office (Frame structure) at Village Velavadar Taluka: Bhavnagar Dist. Bhavnagar"/>
    <m/>
    <s v="Bhavnagar"/>
    <s v="Bhavnagar"/>
    <s v="Building"/>
    <s v="Gram Panchayat"/>
    <n v="199613"/>
    <m/>
    <d v="2025-06-29T00:00:00"/>
    <d v="2025-07-10T00:00:00"/>
    <d v="2025-07-11T00:00:00"/>
    <d v="2025-11-07T00:00:00"/>
    <n v="2079935.08"/>
    <m/>
    <n v="1897940.76"/>
    <n v="-8.75"/>
    <s v="Below"/>
    <s v="Eighteen Lakh Ninety Seven Thousand Nine Hundred Forty Rupees and Seventy Six Paise Only"/>
    <s v="Division"/>
    <m/>
    <n v="1897940.76"/>
    <s v="MOGAL CONSTRUCTION, Gir Somnath"/>
    <s v="Paresh Lakhabhai Jora"/>
    <s v="At Umba, Taluka - Veraval, Dist. Gir Somnath - 362255"/>
    <n v="9712641067"/>
    <m/>
    <m/>
    <m/>
    <m/>
    <m/>
    <n v="4"/>
    <n v="95000"/>
    <d v="2027-03-08T00:00:00"/>
    <n v="4700"/>
    <n v="0"/>
    <d v="2026-01-17T00:00:00"/>
    <d v="2027-01-07T00:00:00"/>
    <n v="1141"/>
    <d v="2025-08-08T00:00:00"/>
    <m/>
    <m/>
    <m/>
    <m/>
    <m/>
    <m/>
    <m/>
    <m/>
    <m/>
    <m/>
    <m/>
    <m/>
    <m/>
    <d v="2025-08-15T00:00:00"/>
    <m/>
    <m/>
    <m/>
    <m/>
    <m/>
    <m/>
  </r>
  <r>
    <n v="133"/>
    <m/>
    <s v="2025-26"/>
    <x v="7"/>
    <n v="27"/>
    <s v="Construction of Gram Panchayat office (Frame structure) at Village Bhadbhid Taluka: Bhavnagar Dist. Bhavnagar"/>
    <m/>
    <s v="Bhavnagar"/>
    <s v="Bhavnagar"/>
    <s v="Building"/>
    <s v="Gram Panchayat"/>
    <n v="199614"/>
    <m/>
    <d v="2025-06-29T00:00:00"/>
    <d v="2025-07-10T00:00:00"/>
    <d v="2025-07-11T00:00:00"/>
    <d v="2025-11-07T00:00:00"/>
    <n v="2079935.08"/>
    <m/>
    <n v="1973234.41"/>
    <n v="-5.13"/>
    <s v="Below"/>
    <s v="Nineteen Lakh Seventy Three Thousand Two Hundred Thirty Four Rupees and Forty One Paise Only"/>
    <s v="Division"/>
    <m/>
    <n v="1973234.41"/>
    <s v="RUDRA CONSTRUCTION"/>
    <s v="(1) Harshad Kalubhai Dungrani_x000a_(2) Lalita Harshad Dungrani"/>
    <s v="G 402, Abhilasha Sky, Gopal Chowk, Nikol, Ahmedabad - 382350"/>
    <n v="9727220227"/>
    <m/>
    <s v="CDP-5"/>
    <m/>
    <m/>
    <m/>
    <n v="4"/>
    <n v="99000"/>
    <d v="2027-04-03T00:00:00"/>
    <n v="4900"/>
    <n v="0"/>
    <d v="2026-02-12T00:00:00"/>
    <d v="2027-02-02T00:00:00"/>
    <n v="1145"/>
    <d v="2025-08-08T00:00:00"/>
    <s v="2025-26"/>
    <n v="145"/>
    <d v="2025-09-10T00:00:00"/>
    <s v="FDR"/>
    <s v="The Kalupur Commercial Co-Op. Bank Ltd."/>
    <s v="2895400010464"/>
    <n v="99000"/>
    <d v="2025-08-20T00:00:00"/>
    <m/>
    <m/>
    <m/>
    <m/>
    <m/>
    <d v="2025-09-10T00:00:00"/>
    <n v="1289"/>
    <d v="2025-09-10T00:00:00"/>
    <m/>
    <m/>
    <m/>
    <m/>
  </r>
  <r>
    <n v="134"/>
    <m/>
    <s v="2025-26"/>
    <x v="7"/>
    <n v="28"/>
    <s v="Construction of Gram Panchayat office (Frame structure) at Village Ganeshgadh Taluka: Bhavnagar Dist. Bhavnagar"/>
    <m/>
    <s v="Bhavnagar"/>
    <s v="Bhavnagar"/>
    <s v="Building"/>
    <s v="Gram Panchayat"/>
    <n v="199616"/>
    <m/>
    <d v="2025-06-29T00:00:00"/>
    <d v="2025-07-10T00:00:00"/>
    <d v="2025-07-11T00:00:00"/>
    <d v="2025-11-07T00:00:00"/>
    <n v="2079935.08"/>
    <m/>
    <n v="1972402.44"/>
    <n v="-5.17"/>
    <s v="Below"/>
    <s v="Nineteen Lakh Seventy Two Thousand Four Hundred Two Rupees and Forty Four Paise Only"/>
    <s v="Division"/>
    <m/>
    <n v="1972402.44"/>
    <s v="RUDRA CONSTRUCTION"/>
    <s v="(1) Harshad Kalubhai Dungrani_x000a_(2) Lalita Harshad Dungrani"/>
    <s v="G 402, Abhilasha Sky, Gopal Chowk, Nikol, Ahmedabad - 382350"/>
    <n v="9727220227"/>
    <m/>
    <s v="CDP-5"/>
    <m/>
    <m/>
    <m/>
    <n v="4"/>
    <n v="99000"/>
    <d v="2027-04-03T00:00:00"/>
    <n v="4900"/>
    <n v="0"/>
    <d v="2026-02-12T00:00:00"/>
    <d v="2027-02-02T00:00:00"/>
    <n v="1143"/>
    <d v="2025-08-08T00:00:00"/>
    <s v="2025-26"/>
    <n v="146"/>
    <d v="2025-09-10T00:00:00"/>
    <s v="FDR"/>
    <s v="The Kalupur Commercial Co-Op. Bank Ltd."/>
    <s v="2895400010465"/>
    <n v="99000"/>
    <d v="2025-08-20T00:00:00"/>
    <m/>
    <m/>
    <m/>
    <m/>
    <m/>
    <d v="2025-09-10T00:00:00"/>
    <n v="1290"/>
    <d v="2025-09-10T00:00:00"/>
    <m/>
    <m/>
    <m/>
    <m/>
  </r>
  <r>
    <n v="135"/>
    <m/>
    <s v="2025-26"/>
    <x v="7"/>
    <n v="29"/>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6"/>
    <m/>
    <s v="2025-26"/>
    <x v="7"/>
    <n v="3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7"/>
    <m/>
    <s v="2025-26"/>
    <x v="7"/>
    <n v="3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8"/>
    <m/>
    <s v="2025-26"/>
    <x v="7"/>
    <n v="3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9"/>
    <m/>
    <s v="2025-26"/>
    <x v="7"/>
    <n v="33"/>
    <s v="Construction of Gram Panchayat office (Frame structure) at Village Manvilas Taluka: Gariyadhar Dist. Bhavnagar"/>
    <m/>
    <s v="Gariyadhar"/>
    <s v="Palitana"/>
    <s v="Building"/>
    <s v="Gram Panchayat"/>
    <n v="199628"/>
    <m/>
    <d v="2025-06-29T00:00:00"/>
    <d v="2025-07-10T00:00:00"/>
    <d v="2025-07-11T00:00:00"/>
    <d v="2025-11-07T00:00:00"/>
    <n v="2079935.08"/>
    <m/>
    <n v="1944531.31"/>
    <n v="-6.51"/>
    <s v="Below"/>
    <s v="Nineteen Lakh Forty Four Thousand Five Hundred Thirty One Rupees and Thirty One Paise Only"/>
    <s v="Division"/>
    <m/>
    <n v="1944531.31"/>
    <s v="SANDIP DINESHBHAI VANZARA"/>
    <s v="SANDIP DINESHBHAI VANZARA"/>
    <s v="Opp. HP PUMP, Palitana Road, Gariyadhar"/>
    <n v="8866209297"/>
    <m/>
    <m/>
    <m/>
    <m/>
    <m/>
    <n v="4"/>
    <n v="98000"/>
    <d v="2027-03-08T00:00:00"/>
    <n v="4900"/>
    <n v="0"/>
    <d v="2026-01-17T00:00:00"/>
    <d v="2027-01-07T00:00:00"/>
    <n v="1138"/>
    <d v="2025-08-08T00:00:00"/>
    <m/>
    <m/>
    <m/>
    <m/>
    <m/>
    <m/>
    <m/>
    <m/>
    <m/>
    <m/>
    <m/>
    <m/>
    <m/>
    <d v="2025-08-15T00:00:00"/>
    <m/>
    <m/>
    <m/>
    <m/>
    <m/>
    <m/>
  </r>
  <r>
    <n v="140"/>
    <m/>
    <s v="2025-26"/>
    <x v="7"/>
    <n v="34"/>
    <s v="Construction of Gram Panchayat office (Frame structure) at Village Panchtobara Taluka: Gariyadhar Dist. Bhavnagar"/>
    <m/>
    <s v="Gariyadhar"/>
    <s v="Palitana"/>
    <s v="Building"/>
    <s v="Gram Panchayat"/>
    <n v="199630"/>
    <m/>
    <d v="2025-06-29T00:00:00"/>
    <d v="2025-07-10T00:00:00"/>
    <d v="2025-07-11T00:00:00"/>
    <d v="2025-11-07T00:00:00"/>
    <n v="2079935.08"/>
    <m/>
    <n v="1909172.41"/>
    <n v="-8.2100000000000009"/>
    <s v="Below"/>
    <s v="Nineteen Lakh Nine Thousand One Hundred Seventy Two Rupees and Forty One Paise Only"/>
    <s v="Division"/>
    <m/>
    <n v="1909172.41"/>
    <s v="SANDIP DINESHBHAI VANZARA"/>
    <s v="SANDIP DINESHBHAI VANZARA"/>
    <s v="Opp. HP PUMP, Palitana Road, Gariyadhar"/>
    <n v="8866209297"/>
    <m/>
    <m/>
    <m/>
    <m/>
    <m/>
    <n v="4"/>
    <n v="96000"/>
    <d v="2027-03-08T00:00:00"/>
    <n v="4800"/>
    <n v="0"/>
    <d v="2026-01-17T00:00:00"/>
    <d v="2027-01-07T00:00:00"/>
    <n v="1139"/>
    <d v="2025-08-08T00:00:00"/>
    <m/>
    <m/>
    <m/>
    <m/>
    <m/>
    <m/>
    <m/>
    <m/>
    <m/>
    <m/>
    <m/>
    <m/>
    <m/>
    <d v="2025-08-15T00:00:00"/>
    <m/>
    <m/>
    <m/>
    <m/>
    <m/>
    <m/>
  </r>
  <r>
    <n v="141"/>
    <m/>
    <s v="2025-26"/>
    <x v="7"/>
    <n v="3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2"/>
    <m/>
    <s v="2025-26"/>
    <x v="7"/>
    <n v="36"/>
    <s v="Construction of Gram Panchayat office (Frame structure) at Village Mangadh Taluka:Gariyadhar Dist. Bhavnagar"/>
    <m/>
    <s v="Gariyadhar"/>
    <s v="Palitana"/>
    <s v="Building"/>
    <s v="Gram Panchayat"/>
    <n v="199632"/>
    <m/>
    <d v="2025-06-29T00:00:00"/>
    <d v="2025-07-10T00:00:00"/>
    <d v="2025-07-11T00:00:00"/>
    <d v="2025-11-07T00:00:00"/>
    <n v="2079935.08"/>
    <m/>
    <n v="1872149.57"/>
    <n v="-9.99"/>
    <s v="Below"/>
    <s v="Eighteen Lakh Seventy Two Thousand One Hundred Forty Nine Rupees and Fifty Seven Paise Only"/>
    <s v="Division"/>
    <m/>
    <n v="1872149.57"/>
    <s v="JAY DANEV CONSTRUCTION"/>
    <s v="Kanubhai Nagbhai Sandsur"/>
    <s v="Shop No. 6, Nilkanth Shopping, Opp. S.T. Workshop, Gariyadhar, Dist. Bhavnagar - 364505"/>
    <n v="9574555050"/>
    <m/>
    <m/>
    <m/>
    <m/>
    <m/>
    <n v="4"/>
    <n v="94000"/>
    <d v="2027-03-22T00:00:00"/>
    <n v="4700"/>
    <n v="0"/>
    <d v="2026-01-31T00:00:00"/>
    <d v="2027-01-21T00:00:00"/>
    <n v="1142"/>
    <d v="2025-08-08T00:00:00"/>
    <s v="2025-26"/>
    <n v="118"/>
    <d v="2025-08-29T00:00:00"/>
    <s v="FDR"/>
    <s v="State Bank of India"/>
    <n v="44406538780"/>
    <n v="94000"/>
    <d v="2025-08-26T00:00:00"/>
    <m/>
    <m/>
    <m/>
    <m/>
    <m/>
    <d v="2025-08-29T00:00:00"/>
    <n v="1221"/>
    <d v="2025-08-29T00:00:00"/>
    <m/>
    <m/>
    <m/>
    <m/>
  </r>
  <r>
    <n v="143"/>
    <m/>
    <s v="2025-26"/>
    <x v="7"/>
    <n v="37"/>
    <s v="Construction of Gram Panchayat office (Frame structure) at Village Gujarada Taluka: Gariyadhar Dist. Bhavnagar"/>
    <m/>
    <s v="Gariyadhar"/>
    <s v="Palitana"/>
    <s v="Building"/>
    <s v="Gram Panchayat"/>
    <n v="199634"/>
    <m/>
    <d v="2025-06-29T00:00:00"/>
    <d v="2025-07-10T00:00:00"/>
    <d v="2025-07-11T00:00:00"/>
    <d v="2025-11-07T00:00:00"/>
    <n v="2079935.08"/>
    <m/>
    <n v="1909172.41"/>
    <n v="-8.2100000000000009"/>
    <s v="Below"/>
    <s v="Nineteen Lakh Nine Thousand One Hundred Seventy Two Rupees and Forty One Paise Only"/>
    <s v="Division"/>
    <m/>
    <n v="1909172.41"/>
    <s v="SANDIP DINESHBHAI VANZARA"/>
    <s v="SANDIP DINESHBHAI VANZARA"/>
    <s v="Opp. HP PUMP, Palitana Road, Gariyadhar"/>
    <n v="8866209297"/>
    <m/>
    <m/>
    <m/>
    <m/>
    <m/>
    <n v="4"/>
    <n v="96000"/>
    <d v="2027-03-08T00:00:00"/>
    <n v="4800"/>
    <n v="0"/>
    <d v="2026-01-17T00:00:00"/>
    <d v="2027-01-07T00:00:00"/>
    <n v="1140"/>
    <d v="2025-08-08T00:00:00"/>
    <m/>
    <m/>
    <m/>
    <m/>
    <m/>
    <m/>
    <m/>
    <m/>
    <m/>
    <m/>
    <m/>
    <m/>
    <m/>
    <d v="2025-08-15T00:00:00"/>
    <m/>
    <m/>
    <m/>
    <m/>
    <m/>
    <m/>
  </r>
  <r>
    <n v="144"/>
    <m/>
    <s v="2025-26"/>
    <x v="7"/>
    <n v="38"/>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5"/>
    <m/>
    <s v="2025-26"/>
    <x v="7"/>
    <n v="39"/>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6"/>
    <m/>
    <s v="2025-26"/>
    <x v="7"/>
    <n v="4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7"/>
    <m/>
    <s v="2025-26"/>
    <x v="7"/>
    <n v="4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8"/>
    <m/>
    <s v="2025-26"/>
    <x v="7"/>
    <n v="42"/>
    <s v="Construction of Gram Panchayat office (Frame structure) at Village Kharadi Taluka: Gariyadhar Dist. Bhavnagar"/>
    <m/>
    <s v="Gariyadhar"/>
    <s v="Palitana"/>
    <s v="Building"/>
    <s v="Gram Panchayat"/>
    <n v="199640"/>
    <m/>
    <d v="2025-06-29T00:00:00"/>
    <d v="2025-07-10T00:00:00"/>
    <d v="2025-07-11T00:00:00"/>
    <d v="2025-11-07T00:00:00"/>
    <n v="2079935.08"/>
    <m/>
    <n v="1932051.7"/>
    <n v="-7.11"/>
    <s v="Below"/>
    <s v="Nineteen Lakh Thirty Two Thousand Fifty One Rupees and Seven Paise Only"/>
    <s v="Division"/>
    <m/>
    <n v="1932051.7"/>
    <s v="JAY DANEV CONSTRUCTION"/>
    <s v="Kanubhai Nagbhai Sandsur"/>
    <s v="Shop No. 6, Nilkanth Shopping, Opp. S.T. Workshop, Gariyadhar, Dist. Bhavnagar - 364505"/>
    <n v="9574555050"/>
    <m/>
    <m/>
    <m/>
    <m/>
    <m/>
    <n v="4"/>
    <n v="97000"/>
    <d v="2027-03-22T00:00:00"/>
    <n v="4800"/>
    <n v="0"/>
    <d v="2026-01-31T00:00:00"/>
    <d v="2027-01-21T00:00:00"/>
    <n v="1099"/>
    <d v="2025-08-08T00:00:00"/>
    <s v="2025-26"/>
    <n v="119"/>
    <d v="2025-08-29T00:00:00"/>
    <s v="FDR"/>
    <s v="State Bank of India"/>
    <n v="44406429679"/>
    <n v="97000"/>
    <d v="2025-08-26T00:00:00"/>
    <m/>
    <m/>
    <m/>
    <m/>
    <m/>
    <d v="2025-08-29T00:00:00"/>
    <n v="1222"/>
    <d v="2025-08-29T00:00:00"/>
    <m/>
    <m/>
    <m/>
    <m/>
  </r>
  <r>
    <n v="149"/>
    <m/>
    <s v="2025-26"/>
    <x v="7"/>
    <n v="43"/>
    <s v="Construction of Gram Panchayat office (Frame structure) at Village Garibpura Taluka: Gariyadhar Dist. Bhavnagar"/>
    <m/>
    <s v="Gariyadhar"/>
    <s v="Palitana"/>
    <s v="Building"/>
    <s v="Gram Panchayat"/>
    <n v="199641"/>
    <m/>
    <d v="2025-06-29T00:00:00"/>
    <d v="2025-07-10T00:00:00"/>
    <d v="2025-07-11T00:00:00"/>
    <d v="2025-11-07T00:00:00"/>
    <n v="2079935.08"/>
    <m/>
    <n v="1916036.2"/>
    <n v="-7.88"/>
    <s v="Below"/>
    <s v="Nineteen Lakh Sixteen Thousand Thirty Six Rupees and Two Paise Only"/>
    <s v="Division"/>
    <m/>
    <n v="1916036.2"/>
    <s v="JAY PUNJESHWAR CONSTRUCTION"/>
    <s v="Sanjaysinh Rajendrasinh Gohil"/>
    <s v="184, Darbar Street, Wadi Area, Navagam (Nana) Ta. Ghogha. Dist. Bhavnagar"/>
    <n v="9624751929"/>
    <m/>
    <m/>
    <m/>
    <m/>
    <m/>
    <n v="4"/>
    <n v="96000"/>
    <d v="2027-03-08T00:00:00"/>
    <n v="4800"/>
    <n v="0"/>
    <d v="2026-01-17T00:00:00"/>
    <d v="2027-01-07T00:00:00"/>
    <n v="1090"/>
    <d v="2025-08-07T00:00:00"/>
    <m/>
    <m/>
    <m/>
    <m/>
    <m/>
    <m/>
    <m/>
    <m/>
    <m/>
    <m/>
    <m/>
    <m/>
    <m/>
    <d v="2025-08-15T00:00:00"/>
    <m/>
    <m/>
    <m/>
    <m/>
    <m/>
    <m/>
  </r>
  <r>
    <n v="150"/>
    <m/>
    <s v="2025-26"/>
    <x v="7"/>
    <n v="44"/>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51"/>
    <m/>
    <s v="2025-26"/>
    <x v="7"/>
    <n v="45"/>
    <s v="Construction of Gram Panchayat office (Frame structure) at Village Lakhanka Taluka: Ghogha Dist. Bhavnagar"/>
    <m/>
    <s v="Ghogha"/>
    <s v="Bhavnagar"/>
    <s v="Building"/>
    <s v="Gram Panchayat"/>
    <n v="199644"/>
    <m/>
    <d v="2025-06-29T00:00:00"/>
    <d v="2025-07-10T00:00:00"/>
    <d v="2025-07-11T00:00:00"/>
    <d v="2025-11-07T00:00:00"/>
    <n v="2079935.08"/>
    <m/>
    <n v="2036048.45"/>
    <n v="-2.11"/>
    <s v="Below"/>
    <s v="Twenty Lakh Thirty Six Thousand Forty Eight Rupees and Forty Five Paise Only"/>
    <s v="Division"/>
    <m/>
    <n v="2036048.45"/>
    <s v="PARTH K MEHTA"/>
    <s v="PARTH Kiritkumar MEHTA"/>
    <s v="Plot No. 1578/I, New Champa Tenament, Divadi Road, Rupani Circle, Bhavnagar - 364002"/>
    <n v="7990934709"/>
    <m/>
    <s v="CDP-5"/>
    <m/>
    <m/>
    <m/>
    <n v="4"/>
    <n v="102000"/>
    <d v="2027-03-08T00:00:00"/>
    <n v="5000"/>
    <n v="0"/>
    <d v="2026-01-17T00:00:00"/>
    <d v="2027-01-07T00:00:00"/>
    <n v="1089"/>
    <d v="2025-08-07T00:00:00"/>
    <m/>
    <m/>
    <m/>
    <m/>
    <m/>
    <m/>
    <m/>
    <m/>
    <m/>
    <m/>
    <m/>
    <m/>
    <m/>
    <d v="2025-08-15T00:00:00"/>
    <m/>
    <m/>
    <m/>
    <m/>
    <m/>
    <m/>
  </r>
  <r>
    <n v="152"/>
    <m/>
    <s v="2025-26"/>
    <x v="7"/>
    <n v="46"/>
    <s v="Construction of Gram Panchayat office (Frame structure) at Village Kankot Taluka: Ghogha Dist. Bhavnagar"/>
    <m/>
    <s v="Ghogha"/>
    <s v="Bhavnagar"/>
    <s v="Building"/>
    <s v="Gram Panchayat"/>
    <n v="199645"/>
    <m/>
    <d v="2025-06-29T00:00:00"/>
    <d v="2025-07-10T00:00:00"/>
    <d v="2025-07-11T00:00:00"/>
    <d v="2025-11-07T00:00:00"/>
    <n v="2079935.08"/>
    <m/>
    <n v="1970322.5"/>
    <n v="-5.27"/>
    <s v="Below"/>
    <s v="Nineteen Lakh Seventy Thousand Three Hundred Twenty Two Rupees and Five Paise Only"/>
    <s v="Division"/>
    <m/>
    <n v="1970322.5"/>
    <s v="SURYADEEP SUPPLIERS"/>
    <s v="Pratapbhai Lakhubhai Beparia"/>
    <s v="At Lothpur, Ta. Jafarabad, Dist. Amreli - 365540"/>
    <n v="9727987777"/>
    <m/>
    <s v="CDP-5"/>
    <m/>
    <m/>
    <m/>
    <n v="4"/>
    <n v="99000"/>
    <d v="2027-04-04T00:00:00"/>
    <n v="4900"/>
    <n v="0"/>
    <d v="2026-02-13T00:00:00"/>
    <d v="2027-02-03T00:00:00"/>
    <n v="1088"/>
    <d v="2025-08-07T00:00:00"/>
    <s v="2025-26"/>
    <n v="151"/>
    <d v="2025-09-11T00:00:00"/>
    <s v="FDR"/>
    <s v="ICICI BANK"/>
    <s v="162313004874"/>
    <n v="99000"/>
    <d v="2025-08-20T00:00:00"/>
    <m/>
    <m/>
    <m/>
    <m/>
    <m/>
    <d v="2025-09-11T00:00:00"/>
    <n v="1296"/>
    <d v="2025-09-11T00:00:00"/>
    <m/>
    <m/>
    <m/>
    <m/>
  </r>
  <r>
    <n v="153"/>
    <m/>
    <s v="2025-26"/>
    <x v="7"/>
    <n v="47"/>
    <s v="Construction of Gram Panchayat office (Frame structure) at Village Bhandar Taluka: Ghogha Dist. Bhavnagar"/>
    <m/>
    <s v="Ghogha"/>
    <s v="Bhavnagar"/>
    <s v="Building"/>
    <s v="Gram Panchayat"/>
    <n v="199647"/>
    <m/>
    <d v="2025-06-29T00:00:00"/>
    <d v="2025-07-10T00:00:00"/>
    <d v="2025-07-11T00:00:00"/>
    <d v="2025-11-07T00:00:00"/>
    <n v="2079935.08"/>
    <m/>
    <n v="1972194.44"/>
    <n v="-5.18"/>
    <s v="Below"/>
    <s v="Nineteen Lakh Seventy Two Thousand One Hundred Ninety Four Rupees and Forty Four Paise Only"/>
    <s v="Division"/>
    <m/>
    <n v="1972194.44"/>
    <s v="SURYADEEP SUPPLIERS"/>
    <s v="Pratapbhai Lakhubhai Beparia"/>
    <s v="At Lothpur, Ta. Jafarabad, Dist. Amreli - 365540"/>
    <n v="9727987777"/>
    <m/>
    <s v="CDP-5"/>
    <m/>
    <m/>
    <m/>
    <n v="4"/>
    <n v="99000"/>
    <d v="2027-04-04T00:00:00"/>
    <n v="4900"/>
    <n v="0"/>
    <d v="2026-02-13T00:00:00"/>
    <d v="2027-02-03T00:00:00"/>
    <n v="1087"/>
    <d v="2025-08-07T00:00:00"/>
    <s v="2025-26"/>
    <n v="152"/>
    <d v="2025-09-11T00:00:00"/>
    <s v="FDR"/>
    <s v="ICICI BANK"/>
    <s v="162313004876"/>
    <n v="99000"/>
    <d v="2025-08-20T00:00:00"/>
    <m/>
    <m/>
    <m/>
    <m/>
    <m/>
    <d v="2025-09-11T00:00:00"/>
    <n v="1297"/>
    <d v="2025-09-11T00:00:00"/>
    <m/>
    <m/>
    <m/>
    <m/>
  </r>
  <r>
    <n v="154"/>
    <m/>
    <s v="2025-26"/>
    <x v="7"/>
    <n v="48"/>
    <s v="Construction of Gram Panchayat office (Frame structure) at Village Malekvadar Taluka:Ghogha Dist. Bhavnagar"/>
    <m/>
    <s v="Ghogha"/>
    <s v="Bhavnagar"/>
    <s v="Building"/>
    <s v="Gram Panchayat"/>
    <n v="199648"/>
    <m/>
    <d v="2025-06-29T00:00:00"/>
    <d v="2025-07-10T00:00:00"/>
    <d v="2025-07-11T00:00:00"/>
    <d v="2025-11-07T00:00:00"/>
    <n v="2079935.08"/>
    <m/>
    <n v="2036048.45"/>
    <n v="-2.11"/>
    <s v="Below"/>
    <s v="Twenty Lakh Thirty Six Thousand Forty Eight Rupees and Forty Five Paise Only"/>
    <s v="Division"/>
    <m/>
    <n v="2036048.45"/>
    <s v="PARTH K MEHTA"/>
    <s v="PARTH Kiritkumar MEHTA"/>
    <s v="Plot No. 1578/I, New Champa Tenament, Divadi Road, Rupani Circle, Bhavnagar - 364002"/>
    <n v="7990934709"/>
    <m/>
    <s v="CDP-5"/>
    <m/>
    <m/>
    <m/>
    <n v="4"/>
    <n v="102000"/>
    <d v="2027-05-08T00:00:00"/>
    <n v="5000"/>
    <n v="0"/>
    <d v="2026-03-19T00:00:00"/>
    <d v="2027-03-09T00:00:00"/>
    <n v="1114"/>
    <d v="2025-08-08T00:00:00"/>
    <s v="2025-26"/>
    <n v="188"/>
    <d v="2025-10-13T00:00:00"/>
    <s v="FDR"/>
    <s v="State Bank of India"/>
    <n v="44461406656"/>
    <n v="102000"/>
    <d v="2025-09-11T00:00:00"/>
    <m/>
    <m/>
    <m/>
    <m/>
    <m/>
    <d v="2025-10-15T00:00:00"/>
    <n v="1472"/>
    <d v="2025-10-13T00:00:00"/>
    <m/>
    <m/>
    <m/>
    <m/>
  </r>
  <r>
    <n v="155"/>
    <m/>
    <s v="2025-26"/>
    <x v="7"/>
    <n v="49"/>
    <s v="Construction of Gram Panchayat office (Frame structure) at Village Ranparda Taluka: Mahuva Dist. Bhavnagar"/>
    <m/>
    <s v="Mahuva"/>
    <s v="Mahuva"/>
    <s v="Building"/>
    <s v="Gram Panchayat"/>
    <n v="199649"/>
    <m/>
    <d v="2025-06-29T00:00:00"/>
    <d v="2025-07-10T00:00:00"/>
    <d v="2025-07-11T00:00:00"/>
    <d v="2025-11-07T00:00:00"/>
    <n v="2079935.08"/>
    <m/>
    <n v="1944947.29"/>
    <n v="-6.49"/>
    <s v="Below"/>
    <s v="Nineteen Lakh Forty Four Thousand Nine Hundred Forty Seven Rupees and Twenty Nine Paise Only"/>
    <s v="Division"/>
    <m/>
    <n v="1944947.29"/>
    <s v="CUBE INFA PROJECTS"/>
    <s v="KISHANKUMAR PATABHAI KALSARIYA"/>
    <s v="Survey No. 374 P/A 2-16, Office No. 2, Left side of Entry Gate of Balkrushna Campus, Gir Gadhada Road, At. Una, Taluka Una, Dist. Gir Somnath - 362560"/>
    <n v="9824251035"/>
    <m/>
    <s v="CDP-5"/>
    <m/>
    <m/>
    <m/>
    <n v="4"/>
    <n v="98000"/>
    <d v="2027-03-23T00:00:00"/>
    <n v="4900"/>
    <n v="0"/>
    <d v="2026-02-01T00:00:00"/>
    <d v="2027-01-22T00:00:00"/>
    <n v="1115"/>
    <d v="2025-08-08T00:00:00"/>
    <s v="2025-26"/>
    <n v="123"/>
    <d v="2025-08-30T00:00:00"/>
    <s v="FDR"/>
    <s v="ICICI BANK"/>
    <s v="771613001587"/>
    <n v="98000"/>
    <d v="2025-08-20T00:00:00"/>
    <m/>
    <m/>
    <m/>
    <m/>
    <m/>
    <d v="2025-08-30T00:00:00"/>
    <n v="1228"/>
    <d v="2025-08-30T00:00:00"/>
    <m/>
    <m/>
    <m/>
    <m/>
  </r>
  <r>
    <n v="156"/>
    <m/>
    <s v="2025-26"/>
    <x v="7"/>
    <n v="5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57"/>
    <m/>
    <s v="2025-26"/>
    <x v="7"/>
    <n v="5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58"/>
    <m/>
    <s v="2025-26"/>
    <x v="7"/>
    <n v="5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59"/>
    <m/>
    <s v="2025-26"/>
    <x v="7"/>
    <n v="53"/>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0"/>
    <m/>
    <s v="2025-26"/>
    <x v="7"/>
    <n v="54"/>
    <s v="Construction of Gram Panchayat office (Frame structure) at Village Titodiya Taluka: Mahuva Dist. Bhavnagar"/>
    <m/>
    <s v="Mahuva"/>
    <s v="Mahuva"/>
    <s v="Building"/>
    <s v="Gram Panchayat"/>
    <n v="199654"/>
    <m/>
    <d v="2025-06-29T00:00:00"/>
    <d v="2025-07-10T00:00:00"/>
    <d v="2025-07-11T00:00:00"/>
    <d v="2025-11-07T00:00:00"/>
    <n v="2079935.08"/>
    <m/>
    <n v="1874021.51"/>
    <n v="-9.9"/>
    <s v="Below"/>
    <s v="Eighteen Lakh Seventy Four Thousand Twenty One Rupees and Fifty One Paise Only"/>
    <s v="Division"/>
    <m/>
    <n v="1874021.51"/>
    <s v="Shri Siddhi Vinayak Construction"/>
    <s v="Labhshankar ladhva"/>
    <s v="At Po. Karmadiya, Via Thaliya, Ta. Mahuva, Dist. Bhavnagar - 364145"/>
    <n v="9825445121"/>
    <m/>
    <s v="CDP-5"/>
    <m/>
    <m/>
    <m/>
    <n v="4"/>
    <n v="94000"/>
    <d v="2027-04-24T00:00:00"/>
    <n v="4700"/>
    <n v="0"/>
    <d v="2026-03-05T00:00:00"/>
    <d v="2027-02-23T00:00:00"/>
    <n v="1116"/>
    <d v="2025-08-08T00:00:00"/>
    <s v="2025-26"/>
    <n v="169"/>
    <d v="2025-10-01T00:00:00"/>
    <s v="FDR"/>
    <s v="SAURASHTRA GRAMIN BANK"/>
    <n v="78048996947"/>
    <n v="94000"/>
    <d v="2025-08-18T00:00:00"/>
    <m/>
    <m/>
    <m/>
    <m/>
    <m/>
    <d v="2025-10-01T00:00:00"/>
    <n v="1409"/>
    <d v="2025-10-01T00:00:00"/>
    <m/>
    <m/>
    <m/>
    <m/>
  </r>
  <r>
    <n v="161"/>
    <m/>
    <s v="2025-26"/>
    <x v="7"/>
    <n v="5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2"/>
    <m/>
    <s v="2025-26"/>
    <x v="7"/>
    <n v="56"/>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3"/>
    <m/>
    <s v="2025-26"/>
    <x v="7"/>
    <n v="57"/>
    <s v="Construction of Gram Panchayat office (Frame structure) at Village Chardika Taluka: Mahuva Dist. Bhavnagar"/>
    <m/>
    <s v="Mahuva"/>
    <s v="Mahuva"/>
    <s v="Building"/>
    <s v="Gram Panchayat"/>
    <n v="199657"/>
    <m/>
    <d v="2025-06-29T00:00:00"/>
    <d v="2025-07-10T00:00:00"/>
    <d v="2025-07-11T00:00:00"/>
    <d v="2025-11-07T00:00:00"/>
    <n v="2079935.08"/>
    <m/>
    <n v="2077855.14"/>
    <n v="-0.1"/>
    <s v="Below"/>
    <s v="Twenty Lakh Seventy Seven Thousand Eight Hundred Fifty Five Rupees and Fourteen Paise Only"/>
    <s v="Division"/>
    <m/>
    <n v="2077855.14"/>
    <s v="S D KHUMAN"/>
    <s v="Khuman Shivrajbhai Dilubhai"/>
    <s v="52, Lion Shopping Center, Near Kohinoor Hotel, Jafarabad Road, Rajula, Dist. Amreli - 365560"/>
    <n v="9909950650"/>
    <m/>
    <s v="CDP-5"/>
    <m/>
    <m/>
    <m/>
    <n v="4"/>
    <n v="104000"/>
    <d v="2027-03-23T00:00:00"/>
    <n v="5100"/>
    <n v="0"/>
    <d v="2026-02-01T00:00:00"/>
    <d v="2027-01-22T00:00:00"/>
    <n v="1117"/>
    <d v="2025-08-08T00:00:00"/>
    <s v="2025-26"/>
    <n v="121"/>
    <d v="2025-08-30T00:00:00"/>
    <s v="FDR"/>
    <s v="HDFC Bank"/>
    <s v="50301205697402"/>
    <n v="104000"/>
    <d v="2025-08-23T00:00:00"/>
    <m/>
    <m/>
    <m/>
    <m/>
    <m/>
    <d v="2025-08-30T00:00:00"/>
    <n v="1226"/>
    <d v="2025-08-30T00:00:00"/>
    <m/>
    <m/>
    <m/>
    <m/>
  </r>
  <r>
    <n v="164"/>
    <m/>
    <s v="2025-26"/>
    <x v="7"/>
    <n v="58"/>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5"/>
    <m/>
    <s v="2025-26"/>
    <x v="7"/>
    <n v="59"/>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6"/>
    <m/>
    <s v="2025-26"/>
    <x v="7"/>
    <n v="6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7"/>
    <m/>
    <s v="2025-26"/>
    <x v="7"/>
    <n v="6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8"/>
    <m/>
    <s v="2025-26"/>
    <x v="7"/>
    <n v="6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9"/>
    <m/>
    <s v="2025-26"/>
    <x v="7"/>
    <n v="63"/>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0"/>
    <m/>
    <s v="2025-26"/>
    <x v="7"/>
    <n v="64"/>
    <s v="Construction of Gram Panchayat office (Frame structure) at Village Nana Pipalva Taluka:Mahuva Dist. Bhavnagar"/>
    <m/>
    <s v="Mahuva"/>
    <s v="Mahuva"/>
    <s v="Building"/>
    <s v="Gram Panchayat"/>
    <n v="199665"/>
    <m/>
    <d v="2025-06-29T00:00:00"/>
    <d v="2025-07-10T00:00:00"/>
    <d v="2025-07-11T00:00:00"/>
    <d v="2025-11-07T00:00:00"/>
    <n v="2079935.08"/>
    <m/>
    <n v="1733625.89"/>
    <n v="-16.649999999999999"/>
    <s v="Below"/>
    <s v="Seventeen Lakh Thirty Three Thousand Six Hundred Twenty Five Rupees and Eighty Nine Paise Only"/>
    <s v="Division"/>
    <m/>
    <n v="1733625.89"/>
    <s v="BALAJI CONSTRUCTION"/>
    <s v="Siddharth Parbatbhai Bed"/>
    <s v="At Hemal, Ta. Jafarabad, Dist. Amreli - 365545"/>
    <n v="9586762457"/>
    <m/>
    <s v="CDP-5"/>
    <m/>
    <m/>
    <m/>
    <n v="4"/>
    <n v="87000"/>
    <d v="2027-04-03T00:00:00"/>
    <n v="5700"/>
    <n v="28000"/>
    <d v="2026-02-12T00:00:00"/>
    <d v="2027-02-02T00:00:00"/>
    <n v="1067"/>
    <d v="2025-08-05T00:00:00"/>
    <s v="2025-26"/>
    <n v="144"/>
    <d v="2025-09-10T00:00:00"/>
    <s v="FDR"/>
    <s v="SAURASHTRA GRAMIN BANK"/>
    <n v="78049184800"/>
    <n v="87000"/>
    <d v="2025-09-03T00:00:00"/>
    <s v="FDR"/>
    <s v="SAURASHTRA GRAMIN BANK"/>
    <n v="78049184811"/>
    <n v="28000"/>
    <d v="2025-09-03T00:00:00"/>
    <d v="2025-09-10T00:00:00"/>
    <n v="1287"/>
    <d v="2025-09-10T00:00:00"/>
    <m/>
    <m/>
    <m/>
    <m/>
  </r>
  <r>
    <n v="171"/>
    <m/>
    <s v="2025-26"/>
    <x v="7"/>
    <n v="6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2"/>
    <m/>
    <s v="2025-26"/>
    <x v="7"/>
    <n v="66"/>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3"/>
    <m/>
    <s v="2025-26"/>
    <x v="7"/>
    <n v="67"/>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4"/>
    <m/>
    <s v="2025-26"/>
    <x v="7"/>
    <n v="68"/>
    <s v="Construction of Gram Panchayat office (Frame structure) at Village Navagam Talika:Palitana Dist. Bhavnagar"/>
    <m/>
    <s v="Palitana"/>
    <s v="Palitana"/>
    <s v="Building"/>
    <s v="Gram Panchayat"/>
    <n v="199670"/>
    <m/>
    <d v="2025-06-29T00:00:00"/>
    <d v="2025-07-10T00:00:00"/>
    <d v="2025-07-11T00:00:00"/>
    <d v="2025-11-07T00:00:00"/>
    <n v="2079935.08"/>
    <m/>
    <n v="1907924.45"/>
    <n v="-8.27"/>
    <s v="Below"/>
    <s v="Nineteen Lakh Seven Thousand Nine Hundred Twenty Four Rupees and Forty Five Paise Only"/>
    <s v="Division"/>
    <m/>
    <n v="1907924.45"/>
    <s v="Jaysukhbhai Dhirubhai Sardhara"/>
    <n v="0"/>
    <s v="Fulwadi Faliya, Uchchhal-2, Tal. Uchchhal, Dist. Tapi- 394375"/>
    <n v="9016414291"/>
    <m/>
    <s v="CDP-5"/>
    <m/>
    <m/>
    <m/>
    <n v="4"/>
    <n v="96000"/>
    <d v="2027-03-25T00:00:00"/>
    <n v="4800"/>
    <n v="0"/>
    <d v="2026-02-03T00:00:00"/>
    <d v="2027-01-24T00:00:00"/>
    <n v="1068"/>
    <d v="2025-08-05T00:00:00"/>
    <s v="2025-26"/>
    <n v="127"/>
    <d v="2025-09-01T00:00:00"/>
    <s v="FDR"/>
    <s v="State Bank of India"/>
    <n v="44393851886"/>
    <n v="96000"/>
    <d v="2025-08-21T00:00:00"/>
    <m/>
    <m/>
    <m/>
    <m/>
    <m/>
    <d v="2025-09-01T00:00:00"/>
    <n v="1234"/>
    <d v="2025-09-01T00:00:00"/>
    <m/>
    <m/>
    <m/>
    <m/>
  </r>
  <r>
    <n v="175"/>
    <m/>
    <s v="2025-26"/>
    <x v="7"/>
    <n v="69"/>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6"/>
    <m/>
    <s v="2025-26"/>
    <x v="7"/>
    <n v="70"/>
    <s v="Construction of Gram Panchayat office (Frame structure) at Village Vadod Taluka: Umrala Dist. Bhavnagar"/>
    <m/>
    <s v="Umrala"/>
    <s v="Vallabhipur"/>
    <s v="Building"/>
    <s v="Gram Panchayat"/>
    <n v="199672"/>
    <m/>
    <d v="2025-06-29T00:00:00"/>
    <d v="2025-07-10T00:00:00"/>
    <d v="2025-07-11T00:00:00"/>
    <d v="2025-11-07T00:00:00"/>
    <n v="2079935.08"/>
    <m/>
    <n v="1869237.66"/>
    <n v="-10.130000000000001"/>
    <s v="Below"/>
    <s v="Eighteen Lakh Sixty Nine Thousand Two Hundred Thirty Seven Rupees and Sixty Six Paise Only"/>
    <s v="Division"/>
    <m/>
    <n v="1869237.66"/>
    <s v="GANESH BUILDERS"/>
    <s v="Mangukiya Vishal Gunvantbhai"/>
    <s v="D-10, Vrundavan Complex, Hirawadi Road, Saijpur - bogha, Ahmedabad - 382345"/>
    <n v="9408131313"/>
    <m/>
    <m/>
    <m/>
    <m/>
    <m/>
    <n v="4"/>
    <n v="94000"/>
    <d v="2027-03-08T00:00:00"/>
    <n v="4700"/>
    <n v="1000"/>
    <d v="2026-01-17T00:00:00"/>
    <d v="2027-01-07T00:00:00"/>
    <n v="1069"/>
    <d v="2025-08-05T00:00:00"/>
    <m/>
    <m/>
    <m/>
    <m/>
    <m/>
    <m/>
    <m/>
    <m/>
    <m/>
    <m/>
    <m/>
    <m/>
    <m/>
    <d v="2025-08-15T00:00:00"/>
    <m/>
    <m/>
    <m/>
    <m/>
    <m/>
    <m/>
  </r>
  <r>
    <n v="177"/>
    <m/>
    <s v="2025-26"/>
    <x v="7"/>
    <n v="71"/>
    <s v="Construction of Gram Panchayat office (Frame structure) at Village Ramanka Taluka: Umrala Dist. Bhavnagar"/>
    <m/>
    <s v="Umrala"/>
    <s v="Vallabhipur"/>
    <s v="Building"/>
    <s v="Gram Panchayat"/>
    <n v="199673"/>
    <m/>
    <d v="2025-06-29T00:00:00"/>
    <d v="2025-07-10T00:00:00"/>
    <d v="2025-07-11T00:00:00"/>
    <d v="2025-11-07T00:00:00"/>
    <n v="2079935.08"/>
    <m/>
    <n v="1869653.64"/>
    <n v="-10.11"/>
    <s v="Below"/>
    <s v="Eighteen Lakh Sixty Nine Thousand Six Hundred Fifty Three Rupees and Sixty Four Paise Only"/>
    <s v="Division"/>
    <m/>
    <n v="1869653.64"/>
    <s v="SOMNATH ENTERPRISE"/>
    <s v="C. H. Gohil"/>
    <s v="Ground Floor, Shop No.2, House No.151, Near Chabutara, Dadva Road, Dhola, Ta.Umrala, Dist.Bhavnagar"/>
    <n v="9377666263"/>
    <m/>
    <m/>
    <m/>
    <m/>
    <m/>
    <n v="4"/>
    <n v="94000"/>
    <d v="2027-03-08T00:00:00"/>
    <n v="4700"/>
    <n v="1000"/>
    <d v="2026-01-17T00:00:00"/>
    <d v="2027-01-07T00:00:00"/>
    <n v="1070"/>
    <d v="2025-08-05T00:00:00"/>
    <m/>
    <m/>
    <m/>
    <m/>
    <m/>
    <m/>
    <m/>
    <m/>
    <m/>
    <m/>
    <m/>
    <m/>
    <m/>
    <d v="2025-08-15T00:00:00"/>
    <m/>
    <m/>
    <m/>
    <m/>
    <m/>
    <m/>
  </r>
  <r>
    <n v="178"/>
    <m/>
    <s v="2025-26"/>
    <x v="7"/>
    <n v="72"/>
    <s v="Construction of Gram Panchayat office (Frame structure) at Village Dharwala Taluka: Umrala Dist. Bhavnagar"/>
    <m/>
    <s v="Umrala"/>
    <s v="Vallabhipur"/>
    <s v="Building"/>
    <s v="Gram Panchayat"/>
    <n v="199675"/>
    <m/>
    <d v="2025-06-29T00:00:00"/>
    <d v="2025-07-10T00:00:00"/>
    <d v="2025-07-11T00:00:00"/>
    <d v="2025-11-07T00:00:00"/>
    <n v="2079935.08"/>
    <m/>
    <n v="1902932.6"/>
    <n v="-8.51"/>
    <s v="Below"/>
    <s v="Nineteen Lakh Two Thousand Nine Hundred Thirty Two Rupees and Six Paise Only"/>
    <s v="Division"/>
    <m/>
    <n v="1902932.6"/>
    <s v="DEV CONSTRUCTION"/>
    <s v="D. H. Gohil"/>
    <s v="At. Vangadhra, Ta.Umrala, Dist. Bhavnagar"/>
    <n v="8780286268"/>
    <m/>
    <m/>
    <m/>
    <m/>
    <m/>
    <n v="4"/>
    <n v="96000"/>
    <d v="2027-03-08T00:00:00"/>
    <n v="4800"/>
    <n v="0"/>
    <d v="2026-01-17T00:00:00"/>
    <d v="2027-01-07T00:00:00"/>
    <n v="1071"/>
    <d v="2025-08-05T00:00:00"/>
    <m/>
    <m/>
    <m/>
    <m/>
    <m/>
    <m/>
    <m/>
    <m/>
    <m/>
    <m/>
    <m/>
    <m/>
    <m/>
    <d v="2025-08-15T00:00:00"/>
    <m/>
    <m/>
    <m/>
    <m/>
    <m/>
    <m/>
  </r>
  <r>
    <n v="179"/>
    <m/>
    <s v="2025-26"/>
    <x v="7"/>
    <n v="73"/>
    <s v="Construction of Gram Panchayat office (Frame structure) at Village Ingorala Taluka: Umrala Dist. Bhavnagar"/>
    <m/>
    <s v="Umrala"/>
    <s v="Vallabhipur"/>
    <s v="Building"/>
    <s v="Gram Panchayat"/>
    <n v="199677"/>
    <m/>
    <d v="2025-06-29T00:00:00"/>
    <d v="2025-07-10T00:00:00"/>
    <d v="2025-07-11T00:00:00"/>
    <d v="2025-11-07T00:00:00"/>
    <n v="2079935.08"/>
    <m/>
    <n v="1785832.26"/>
    <n v="-14.14"/>
    <s v="Below"/>
    <s v="Seventeen Lakh Eighty Five Thousand Eight Hundred Thirty Two Rupees and Twenty Six Paise Only"/>
    <s v="Division"/>
    <m/>
    <n v="1785832.26"/>
    <s v="SOMNATH ENTERPRISE"/>
    <s v="C. H. Gohil"/>
    <s v="Ground Floor, Shop No.2, House No.151, Near Chabutara, Dadva Road, Dhola, Ta.Umrala, Dist.Bhavnagar"/>
    <n v="9377666263"/>
    <m/>
    <m/>
    <m/>
    <m/>
    <m/>
    <n v="4"/>
    <n v="90000"/>
    <d v="2027-03-08T00:00:00"/>
    <n v="5300"/>
    <n v="18000"/>
    <d v="2026-01-17T00:00:00"/>
    <d v="2027-01-07T00:00:00"/>
    <n v="1072"/>
    <d v="2025-08-05T00:00:00"/>
    <m/>
    <m/>
    <m/>
    <m/>
    <m/>
    <m/>
    <m/>
    <m/>
    <m/>
    <m/>
    <m/>
    <m/>
    <m/>
    <d v="2025-08-15T00:00:00"/>
    <m/>
    <m/>
    <m/>
    <m/>
    <m/>
    <m/>
  </r>
  <r>
    <n v="180"/>
    <m/>
    <s v="2025-26"/>
    <x v="7"/>
    <n v="74"/>
    <s v="Construction of Gram Panchayat office (Frame structure) at Village Hadmatiya Taluka: Umrala Dist. Bhavnagar"/>
    <m/>
    <s v="Umrala"/>
    <s v="Vallabhipur"/>
    <s v="Building"/>
    <s v="Gram Panchayat"/>
    <n v="199678"/>
    <m/>
    <d v="2025-06-29T00:00:00"/>
    <d v="2025-07-10T00:00:00"/>
    <d v="2025-07-11T00:00:00"/>
    <d v="2025-11-07T00:00:00"/>
    <n v="2079935.08"/>
    <m/>
    <n v="1827846.95"/>
    <n v="-12.12"/>
    <s v="Below"/>
    <s v="Eighteen Lakh Twenty Seven Thousand Eight Hundred Forty Six Rupees and Ninety Five Paise Only"/>
    <s v="Division"/>
    <m/>
    <n v="1827846.95"/>
    <s v="SOMNATH ENTERPRISE"/>
    <s v="C. H. Gohil"/>
    <s v="Ground Floor, Shop No.2, House No.151, Near Chabutara, Dadva Road, Dhola, Ta.Umrala, Dist.Bhavnagar"/>
    <n v="9377666263"/>
    <m/>
    <m/>
    <m/>
    <m/>
    <m/>
    <n v="4"/>
    <n v="92000"/>
    <d v="2027-03-08T00:00:00"/>
    <n v="5000"/>
    <n v="9000"/>
    <d v="2026-01-17T00:00:00"/>
    <d v="2027-01-07T00:00:00"/>
    <n v="1123"/>
    <d v="2025-08-08T00:00:00"/>
    <m/>
    <m/>
    <m/>
    <m/>
    <m/>
    <m/>
    <m/>
    <m/>
    <m/>
    <m/>
    <m/>
    <m/>
    <m/>
    <d v="2025-08-15T00:00:00"/>
    <m/>
    <m/>
    <m/>
    <m/>
    <m/>
    <m/>
  </r>
  <r>
    <n v="181"/>
    <m/>
    <s v="2025-26"/>
    <x v="7"/>
    <n v="7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82"/>
    <m/>
    <s v="2025-26"/>
    <x v="7"/>
    <n v="76"/>
    <s v="Construction of Gram Panchayat office (Frame structure) at Village Samadhiyala Taluka: Umrala Dist. Bhavnagar"/>
    <m/>
    <s v="Umrala"/>
    <s v="Vallabhipur"/>
    <s v="Building"/>
    <s v="Gram Panchayat"/>
    <n v="199680"/>
    <m/>
    <d v="2025-06-29T00:00:00"/>
    <d v="2025-07-10T00:00:00"/>
    <d v="2025-07-11T00:00:00"/>
    <d v="2025-11-07T00:00:00"/>
    <n v="2079935.08"/>
    <m/>
    <n v="1786248.25"/>
    <n v="-14.12"/>
    <s v="Below"/>
    <s v="Seventeen Lakh Eighty Six Thousand Two Hundred Forty Eight Rupees and Twenty Five Paise Only"/>
    <s v="Division"/>
    <m/>
    <n v="1786248.25"/>
    <s v="SOMNATH ENTERPRISE"/>
    <s v="C. H. Gohil"/>
    <s v="Ground Floor, Shop No.2, House No.151, Near Chabutara, Dadva Road, Dhola, Ta.Umrala, Dist.Bhavnagar"/>
    <n v="9377666263"/>
    <m/>
    <s v="CDP-5"/>
    <m/>
    <m/>
    <m/>
    <n v="4"/>
    <n v="90000"/>
    <d v="2027-04-24T00:00:00"/>
    <n v="5300"/>
    <n v="18000"/>
    <d v="2026-03-05T00:00:00"/>
    <d v="2027-02-23T00:00:00"/>
    <n v="1111"/>
    <d v="2025-08-08T00:00:00"/>
    <s v="2025-26"/>
    <n v="166"/>
    <d v="2025-10-01T00:00:00"/>
    <s v="FDR"/>
    <s v="State Bank of India"/>
    <n v="44480666780"/>
    <n v="90000"/>
    <d v="2025-09-18T00:00:00"/>
    <m/>
    <m/>
    <m/>
    <m/>
    <m/>
    <d v="2025-10-01T00:00:00"/>
    <n v="1407"/>
    <d v="2025-10-01T00:00:00"/>
    <m/>
    <m/>
    <m/>
    <m/>
  </r>
  <r>
    <n v="183"/>
    <m/>
    <s v="2025-26"/>
    <x v="7"/>
    <n v="77"/>
    <s v="Construction of Gram Panchayat office (Frame structure) at Village Khijadiya Taluka: Umrala Dist. Bhavnagar"/>
    <m/>
    <s v="Umrala"/>
    <s v="Vallabhipur"/>
    <s v="Building"/>
    <s v="Gram Panchayat"/>
    <n v="199681"/>
    <m/>
    <d v="2025-06-29T00:00:00"/>
    <d v="2025-07-10T00:00:00"/>
    <d v="2025-07-11T00:00:00"/>
    <d v="2025-11-07T00:00:00"/>
    <n v="2079935.08"/>
    <m/>
    <n v="1872149.57"/>
    <n v="-9.99"/>
    <s v="Below"/>
    <s v="Eighteen Lakh Seventy Two Thousand One Hundred Forty Nine Rupees and Fifty Seven Paise Only"/>
    <s v="Division"/>
    <m/>
    <n v="1872149.57"/>
    <s v="DEV CONSTRUCTION"/>
    <s v="D. H. Gohil"/>
    <s v="At. Vangadhra, Ta.Umrala, Dist. Bhavnagar"/>
    <n v="8780286268"/>
    <m/>
    <m/>
    <m/>
    <m/>
    <m/>
    <n v="4"/>
    <n v="94000"/>
    <d v="2027-03-08T00:00:00"/>
    <n v="4700"/>
    <n v="0"/>
    <d v="2026-01-17T00:00:00"/>
    <d v="2027-01-07T00:00:00"/>
    <n v="1112"/>
    <d v="2025-08-08T00:00:00"/>
    <m/>
    <m/>
    <m/>
    <m/>
    <m/>
    <m/>
    <m/>
    <m/>
    <m/>
    <m/>
    <m/>
    <m/>
    <m/>
    <d v="2025-08-15T00:00:00"/>
    <m/>
    <m/>
    <m/>
    <m/>
    <m/>
    <m/>
  </r>
  <r>
    <n v="184"/>
    <m/>
    <s v="2025-26"/>
    <x v="7"/>
    <n v="78"/>
    <s v="Construction of Gram Panchayat office (Frame structure) at Village Budhana Taluka: Shihor Dist. Bhavnagar"/>
    <m/>
    <s v="Shihor"/>
    <s v="Shihor"/>
    <s v="Building"/>
    <s v="Gram Panchayat"/>
    <n v="199683"/>
    <n v="1"/>
    <d v="2025-06-29T00:00:00"/>
    <d v="2025-07-10T00:00:00"/>
    <d v="2025-07-11T00:00:00"/>
    <d v="2025-11-07T00:00:00"/>
    <n v="2079935.08"/>
    <m/>
    <n v="1955346.97"/>
    <n v="-5.99"/>
    <s v="Below"/>
    <s v="Nineteen Lakh Fifty Five Thousand Three Hundred Forty Six Rupees and Ninety Seven Paise Only"/>
    <s v="Division"/>
    <m/>
    <n v="1955346.97"/>
    <s v="KEVAL BUDHESHBHAI BHAYANI"/>
    <s v="KEVAL BUDHESHBHAI BHAYANI"/>
    <s v="235, Momai Krupa, Bhayani Sheri, Madhada, Ta. Shihor, Dist. Bhavnagar - 364240"/>
    <n v="8905890589"/>
    <m/>
    <m/>
    <m/>
    <m/>
    <m/>
    <n v="4"/>
    <n v="98000"/>
    <d v="2027-03-11T00:00:00"/>
    <n v="4900"/>
    <n v="0"/>
    <d v="2026-01-20T00:00:00"/>
    <d v="2027-01-10T00:00:00"/>
    <n v="1063"/>
    <d v="2025-08-04T00:00:00"/>
    <s v="2025-26"/>
    <n v="86"/>
    <d v="2025-08-18T00:00:00"/>
    <s v="FDR"/>
    <s v="State Bank of India"/>
    <s v="00000044367295159"/>
    <n v="98000"/>
    <d v="2025-08-11T00:00:00"/>
    <m/>
    <m/>
    <m/>
    <m/>
    <m/>
    <d v="2025-08-18T00:00:00"/>
    <n v="1165"/>
    <d v="2025-08-18T00:00:00"/>
    <m/>
    <m/>
    <m/>
    <m/>
  </r>
  <r>
    <n v="185"/>
    <m/>
    <s v="2025-26"/>
    <x v="7"/>
    <n v="79"/>
    <s v="Construction of Gram Panchayat office (Frame structure) at Village Dhundhsar Taluka:Shihor Dist. Bhavnagar"/>
    <m/>
    <s v="Shihor"/>
    <s v="Shihor"/>
    <s v="Building"/>
    <s v="Gram Panchayat"/>
    <n v="199684"/>
    <m/>
    <d v="2025-06-29T00:00:00"/>
    <d v="2025-07-10T00:00:00"/>
    <d v="2025-07-11T00:00:00"/>
    <d v="2025-11-07T00:00:00"/>
    <n v="2079935.08"/>
    <m/>
    <n v="1955346.97"/>
    <n v="-5.99"/>
    <s v="Below"/>
    <s v="Nineteen Lakh Fifty Five Thousand Three Hundred Forty Six Rupees and Ninety Seven Paise Only"/>
    <s v="Division"/>
    <m/>
    <n v="1955346.97"/>
    <s v="ASHOKBHAI PARSHOTAMBHAI_x000a_BARAIYA"/>
    <s v="ASHOKBHAI PARSHOTAMBHAI_x000a_BARAIYA"/>
    <s v="At Lapaliya, Post- Nani Rajsthali, Tal. Palitana - 364270"/>
    <n v="9898775037"/>
    <m/>
    <s v="CDP-5"/>
    <m/>
    <m/>
    <m/>
    <n v="4"/>
    <n v="98000"/>
    <d v="2027-04-24T00:00:00"/>
    <n v="4900"/>
    <n v="0"/>
    <d v="2026-03-05T00:00:00"/>
    <d v="2027-02-23T00:00:00"/>
    <n v="1113"/>
    <d v="2025-08-08T00:00:00"/>
    <s v="2025-26"/>
    <n v="163"/>
    <d v="2025-10-01T00:00:00"/>
    <s v="FDR"/>
    <s v="SAURASHTRA GRAMIN BANK"/>
    <n v="78049121883"/>
    <n v="98000"/>
    <d v="2025-08-29T00:00:00"/>
    <m/>
    <m/>
    <m/>
    <m/>
    <m/>
    <d v="2025-10-01T00:00:00"/>
    <n v="1404"/>
    <d v="2025-10-01T00:00:00"/>
    <m/>
    <m/>
    <m/>
    <m/>
  </r>
  <r>
    <n v="186"/>
    <m/>
    <s v="2025-26"/>
    <x v="7"/>
    <n v="8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87"/>
    <m/>
    <s v="2025-26"/>
    <x v="7"/>
    <n v="81"/>
    <s v="Construction of Gram Panchayat office (Frame structure) at Village Bhutiya Taluka: Shihor Dist. Bhavnagar"/>
    <m/>
    <s v="Shihor"/>
    <s v="Shihor"/>
    <s v="Building"/>
    <s v="Gram Panchayat"/>
    <n v="199694"/>
    <m/>
    <d v="2025-06-29T00:00:00"/>
    <d v="2025-07-10T00:00:00"/>
    <d v="2025-07-11T00:00:00"/>
    <d v="2025-11-07T00:00:00"/>
    <n v="2079935.08"/>
    <m/>
    <n v="1966578.62"/>
    <n v="-5.45"/>
    <s v="Below"/>
    <s v="Nineteen Lakh Sixty Six Thousand Five Hundred Seventy Eight Rupees and Sixty Two Paise Only"/>
    <s v="Division"/>
    <m/>
    <n v="1966578.62"/>
    <s v="HEER CONSTRUCTION"/>
    <s v="Sanjaykumar Nandlal Raiyani"/>
    <s v="A-302 Shree Nand Elite, Nr.Ustav velly Flat, Nikol Gam Road, Ahemdabad                         Pin-382350"/>
    <n v="9979476626"/>
    <m/>
    <s v="CDP-5"/>
    <m/>
    <m/>
    <m/>
    <n v="4"/>
    <n v="99000"/>
    <d v="2027-04-24T00:00:00"/>
    <n v="4900"/>
    <n v="0"/>
    <d v="2026-03-05T00:00:00"/>
    <d v="2027-02-23T00:00:00"/>
    <n v="1100"/>
    <d v="2025-08-08T00:00:00"/>
    <s v="2025-26"/>
    <n v="164"/>
    <d v="2025-10-01T00:00:00"/>
    <s v="FDR"/>
    <s v="Punjab National Bank"/>
    <s v="753700MP00002883"/>
    <n v="99100"/>
    <d v="2025-08-28T00:00:00"/>
    <m/>
    <m/>
    <m/>
    <m/>
    <m/>
    <d v="2025-10-01T00:00:00"/>
    <n v="1405"/>
    <d v="2025-10-01T00:00:00"/>
    <m/>
    <m/>
    <m/>
    <m/>
  </r>
  <r>
    <n v="188"/>
    <m/>
    <s v="2025-26"/>
    <x v="7"/>
    <n v="82"/>
    <s v="Construction of Gram Panchayat office (Frame structure) at Village Karmadiya Taluka: Shihor Dist. Bhavnagar"/>
    <m/>
    <s v="Shihor"/>
    <s v="Shihor"/>
    <s v="Building"/>
    <s v="Gram Panchayat"/>
    <n v="199695"/>
    <m/>
    <d v="2025-06-29T00:00:00"/>
    <d v="2025-07-10T00:00:00"/>
    <d v="2025-07-11T00:00:00"/>
    <d v="2025-11-07T00:00:00"/>
    <n v="2079935.08"/>
    <m/>
    <n v="2027312.72"/>
    <n v="-2.5299999999999998"/>
    <s v="Below"/>
    <s v="Twenty Lakh Twenty Seven Thousand Three Hundred Twelve Rupees and Seventy Two Paise Only"/>
    <s v="Division"/>
    <m/>
    <n v="2027312.72"/>
    <s v="HRUTURAJSINH JESUBHA GOHIL"/>
    <n v="0"/>
    <s v="At Tana, Tal. Shihor, Dist. Bhavnagar - 364260"/>
    <n v="9510343132"/>
    <m/>
    <s v="CDP-5"/>
    <m/>
    <m/>
    <m/>
    <n v="4"/>
    <n v="102000"/>
    <d v="2027-03-26T00:00:00"/>
    <n v="5000"/>
    <n v="0"/>
    <d v="2026-02-04T00:00:00"/>
    <d v="2027-01-25T00:00:00"/>
    <n v="1107"/>
    <d v="2025-08-08T00:00:00"/>
    <s v="2025-26"/>
    <n v="142"/>
    <d v="2025-09-02T00:00:00"/>
    <s v="FDR"/>
    <s v="Bank of Baroda"/>
    <s v="91640300004640"/>
    <n v="102000"/>
    <d v="2025-08-22T00:00:00"/>
    <m/>
    <m/>
    <m/>
    <m/>
    <m/>
    <d v="2025-09-02T00:00:00"/>
    <n v="1253"/>
    <d v="2025-09-02T00:00:00"/>
    <m/>
    <m/>
    <m/>
    <m/>
  </r>
  <r>
    <n v="189"/>
    <m/>
    <s v="2025-26"/>
    <x v="7"/>
    <n v="83"/>
    <s v="Construction of Gram Panchayat office (Frame structure) at Village Sakhvadar Taluka.Shihor Dist. Bhavnagar"/>
    <m/>
    <s v="Shihor"/>
    <s v="Shihor"/>
    <s v="Building"/>
    <s v="Gram Panchayat"/>
    <n v="199696"/>
    <m/>
    <d v="2025-06-29T00:00:00"/>
    <d v="2025-07-10T00:00:00"/>
    <d v="2025-07-11T00:00:00"/>
    <d v="2025-11-07T00:00:00"/>
    <n v="2079935.08"/>
    <m/>
    <n v="1968034.57"/>
    <n v="-5.38"/>
    <s v="Below"/>
    <s v="Nineteen Lakh Sixty Eight Thousand Thirty Four Rupees and Fifty Seven Paise Only"/>
    <s v="Division"/>
    <m/>
    <n v="1968034.57"/>
    <s v="HEER CONSTRUCTION"/>
    <s v="Sanjaykumar Nandlal Raiyani"/>
    <s v="A-302 Shree Nand Elite, Nr.Ustav velly Flat, Nikol Gam Road, Ahemdabad                         Pin-382350"/>
    <n v="9979476626"/>
    <m/>
    <s v="CDP-5"/>
    <m/>
    <m/>
    <m/>
    <n v="4"/>
    <n v="99000"/>
    <d v="2027-04-24T00:00:00"/>
    <n v="4900"/>
    <n v="0"/>
    <d v="2026-03-05T00:00:00"/>
    <d v="2027-02-23T00:00:00"/>
    <n v="1106"/>
    <d v="2025-08-08T00:00:00"/>
    <s v="2025-26"/>
    <n v="165"/>
    <d v="2025-10-01T00:00:00"/>
    <s v="FDR"/>
    <s v="Punjab National Bank"/>
    <s v="753700MP00002874"/>
    <n v="99100"/>
    <d v="2025-08-28T00:00:00"/>
    <m/>
    <m/>
    <m/>
    <m/>
    <m/>
    <d v="2025-10-01T00:00:00"/>
    <n v="1406"/>
    <d v="2025-10-01T00:00:00"/>
    <m/>
    <m/>
    <m/>
    <m/>
  </r>
  <r>
    <n v="190"/>
    <m/>
    <s v="2025-26"/>
    <x v="7"/>
    <n v="84"/>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1"/>
    <m/>
    <s v="2025-26"/>
    <x v="7"/>
    <n v="85"/>
    <s v="Construction of Gram Panchayat office (Frame structure) at Village Dhankankunda Taluka:Shihor Dist. Bhavnagar"/>
    <m/>
    <s v="Shihor"/>
    <s v="Shihor"/>
    <s v="Building"/>
    <s v="Gram Panchayat"/>
    <n v="199699"/>
    <m/>
    <d v="2025-06-29T00:00:00"/>
    <d v="2025-07-10T00:00:00"/>
    <d v="2025-07-11T00:00:00"/>
    <d v="2025-11-07T00:00:00"/>
    <n v="2079935.08"/>
    <m/>
    <n v="1907924.45"/>
    <n v="-8.27"/>
    <s v="Below"/>
    <s v="Nineteen Lakh Seven Thousand Nine Hundred Twenty Four Rupees and Forty Five Paise Only"/>
    <s v="Division"/>
    <m/>
    <n v="1907924.45"/>
    <s v="Jaysukhbhai Dhirubhai Sardhara"/>
    <n v="0"/>
    <s v="Fulwadi Faliya, Uchchhal-2, Tal. Uchchhal, Dist. Tapi- 394375"/>
    <n v="9016414291"/>
    <m/>
    <s v="CDP-5"/>
    <m/>
    <m/>
    <m/>
    <n v="4"/>
    <n v="96000"/>
    <d v="2027-03-25T00:00:00"/>
    <n v="4800"/>
    <n v="0"/>
    <d v="2026-02-03T00:00:00"/>
    <d v="2027-01-24T00:00:00"/>
    <n v="1108"/>
    <d v="2025-08-08T00:00:00"/>
    <s v="2025-26"/>
    <n v="128"/>
    <d v="2025-09-01T00:00:00"/>
    <s v="FDR"/>
    <s v="State Bank of India"/>
    <n v="44393949350"/>
    <n v="96000"/>
    <d v="2025-08-21T00:00:00"/>
    <m/>
    <m/>
    <m/>
    <m/>
    <m/>
    <d v="2025-09-01T00:00:00"/>
    <n v="1235"/>
    <d v="2025-09-01T00:00:00"/>
    <m/>
    <m/>
    <m/>
    <m/>
  </r>
  <r>
    <n v="192"/>
    <m/>
    <s v="2025-26"/>
    <x v="7"/>
    <n v="86"/>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3"/>
    <m/>
    <s v="2025-26"/>
    <x v="7"/>
    <n v="87"/>
    <s v="Construction of Gram Panchayat office (Frame structure) at Village Khakhariya Taluka: Shihor Dist. Bhavnagar"/>
    <m/>
    <s v="Shihor"/>
    <s v="Shihor"/>
    <s v="Building"/>
    <s v="Gram Panchayat"/>
    <n v="199701"/>
    <m/>
    <d v="2025-06-29T00:00:00"/>
    <d v="2025-07-10T00:00:00"/>
    <d v="2025-07-11T00:00:00"/>
    <d v="2025-11-07T00:00:00"/>
    <n v="2079935.08"/>
    <m/>
    <n v="1944531.31"/>
    <n v="-6.51"/>
    <s v="Below"/>
    <s v="Nineteen Lakh Forty Four Thousand Five Hundred Thirty One Rupees and Thirty One Paise Only"/>
    <s v="Division"/>
    <m/>
    <n v="1944531.31"/>
    <s v="SHIV CONTRUCTION"/>
    <s v="ALIGBHAI LAKHUBHAI BARAL"/>
    <s v="At Bhandariya, Ta. Palitana, Dist. Bhavnagar"/>
    <n v="8780428967"/>
    <m/>
    <s v="CDP-5"/>
    <m/>
    <m/>
    <m/>
    <n v="4"/>
    <n v="98000"/>
    <d v="2027-03-11T00:00:00"/>
    <n v="4900"/>
    <n v="0"/>
    <d v="2026-01-20T00:00:00"/>
    <d v="2027-01-10T00:00:00"/>
    <n v="1095"/>
    <d v="2025-08-08T00:00:00"/>
    <s v="2025-26"/>
    <n v="99"/>
    <d v="2025-08-18T00:00:00"/>
    <s v="FDR"/>
    <s v="SAURASHTRA GRAMIN BANK"/>
    <n v="78048990945"/>
    <n v="98000"/>
    <d v="2025-08-18T00:00:00"/>
    <m/>
    <m/>
    <m/>
    <m/>
    <m/>
    <d v="2025-08-18T00:00:00"/>
    <n v="1179"/>
    <d v="2025-08-18T00:00:00"/>
    <m/>
    <m/>
    <m/>
    <m/>
  </r>
  <r>
    <n v="194"/>
    <m/>
    <s v="2025-26"/>
    <x v="7"/>
    <n v="88"/>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5"/>
    <m/>
    <s v="2025-26"/>
    <x v="7"/>
    <n v="89"/>
    <s v="Construction of Gram Panchayat office (Frame structure) at Village Khari Taluka:shihor Dist. Bhavnagar"/>
    <m/>
    <s v="Shihor"/>
    <s v="Shihor"/>
    <s v="Building"/>
    <s v="Gram Panchayat"/>
    <n v="199704"/>
    <m/>
    <d v="2025-06-29T00:00:00"/>
    <d v="2025-07-10T00:00:00"/>
    <d v="2025-07-11T00:00:00"/>
    <d v="2025-11-07T00:00:00"/>
    <n v="2079935.08"/>
    <m/>
    <n v="1951395.09"/>
    <n v="-6.18"/>
    <s v="Below"/>
    <s v="Nineteen Lakh Fifty One Thousand Three Hundred Ninety Five Rupees and Nine Paise Only"/>
    <s v="Division"/>
    <m/>
    <n v="1951395.09"/>
    <s v="VARAHI CONSTRUCTION"/>
    <s v="Majithiya Dhruvin Nareshbhai"/>
    <s v="82/1, Bajaran Society, Near Gayatri Temple, Chitra, Bhavnagar-364004"/>
    <n v="8200557028"/>
    <m/>
    <s v="CDP-5"/>
    <m/>
    <m/>
    <m/>
    <n v="4"/>
    <n v="98000"/>
    <d v="2027-04-03T00:00:00"/>
    <n v="4900"/>
    <n v="0"/>
    <d v="2026-02-12T00:00:00"/>
    <d v="2027-02-02T00:00:00"/>
    <n v="1098"/>
    <d v="2025-08-08T00:00:00"/>
    <s v="2025-26"/>
    <n v="148"/>
    <d v="2025-09-10T00:00:00"/>
    <s v="FDR"/>
    <s v="Union Bank of India"/>
    <s v="348803060081616"/>
    <n v="98000"/>
    <d v="2025-08-28T00:00:00"/>
    <m/>
    <m/>
    <m/>
    <m/>
    <m/>
    <d v="2025-09-10T00:00:00"/>
    <n v="1292"/>
    <d v="2025-09-10T00:00:00"/>
    <m/>
    <m/>
    <m/>
    <m/>
  </r>
  <r>
    <n v="196"/>
    <m/>
    <s v="2025-26"/>
    <x v="7"/>
    <n v="90"/>
    <s v="Construction of Gram Panchayat office (Frame structure) at Village Madhada Taluka:Shihor Dist. Bhavnagar"/>
    <m/>
    <s v="Shihor"/>
    <s v="Shihor"/>
    <s v="Building"/>
    <s v="Gram Panchayat"/>
    <n v="199706"/>
    <n v="1"/>
    <d v="2025-06-29T00:00:00"/>
    <d v="2025-07-10T00:00:00"/>
    <d v="2025-07-11T00:00:00"/>
    <d v="2025-11-07T00:00:00"/>
    <n v="2079935.08"/>
    <m/>
    <n v="1915620.21"/>
    <n v="-7.9"/>
    <s v="Below"/>
    <s v="Nineteen Lakh Fifteen Thousand Six Hundred Twenty Rupees and Twenty One Paise Only"/>
    <s v="Division"/>
    <m/>
    <n v="1915620.21"/>
    <s v="KEVAL BUDHESHBHAI BHAYANI"/>
    <s v="KEVAL BUDHESHBHAI BHAYANI"/>
    <s v="235, Momai Krupa, Bhayani Sheri, Madhada, Ta. Shihor, Dist. Bhavnagar - 364240"/>
    <n v="8905890589"/>
    <m/>
    <m/>
    <m/>
    <m/>
    <m/>
    <n v="4"/>
    <n v="96000"/>
    <d v="2027-03-11T00:00:00"/>
    <n v="4800"/>
    <n v="0"/>
    <d v="2026-01-20T00:00:00"/>
    <d v="2027-01-10T00:00:00"/>
    <n v="1064"/>
    <d v="2025-08-04T00:00:00"/>
    <s v="2025-26"/>
    <n v="87"/>
    <d v="2025-08-18T00:00:00"/>
    <s v="FDR"/>
    <s v="State Bank of India"/>
    <s v="00000044367322253"/>
    <n v="96000"/>
    <d v="2025-08-11T00:00:00"/>
    <m/>
    <m/>
    <m/>
    <m/>
    <m/>
    <d v="2025-08-18T00:00:00"/>
    <n v="1166"/>
    <d v="2025-08-18T00:00:00"/>
    <m/>
    <m/>
    <m/>
    <m/>
  </r>
  <r>
    <n v="197"/>
    <m/>
    <s v="2025-26"/>
    <x v="7"/>
    <n v="9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8"/>
    <m/>
    <s v="2025-26"/>
    <x v="7"/>
    <n v="9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9"/>
    <m/>
    <s v="2025-26"/>
    <x v="7"/>
    <n v="93"/>
    <s v="Construction of Gram Panchayat office (Frame structure) at Village Sandhida Taluka: Shihor Dist. Bhavnagar"/>
    <m/>
    <s v="Shihor"/>
    <s v="Shihor"/>
    <s v="Building"/>
    <s v="Gram Panchayat"/>
    <n v="199709"/>
    <n v="1"/>
    <d v="2025-06-29T00:00:00"/>
    <d v="2025-07-10T00:00:00"/>
    <d v="2025-07-11T00:00:00"/>
    <d v="2025-11-07T00:00:00"/>
    <n v="2079935.08"/>
    <m/>
    <n v="1923731.96"/>
    <n v="-7.51"/>
    <s v="Below"/>
    <s v="Nineteen Lakh Twenty Three Thousand Seven Hundred Thirty One Rupees and Ninety Six Paise Only"/>
    <s v="Division"/>
    <m/>
    <n v="1923731.96"/>
    <s v="UDAYBHAI R. LUNSAR"/>
    <s v="UDAYBHAI RAMKUBHAI LUNSAR"/>
    <s v="Shop No. 5, First Floor, Nilkanth Arcade, Opp. Arjun Tokiz, Palitana Road, Gariyadhar- 364505"/>
    <n v="9824226646"/>
    <m/>
    <s v="CDP-5"/>
    <m/>
    <m/>
    <m/>
    <n v="4"/>
    <n v="97000"/>
    <d v="2027-03-22T00:00:00"/>
    <n v="4800"/>
    <n v="0"/>
    <d v="2026-01-31T00:00:00"/>
    <d v="2027-01-21T00:00:00"/>
    <n v="1093"/>
    <d v="2025-08-08T00:00:00"/>
    <s v="2025-26"/>
    <n v="117"/>
    <d v="2025-08-29T00:00:00"/>
    <s v="FDR"/>
    <s v="State Bank of India"/>
    <n v="44407033346"/>
    <n v="97000"/>
    <d v="2025-08-26T00:00:00"/>
    <m/>
    <m/>
    <m/>
    <m/>
    <m/>
    <d v="2025-08-29T00:00:00"/>
    <n v="1219"/>
    <d v="2025-08-29T00:00:00"/>
    <m/>
    <m/>
    <m/>
    <m/>
  </r>
  <r>
    <n v="200"/>
    <m/>
    <s v="2025-26"/>
    <x v="7"/>
    <n v="94"/>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201"/>
    <m/>
    <s v="2025-26"/>
    <x v="7"/>
    <n v="9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202"/>
    <m/>
    <s v="2025-26"/>
    <x v="7"/>
    <n v="96"/>
    <s v="Construction of Gram Panchayat office (Frame structure) at Village Zariya Taluka:Shihor Dist. Bhavnagar"/>
    <m/>
    <s v="Shihor"/>
    <s v="Shihor"/>
    <s v="Building"/>
    <s v="Gram Panchayat"/>
    <n v="199712"/>
    <m/>
    <d v="2025-06-29T00:00:00"/>
    <d v="2025-07-10T00:00:00"/>
    <d v="2025-07-11T00:00:00"/>
    <d v="2025-11-07T00:00:00"/>
    <n v="2079935.08"/>
    <m/>
    <n v="1971778.46"/>
    <n v="-5.2"/>
    <s v="Below"/>
    <s v="Nineteen Lakh Seventy One Thousand Seven Hundred Seventy Eight Rupees and Forty Six Paise Only"/>
    <s v="Division"/>
    <m/>
    <n v="1971778.46"/>
    <s v="ASHOKBHAI PARSHOTAMBHAI_x000a_BARAIYA"/>
    <s v="ASHOKBHAI PARSHOTAMBHAI_x000a_BARAIYA"/>
    <s v="At Lapaliya, Post- Nani Rajsthali, Tal. Palitana - 364270"/>
    <n v="9898775037"/>
    <m/>
    <m/>
    <m/>
    <m/>
    <m/>
    <n v="4"/>
    <n v="99000"/>
    <d v="2027-03-08T00:00:00"/>
    <n v="4900"/>
    <n v="0"/>
    <d v="2026-01-17T00:00:00"/>
    <d v="2027-01-07T00:00:00"/>
    <n v="1104"/>
    <d v="2025-08-08T00:00:00"/>
    <m/>
    <m/>
    <m/>
    <m/>
    <m/>
    <m/>
    <m/>
    <m/>
    <m/>
    <m/>
    <m/>
    <m/>
    <m/>
    <d v="2025-08-15T00:00:00"/>
    <m/>
    <m/>
    <m/>
    <m/>
    <m/>
    <m/>
  </r>
  <r>
    <n v="203"/>
    <m/>
    <s v="2025-26"/>
    <x v="7"/>
    <n v="97"/>
    <s v="Construction of Gram Panchayat office (Frame structure) at Village Juni Chhapari Taluka: Talaja Dist. Bhavnagar"/>
    <m/>
    <s v="Talaja"/>
    <s v="Talaja"/>
    <s v="Building"/>
    <s v="Gram Panchayat"/>
    <n v="200162"/>
    <m/>
    <d v="2025-06-29T00:00:00"/>
    <d v="2025-07-10T00:00:00"/>
    <d v="2025-07-11T00:00:00"/>
    <d v="2025-11-07T00:00:00"/>
    <n v="2079935.08"/>
    <m/>
    <n v="1938499.49"/>
    <n v="-6.8"/>
    <s v="Below"/>
    <s v="Nineteen Lakh Thirty Eight Thousand Four Hundred Ninety Nine Rupees and Forty Nine Paise Only"/>
    <s v="Division"/>
    <m/>
    <n v="1938499.49"/>
    <s v="CUBE INFA PROJECTS"/>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2"/>
    <d v="2025-08-08T00:00:00"/>
    <s v="2025-26"/>
    <n v="124"/>
    <d v="2025-08-30T00:00:00"/>
    <s v="FDR"/>
    <s v="ICICI BANK"/>
    <s v="771613001585"/>
    <n v="97000"/>
    <d v="2025-08-20T00:00:00"/>
    <m/>
    <m/>
    <m/>
    <m/>
    <m/>
    <d v="2025-08-30T00:00:00"/>
    <n v="1229"/>
    <d v="2025-08-30T00:00:00"/>
    <m/>
    <m/>
    <m/>
    <m/>
  </r>
  <r>
    <n v="204"/>
    <m/>
    <s v="2025-26"/>
    <x v="7"/>
    <n v="98"/>
    <s v="Construction of Gram Panchayat office (Frame structure) at Village Vejodari Taluka: Talaja Dist. Bhavnagar"/>
    <m/>
    <s v="Talaja"/>
    <s v="Talaja"/>
    <s v="Building"/>
    <s v="Gram Panchayat"/>
    <n v="200169"/>
    <m/>
    <d v="2025-06-29T00:00:00"/>
    <d v="2025-07-10T00:00:00"/>
    <d v="2025-07-11T00:00:00"/>
    <d v="2025-11-07T00:00:00"/>
    <n v="2079935.08"/>
    <m/>
    <n v="1934339.62"/>
    <n v="-7"/>
    <s v="Below"/>
    <s v="Nineteen Lakh Thirty Four Thousand Three Hundred Thirty Nine Rupees and Sixty Two Paise Only"/>
    <s v="Division"/>
    <m/>
    <n v="1934339.62"/>
    <s v="MESHWA DEVELOPERS"/>
    <s v="Modi Bhavik Nareshkumar"/>
    <s v="27, Ganesh Villa Bunglows, Rasian Nagar Society Same, Sidhdhapur Highway Road, Patan"/>
    <n v="7069196333"/>
    <m/>
    <s v="CDP-5"/>
    <m/>
    <m/>
    <m/>
    <n v="4"/>
    <n v="97000"/>
    <d v="2027-05-08T00:00:00"/>
    <n v="4800"/>
    <n v="0"/>
    <d v="2026-03-19T00:00:00"/>
    <d v="2027-03-09T00:00:00"/>
    <n v="1085"/>
    <d v="2025-08-07T00:00:00"/>
    <s v="2025-26"/>
    <n v="181"/>
    <d v="2025-10-13T00:00:00"/>
    <s v="FDR"/>
    <s v="The Mehsana Urban Co-Op. Bank Ltd. Mehsana"/>
    <s v="43201100017171"/>
    <n v="97000"/>
    <d v="2025-09-17T00:00:00"/>
    <m/>
    <m/>
    <m/>
    <m/>
    <m/>
    <d v="2025-10-15T00:00:00"/>
    <n v="1466"/>
    <d v="2025-10-13T00:00:00"/>
    <m/>
    <m/>
    <m/>
    <m/>
  </r>
  <r>
    <n v="205"/>
    <m/>
    <s v="2025-26"/>
    <x v="7"/>
    <n v="99"/>
    <s v="Construction of Gram Panchayat office (Frame structure) at Village Bhalar Taluka: Talaja Dist. Bhavnagar"/>
    <m/>
    <s v="Talaja"/>
    <s v="Talaja"/>
    <s v="Building"/>
    <s v="Gram Panchayat"/>
    <n v="200174"/>
    <m/>
    <d v="2025-06-29T00:00:00"/>
    <d v="2025-07-10T00:00:00"/>
    <d v="2025-07-11T00:00:00"/>
    <d v="2025-11-07T00:00:00"/>
    <n v="2079935.08"/>
    <m/>
    <n v="1948275.19"/>
    <n v="-6.33"/>
    <s v="Below"/>
    <s v="Nineteen Lakh Forty Eight Thousand Two Hundred Seventy Five Rupees and Nineteen Paise Only"/>
    <s v="Division"/>
    <m/>
    <n v="1948275.19"/>
    <s v="VANDEMATARAM CONSTRUCTION"/>
    <s v="(1) Batiya Vishalbhai Vinubhai_x000a_(2) Dhandhukiya Umeshbhai "/>
    <s v="At. Dihor, Tana Varal Road, Shak Market, Ta. Talaja, Dist. Bhavnagar-364150"/>
    <n v="9067752267"/>
    <m/>
    <m/>
    <m/>
    <m/>
    <m/>
    <n v="4"/>
    <n v="98000"/>
    <d v="2027-03-08T00:00:00"/>
    <n v="4900"/>
    <n v="0"/>
    <d v="2026-01-17T00:00:00"/>
    <d v="2027-01-07T00:00:00"/>
    <n v="1097"/>
    <d v="2025-08-08T00:00:00"/>
    <m/>
    <m/>
    <m/>
    <m/>
    <m/>
    <m/>
    <m/>
    <m/>
    <m/>
    <m/>
    <m/>
    <m/>
    <m/>
    <d v="2025-08-15T00:00:00"/>
    <m/>
    <m/>
    <m/>
    <m/>
    <m/>
    <m/>
  </r>
  <r>
    <n v="206"/>
    <m/>
    <s v="2025-26"/>
    <x v="7"/>
    <n v="100"/>
    <s v="Construction of Gram Panchayat office (Frame structure) at Village Mangela Taluka: Talaja Dist. Bhavnagar"/>
    <m/>
    <s v="Talaja"/>
    <s v="Talaja"/>
    <s v="Building"/>
    <s v="Gram Panchayat"/>
    <n v="200178"/>
    <m/>
    <d v="2025-06-29T00:00:00"/>
    <d v="2025-07-10T00:00:00"/>
    <d v="2025-07-11T00:00:00"/>
    <d v="2025-11-07T00:00:00"/>
    <n v="2079935.08"/>
    <m/>
    <n v="1938915.48"/>
    <n v="-6.78"/>
    <s v="Below"/>
    <s v="Nineteen Lakh Thirty Eight Thousand Nine Hundred Fifteen Rupees and Forty Eight Paise Only"/>
    <s v="Division"/>
    <m/>
    <n v="1938915.48"/>
    <s v="CUBE INFA PROJECTS"/>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6"/>
    <d v="2025-08-08T00:00:00"/>
    <s v="2025-26"/>
    <n v="125"/>
    <d v="2025-08-30T00:00:00"/>
    <s v="FDR"/>
    <s v="ICICI BANK"/>
    <s v="771613001588"/>
    <n v="97000"/>
    <d v="2025-08-20T00:00:00"/>
    <m/>
    <m/>
    <m/>
    <m/>
    <m/>
    <d v="2025-08-30T00:00:00"/>
    <n v="1230"/>
    <d v="2025-08-30T00:00:00"/>
    <m/>
    <m/>
    <m/>
    <m/>
  </r>
  <r>
    <n v="207"/>
    <m/>
    <s v="2025-26"/>
    <x v="7"/>
    <n v="101"/>
    <s v="Construction of Gram Panchayat office (Frame structure) at Village Gadhesar Taluka:Talaja Dist. Bhavnagar"/>
    <m/>
    <s v="Talaja"/>
    <s v="Talaja"/>
    <s v="Building"/>
    <s v="Gram Panchayat"/>
    <n v="200180"/>
    <m/>
    <d v="2025-06-29T00:00:00"/>
    <d v="2025-07-10T00:00:00"/>
    <d v="2025-07-11T00:00:00"/>
    <d v="2025-11-07T00:00:00"/>
    <n v="2079935.08"/>
    <m/>
    <n v="1938499.49"/>
    <n v="-6.8"/>
    <s v="Below"/>
    <s v="Nineteen Lakh Thirty Eight Thousand Four Hundred Ninety Nine Rupees and Forty Nine Paise Only"/>
    <s v="Division"/>
    <m/>
    <n v="1938499.49"/>
    <s v="CUBE INFA PROJECTS"/>
    <s v="KISHANKUMAR PATABHAI KALSARIYA"/>
    <s v="Survey No. 374 P/A 2-16, Office No. 2, Left side of Entry Gate of Balkrushna Campus, Gir Gadhada Road, At. Una, Taluka Una, Dist. Gir Somnath - 362560"/>
    <n v="9824251035"/>
    <m/>
    <s v="CDP-5"/>
    <m/>
    <m/>
    <m/>
    <m/>
    <n v="97000"/>
    <d v="2026-11-23T00:00:00"/>
    <n v="4800"/>
    <n v="0"/>
    <d v="2025-10-04T00:00:00"/>
    <d v="2026-09-24T00:00:00"/>
    <n v="1083"/>
    <d v="2025-08-07T00:00:00"/>
    <s v="2025-26"/>
    <n v="126"/>
    <d v="2025-08-30T00:00:00"/>
    <s v="FDR"/>
    <s v="ICICI BANK"/>
    <s v="771613001586"/>
    <n v="97000"/>
    <d v="2025-08-20T00:00:00"/>
    <m/>
    <m/>
    <m/>
    <m/>
    <m/>
    <d v="2025-08-30T00:00:00"/>
    <n v="1231"/>
    <d v="2025-08-30T00:00:00"/>
    <m/>
    <m/>
    <m/>
    <m/>
  </r>
  <r>
    <n v="208"/>
    <m/>
    <s v="2025-26"/>
    <x v="7"/>
    <n v="102"/>
    <s v="Construction of Gram Panchayat office (Frame structure) at Village Vavadi Taluka: Talaja Dist. Bhavnagar"/>
    <m/>
    <s v="Talaja"/>
    <s v="Talaja"/>
    <s v="Building"/>
    <s v="Gram Panchayat"/>
    <n v="200181"/>
    <m/>
    <d v="2025-06-29T00:00:00"/>
    <d v="2025-07-10T00:00:00"/>
    <d v="2025-07-11T00:00:00"/>
    <d v="2025-11-07T00:00:00"/>
    <n v="2079935.08"/>
    <m/>
    <n v="1916036.2"/>
    <n v="-7.88"/>
    <s v="Below"/>
    <s v="Nineteen Lakh Sixteen Thousand Thirty Six Rupees and Two Paise Only"/>
    <s v="Division"/>
    <m/>
    <n v="1916036.2"/>
    <s v="SARVAIYA RAJENDRASINH BAHADURSINH"/>
    <n v="0"/>
    <s v="At Bordi, Post - Borda, Ta. Talaja, Dist. Bhavnagar - 364130"/>
    <n v="0"/>
    <m/>
    <s v="CDP-5"/>
    <m/>
    <m/>
    <m/>
    <n v="4"/>
    <n v="96000"/>
    <d v="2027-03-26T00:00:00"/>
    <n v="4800"/>
    <n v="0"/>
    <d v="2026-02-04T00:00:00"/>
    <d v="2027-01-25T00:00:00"/>
    <n v="1103"/>
    <d v="2025-08-08T00:00:00"/>
    <s v="2025-26"/>
    <n v="140"/>
    <d v="2025-09-02T00:00:00"/>
    <s v="FDR"/>
    <s v="Central Bank of India"/>
    <n v="5856183073"/>
    <n v="96000"/>
    <d v="2025-08-18T00:00:00"/>
    <m/>
    <m/>
    <m/>
    <m/>
    <m/>
    <d v="2025-09-02T00:00:00"/>
    <n v="1251"/>
    <d v="2025-09-02T00:00:00"/>
    <m/>
    <m/>
    <m/>
    <m/>
  </r>
  <r>
    <n v="209"/>
    <m/>
    <s v="2025-26"/>
    <x v="7"/>
    <n v="103"/>
    <s v="Construction of Gram Panchayat office (Frame structure) at Village Ghantarvala Taluka: Talaja Dist. Bhavnagar"/>
    <m/>
    <s v="Talaja"/>
    <s v="Talaja"/>
    <s v="Building"/>
    <s v="Gram Panchayat"/>
    <n v="200182"/>
    <m/>
    <d v="2025-06-29T00:00:00"/>
    <d v="2025-07-10T00:00:00"/>
    <d v="2025-07-11T00:00:00"/>
    <d v="2025-11-07T00:00:00"/>
    <n v="2079935.08"/>
    <m/>
    <n v="1927059.85"/>
    <n v="-7.35"/>
    <s v="Below"/>
    <s v="Nineteen Lakh Twenty Seven Thousand Fifty Nine Rupees and Eighty Five Paise Only"/>
    <s v="Division"/>
    <m/>
    <n v="1927059.85"/>
    <s v="Parishram Construction"/>
    <n v="0"/>
    <s v="Plot No. 37, Street No. 5, Gautameshvar Nagar-2, Chitra, Bhavnagar - 364001"/>
    <n v="9427233858"/>
    <m/>
    <s v="CDP-5"/>
    <m/>
    <m/>
    <m/>
    <n v="4"/>
    <n v="97000"/>
    <d v="2027-03-26T00:00:00"/>
    <n v="4800"/>
    <n v="0"/>
    <d v="2026-02-04T00:00:00"/>
    <d v="2027-01-25T00:00:00"/>
    <n v="1102"/>
    <d v="2025-08-08T00:00:00"/>
    <s v="2025-26"/>
    <n v="137"/>
    <d v="2025-09-02T00:00:00"/>
    <s v="FDR"/>
    <s v="SAURASHTRA GRAMIN BANK"/>
    <n v="78049045980"/>
    <n v="97000"/>
    <d v="2025-08-22T00:00:00"/>
    <m/>
    <m/>
    <m/>
    <m/>
    <m/>
    <d v="2025-09-02T00:00:00"/>
    <n v="1248"/>
    <d v="2025-09-02T00:00:00"/>
    <m/>
    <m/>
    <m/>
    <m/>
  </r>
  <r>
    <n v="210"/>
    <m/>
    <s v="2025-26"/>
    <x v="7"/>
    <n v="104"/>
    <s v="Construction of Gram Panchayat office (Frame structure) at Village Bhadraval-1 Taluka: Talaja Dist. Bhavnagar"/>
    <m/>
    <s v="Talaja"/>
    <s v="Talaja"/>
    <s v="Building"/>
    <s v="Gram Panchayat"/>
    <n v="200183"/>
    <m/>
    <d v="2025-06-29T00:00:00"/>
    <d v="2025-07-10T00:00:00"/>
    <d v="2025-07-11T00:00:00"/>
    <d v="2025-11-07T00:00:00"/>
    <n v="2079935.08"/>
    <m/>
    <n v="1927059.85"/>
    <n v="-7.35"/>
    <s v="Below"/>
    <s v="Nineteen Lakh Twenty Seven Thousand Fifty Nine Rupees and Eighty Five Paise Only"/>
    <s v="Division"/>
    <m/>
    <n v="1927059.85"/>
    <s v="Parishram Construction"/>
    <n v="0"/>
    <s v="Plot No. 37, Street No. 5, Gautameshvar Nagar-2, Chitra, Bhavnagar - 364001"/>
    <n v="9427233858"/>
    <m/>
    <s v="CDP-5"/>
    <m/>
    <m/>
    <m/>
    <n v="4"/>
    <n v="97000"/>
    <d v="2027-03-26T00:00:00"/>
    <n v="4800"/>
    <n v="0"/>
    <d v="2026-02-04T00:00:00"/>
    <d v="2027-01-25T00:00:00"/>
    <n v="1101"/>
    <d v="2025-08-08T00:00:00"/>
    <s v="2025-26"/>
    <n v="138"/>
    <d v="2025-09-02T00:00:00"/>
    <s v="FDR"/>
    <s v="SAURASHTRA GRAMIN BANK"/>
    <n v="78049046008"/>
    <n v="97000"/>
    <d v="2025-08-22T00:00:00"/>
    <m/>
    <m/>
    <m/>
    <m/>
    <m/>
    <d v="2025-09-02T00:00:00"/>
    <n v="1249"/>
    <d v="2025-09-02T00:00:00"/>
    <m/>
    <m/>
    <m/>
    <m/>
  </r>
  <r>
    <n v="211"/>
    <m/>
    <s v="2025-26"/>
    <x v="7"/>
    <n v="10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212"/>
    <m/>
    <s v="2025-26"/>
    <x v="7"/>
    <n v="106"/>
    <s v="Construction of Gram Panchayat office (Frame structure) at Village Ayavej-1 Tal. Jesar Dist. Bhavnagar"/>
    <m/>
    <s v="Jesar"/>
    <s v="Mahuva"/>
    <s v="Building"/>
    <s v="Gram Panchayat"/>
    <n v="200188"/>
    <m/>
    <d v="2025-06-29T00:00:00"/>
    <d v="2025-07-10T00:00:00"/>
    <d v="2025-07-11T00:00:00"/>
    <d v="2025-11-07T00:00:00"/>
    <n v="2079935.08"/>
    <m/>
    <n v="1895028.85"/>
    <n v="-8.89"/>
    <s v="Below"/>
    <s v="Eighteen Lakh Ninety Five Thousand Twenty Eight Rupees and Eighty Five Paise Only"/>
    <s v="Division"/>
    <m/>
    <n v="1895028.85"/>
    <s v="Shri Siddhi Vinayak Construction"/>
    <s v="Labhshankar ladhva"/>
    <s v="At Po. Karmadiya, Via Thaliya, Ta. Mahuva, Dist. Bhavnagar - 364145"/>
    <n v="9825445121"/>
    <m/>
    <s v="CDP-5"/>
    <m/>
    <m/>
    <m/>
    <n v="4"/>
    <n v="95000"/>
    <d v="2027-03-25T00:00:00"/>
    <n v="4700"/>
    <n v="0"/>
    <d v="2026-02-03T00:00:00"/>
    <d v="2027-01-24T00:00:00"/>
    <n v="1091"/>
    <d v="2025-08-08T00:00:00"/>
    <m/>
    <m/>
    <m/>
    <m/>
    <m/>
    <m/>
    <m/>
    <d v="2025-08-18T00:00:00"/>
    <m/>
    <m/>
    <m/>
    <m/>
    <m/>
    <d v="2025-09-01T00:00:00"/>
    <m/>
    <m/>
    <m/>
    <m/>
    <m/>
    <m/>
  </r>
  <r>
    <n v="213"/>
    <m/>
    <s v="2025-26"/>
    <x v="7"/>
    <n v="107"/>
    <s v="Construction of Gram Panchayat office (Frame structure) at Village Datretiya Taluka: Vallabhipur Dist. Bhavnagar"/>
    <m/>
    <s v="Vallabhipur"/>
    <s v="Vallabhipur"/>
    <s v="Building"/>
    <s v="Gram Panchayat"/>
    <n v="200189"/>
    <m/>
    <d v="2025-06-29T00:00:00"/>
    <d v="2025-07-10T00:00:00"/>
    <d v="2025-07-11T00:00:00"/>
    <d v="2025-11-07T00:00:00"/>
    <n v="2079935.08"/>
    <m/>
    <n v="1806839.6"/>
    <n v="-13.13"/>
    <s v="Below"/>
    <s v="Eighteen Lakh Six Thousand Eight Hundred Thirty Nine Rupees and Six Paise Only"/>
    <s v="Division"/>
    <m/>
    <n v="1806839.6"/>
    <s v="EAGLE CONSTRUCTION"/>
    <s v="Pandya Dhairya Bhanushankar"/>
    <s v="At Block No. 296, Street No. 11, Rayjinagar Society, Motibaug Road, Junagadh, Dist. Junagadh"/>
    <n v="7405745505"/>
    <m/>
    <s v="CDP-5"/>
    <m/>
    <m/>
    <m/>
    <n v="4"/>
    <n v="91000"/>
    <d v="2027-03-25T00:00:00"/>
    <n v="5200"/>
    <n v="14000"/>
    <d v="2026-02-03T00:00:00"/>
    <d v="2027-01-24T00:00:00"/>
    <n v="1082"/>
    <d v="2025-08-07T00:00:00"/>
    <s v="2025-26"/>
    <n v="132"/>
    <d v="2025-09-01T00:00:00"/>
    <s v="FDR"/>
    <s v="INDIAN BANK"/>
    <n v="81157135161"/>
    <n v="91000"/>
    <d v="2025-08-25T00:00:00"/>
    <s v="FDR"/>
    <s v="INDIAN BANK"/>
    <n v="8115723852"/>
    <n v="14000"/>
    <d v="2025-08-25T00:00:00"/>
    <d v="2025-09-01T00:00:00"/>
    <n v="1242"/>
    <d v="2025-09-01T00:00:00"/>
    <m/>
    <m/>
    <m/>
    <m/>
  </r>
  <r>
    <n v="214"/>
    <m/>
    <s v="2025-26"/>
    <x v="7"/>
    <n v="108"/>
    <s v="Construction of Gram Panchayat office (Frame structure) at Village Kalyanpur Taluka:Vallabhipur Dist. Bhavnagar"/>
    <m/>
    <s v="Vallabhipur"/>
    <s v="Vallabhipur"/>
    <s v="Building"/>
    <s v="Gram Panchayat"/>
    <n v="200191"/>
    <m/>
    <d v="2025-06-29T00:00:00"/>
    <d v="2025-07-10T00:00:00"/>
    <d v="2025-07-11T00:00:00"/>
    <d v="2025-11-07T00:00:00"/>
    <n v="2079935.08"/>
    <m/>
    <n v="1808919.54"/>
    <n v="-13.03"/>
    <s v="Below"/>
    <s v="Eighteen Lakh Eight Thousand Nine Hundred Nineteen Rupees and Fifty Four Paise Only"/>
    <s v="Division"/>
    <m/>
    <n v="1808919.54"/>
    <s v="EAGLE CONSTRUCTION"/>
    <s v="Pandya Dhairya Bhanushankar"/>
    <s v="At Block No. 296, Street No. 11, Rayjinagar Society, Motibaug Road, Junagadh, Dist. Junagadh"/>
    <n v="7405745505"/>
    <m/>
    <s v="CDP-5"/>
    <m/>
    <m/>
    <m/>
    <n v="4"/>
    <n v="91000"/>
    <d v="2027-03-25T00:00:00"/>
    <n v="5100"/>
    <n v="13000"/>
    <d v="2026-02-03T00:00:00"/>
    <d v="2027-01-24T00:00:00"/>
    <n v="1109"/>
    <d v="2025-08-08T00:00:00"/>
    <s v="2025-26"/>
    <n v="133"/>
    <d v="2025-09-01T00:00:00"/>
    <s v="FDR"/>
    <s v="INDIAN BANK"/>
    <n v="8115717464"/>
    <n v="91000"/>
    <d v="2025-08-25T00:00:00"/>
    <s v="FDR"/>
    <s v="INDIAN BANK"/>
    <n v="8115724641"/>
    <n v="13000"/>
    <d v="2025-08-25T00:00:00"/>
    <d v="2025-09-01T00:00:00"/>
    <n v="1243"/>
    <d v="2025-09-01T00:00:00"/>
    <m/>
    <m/>
    <m/>
    <m/>
  </r>
  <r>
    <n v="215"/>
    <m/>
    <s v="2025-26"/>
    <x v="7"/>
    <n v="109"/>
    <s v="Construction of Gram Panchayat office (Frame structure) at Village Meghavadar Taluka: Vallbhipur Dist. Bhavnagar"/>
    <m/>
    <s v="Vallabhipur"/>
    <s v="Vallabhipur"/>
    <s v="Building"/>
    <s v="Gram Panchayat"/>
    <n v="200193"/>
    <m/>
    <d v="2025-06-29T00:00:00"/>
    <d v="2025-07-10T00:00:00"/>
    <d v="2025-07-11T00:00:00"/>
    <d v="2025-11-07T00:00:00"/>
    <n v="2079935.08"/>
    <m/>
    <n v="1809543.52"/>
    <n v="-13"/>
    <s v="Below"/>
    <s v="Eighteen Lakh Nine Thousand Five Hundred Forty Three Rupees and Fifty Two Paise Only"/>
    <s v="Division"/>
    <m/>
    <n v="1809543.52"/>
    <s v="EAGLE CONSTRUCTION"/>
    <s v="Pandya Dhairya Bhanushankar"/>
    <s v="At Block No. 296, Street No. 11, Rayjinagar Society, Motibaug Road, Junagadh, Dist. Junagadh"/>
    <n v="7405745505"/>
    <m/>
    <s v="CDP-5"/>
    <m/>
    <m/>
    <m/>
    <n v="4"/>
    <n v="91000"/>
    <d v="2027-03-25T00:00:00"/>
    <n v="5100"/>
    <n v="13000"/>
    <d v="2026-02-03T00:00:00"/>
    <d v="2027-01-24T00:00:00"/>
    <n v="1081"/>
    <d v="2025-08-07T00:00:00"/>
    <s v="2025-26"/>
    <n v="134"/>
    <d v="2025-09-01T00:00:00"/>
    <s v="FDR"/>
    <s v="INDIAN BANK"/>
    <n v="8115717689"/>
    <n v="91000"/>
    <d v="2025-08-25T00:00:00"/>
    <s v="FDR"/>
    <s v="INDIAN BANK"/>
    <n v="8115724562"/>
    <n v="13000"/>
    <d v="2025-08-25T00:00:00"/>
    <d v="2025-09-01T00:00:00"/>
    <n v="1244"/>
    <d v="2025-09-01T00:00:00"/>
    <m/>
    <m/>
    <m/>
    <m/>
  </r>
  <r>
    <n v="216"/>
    <m/>
    <s v="2025-26"/>
    <x v="7"/>
    <n v="110"/>
    <s v="Construction of Gram Panchayat office (Frame structure) at Village Pipariya Taluka:Vallabhipur Dist. Bhavnagar"/>
    <m/>
    <s v="Vallabhipur"/>
    <s v="Vallabhipur"/>
    <s v="Building"/>
    <s v="Gram Panchayat"/>
    <n v="200194"/>
    <m/>
    <d v="2025-06-29T00:00:00"/>
    <d v="2025-07-10T00:00:00"/>
    <d v="2025-07-11T00:00:00"/>
    <d v="2025-11-07T00:00:00"/>
    <n v="2079935.08"/>
    <m/>
    <n v="1827846.95"/>
    <n v="-12.12"/>
    <s v="Below"/>
    <s v="Eighteen Lakh Twenty Seven Thousand Eight Hundred Forty Six Rupees and Ninety Five Paise Only"/>
    <s v="Division"/>
    <m/>
    <n v="1827846.95"/>
    <s v="EAGLE CONSTRUCTION"/>
    <s v="Pandya Dhairya Bhanushankar"/>
    <s v="At Block No. 296, Street No. 11, Rayjinagar Society, Motibaug Road, Junagadh, Dist. Junagadh"/>
    <n v="7405745505"/>
    <m/>
    <s v="CDP-5"/>
    <m/>
    <m/>
    <m/>
    <n v="4"/>
    <n v="92000"/>
    <d v="2027-03-25T00:00:00"/>
    <n v="5000"/>
    <n v="9000"/>
    <d v="2026-02-03T00:00:00"/>
    <d v="2027-01-24T00:00:00"/>
    <n v="1084"/>
    <d v="2025-08-07T00:00:00"/>
    <s v="2025-26"/>
    <n v="135"/>
    <d v="2025-09-01T00:00:00"/>
    <s v="FDR"/>
    <s v="INDIAN BANK"/>
    <n v="8115717747"/>
    <n v="92000"/>
    <d v="2025-08-25T00:00:00"/>
    <s v="FDR"/>
    <s v="INDIAN BANK"/>
    <n v="8115723976"/>
    <n v="9000"/>
    <d v="2025-08-25T00:00:00"/>
    <d v="2025-09-01T00:00:00"/>
    <n v="1245"/>
    <d v="2025-09-01T00:00:00"/>
    <m/>
    <m/>
    <m/>
    <m/>
  </r>
  <r>
    <n v="217"/>
    <m/>
    <s v="2025-26"/>
    <x v="7"/>
    <n v="111"/>
    <s v="Construction of Gram Panchayat office (Frame structure) at Village Chada Taluka: Vallabhipur Dist. Bhavnagar"/>
    <m/>
    <s v="Vallabhipur"/>
    <s v="Vallabhipur"/>
    <s v="Building"/>
    <s v="Gram Panchayat"/>
    <n v="200196"/>
    <n v="1"/>
    <d v="2025-06-29T00:00:00"/>
    <d v="2025-07-10T00:00:00"/>
    <d v="2025-07-11T00:00:00"/>
    <d v="2025-11-07T00:00:00"/>
    <n v="2079935.08"/>
    <m/>
    <n v="1848854.29"/>
    <n v="-11.11"/>
    <s v="Below"/>
    <s v="Eighteen Lakh Forty Eight Thousand Eight Hundred Fifty Four Rupees and Twenty Nine Paise Only"/>
    <s v="Division"/>
    <m/>
    <n v="1848854.29"/>
    <s v="EAGLE CONSTRUCTION"/>
    <s v="Pandya Dhairya Bhanushankar"/>
    <s v="At Block No. 296, Street No. 11, Rayjinagar Society, Motibaug Road, Junagadh, Dist. Junagadh"/>
    <n v="7405745505"/>
    <m/>
    <s v="CDP-5"/>
    <m/>
    <m/>
    <m/>
    <n v="4"/>
    <n v="93000"/>
    <d v="2027-03-25T00:00:00"/>
    <n v="4900"/>
    <n v="5000"/>
    <d v="2026-02-03T00:00:00"/>
    <d v="2027-01-24T00:00:00"/>
    <n v="1086"/>
    <d v="2025-08-07T00:00:00"/>
    <s v="2025-26"/>
    <n v="136"/>
    <d v="2025-09-01T00:00:00"/>
    <s v="FDR"/>
    <s v="INDIAN BANK"/>
    <n v="8115718242"/>
    <n v="93000"/>
    <d v="2025-08-25T00:00:00"/>
    <s v="FDR"/>
    <s v="INDIAN BANK"/>
    <n v="8115724028"/>
    <n v="5000"/>
    <d v="2025-08-25T00:00:00"/>
    <d v="2025-09-01T00:00:00"/>
    <n v="1246"/>
    <d v="2025-09-01T00:00:00"/>
    <m/>
    <m/>
    <m/>
    <m/>
  </r>
  <r>
    <n v="218"/>
    <m/>
    <s v="2025-26"/>
    <x v="7"/>
    <n v="112"/>
    <s v="Construction of Gram Panchayat office ( for Population from 5000- 10000) at Village Boradi Tal. Mahuva Dist. Bhavnagar"/>
    <m/>
    <s v="Mahuva"/>
    <s v="Mahuva"/>
    <s v="Building"/>
    <s v="Gram Panchayat"/>
    <n v="200221"/>
    <n v="1"/>
    <d v="2025-06-29T00:00:00"/>
    <d v="2025-07-10T00:00:00"/>
    <d v="2025-07-11T00:00:00"/>
    <d v="2025-11-07T00:00:00"/>
    <n v="2880130.57"/>
    <m/>
    <n v="2880130.57"/>
    <n v="0"/>
    <s v="Equals"/>
    <s v="Twenty Eight Lakh Eighty Thousand One Hundred Thirty Rupees and Fifty Seven Paise Only"/>
    <s v="Division"/>
    <m/>
    <n v="2880130.57"/>
    <s v="kalubhai bholabhai ladumor"/>
    <n v="0"/>
    <s v="At Village Chardika, Ta. Mahuva, Dist. Bhavnagar - "/>
    <n v="9537101694"/>
    <m/>
    <s v="DMF"/>
    <m/>
    <m/>
    <m/>
    <n v="4"/>
    <n v="145000"/>
    <d v="2027-04-24T00:00:00"/>
    <n v="7200"/>
    <n v="0"/>
    <d v="2026-03-05T00:00:00"/>
    <d v="2027-02-23T00:00:00"/>
    <n v="1264"/>
    <d v="2025-09-04T00:00:00"/>
    <s v="2025-26"/>
    <n v="170"/>
    <d v="2025-10-01T00:00:00"/>
    <s v="FDR"/>
    <s v="State Bank of India"/>
    <n v="44485205124"/>
    <n v="145000"/>
    <d v="2025-09-19T00:00:00"/>
    <m/>
    <m/>
    <m/>
    <m/>
    <m/>
    <d v="2025-10-01T00:00:00"/>
    <n v="1411"/>
    <d v="2025-10-01T00:00:00"/>
    <m/>
    <m/>
    <m/>
    <m/>
  </r>
  <r>
    <n v="219"/>
    <m/>
    <s v="2025-26"/>
    <x v="7"/>
    <n v="113"/>
    <s v="Construction of Gram Panchayat office ( for Population from 5000- 10000) at Village Uncha Kotda Tal. Mahuva Dist. Bhavnagar"/>
    <m/>
    <s v="Mahuva"/>
    <s v="Mahuva"/>
    <s v="Building"/>
    <s v="Gram Panchayat"/>
    <n v="200222"/>
    <m/>
    <d v="2025-06-29T00:00:00"/>
    <d v="2025-07-10T00:00:00"/>
    <d v="2025-07-11T00:00:00"/>
    <d v="2025-11-07T00:00:00"/>
    <n v="2880130.57"/>
    <m/>
    <n v="2785662.29"/>
    <n v="-3.28"/>
    <s v="Below"/>
    <s v="Twenty Seven Lakh Eighty Five Thousand Six Hundred Sixty Two Rupees and Twenty Nine Paise Only"/>
    <s v="Division"/>
    <m/>
    <n v="2785662.29"/>
    <s v="SURYADEEP SUPPLIERS"/>
    <s v="Pratapbhai Lakhubhai Beparia"/>
    <s v="At Lothpur, Ta. Jafarabad, Dist. Amreli - 365540"/>
    <n v="9727987777"/>
    <m/>
    <s v="DMF"/>
    <m/>
    <m/>
    <m/>
    <n v="4"/>
    <n v="140000"/>
    <d v="2027-04-04T00:00:00"/>
    <n v="6900"/>
    <n v="0"/>
    <d v="2026-02-13T00:00:00"/>
    <d v="2027-02-03T00:00:00"/>
    <n v="1105"/>
    <d v="2025-08-08T00:00:00"/>
    <s v="2025-26"/>
    <n v="153"/>
    <d v="2025-09-11T00:00:00"/>
    <s v="FDR"/>
    <s v="ICICI BANK"/>
    <s v="162313004877"/>
    <n v="140000"/>
    <d v="2025-08-20T00:00:00"/>
    <m/>
    <m/>
    <m/>
    <m/>
    <m/>
    <d v="2025-09-11T00:00:00"/>
    <n v="1298"/>
    <d v="2025-09-11T00:00:00"/>
    <m/>
    <m/>
    <m/>
    <m/>
  </r>
  <r>
    <n v="220"/>
    <m/>
    <s v="2025-26"/>
    <x v="7"/>
    <n v="114"/>
    <s v="Construction of Primary School Room at Navajaliya Ta:Shihor Dist:Bhavnagar"/>
    <m/>
    <s v="Shihor"/>
    <s v="Shihor"/>
    <s v="Building"/>
    <s v="School Room"/>
    <n v="200223"/>
    <n v="1"/>
    <d v="2025-06-29T00:00:00"/>
    <d v="2025-07-10T00:00:00"/>
    <d v="2025-07-11T00:00:00"/>
    <d v="2025-11-07T00:00:00"/>
    <n v="1634615.63"/>
    <m/>
    <n v="1547490.62"/>
    <n v="-5.33"/>
    <s v="Below"/>
    <s v="Fifteen Lakh Forty Seven Thousand Four Hundred Ninety Rupees and Sixty Two Paise Only"/>
    <s v="Division"/>
    <m/>
    <n v="1547490.62"/>
    <s v="Vivek Construction"/>
    <n v="0"/>
    <s v="467, RAMAPIRDHAR, DIHOR, TALAJA, DIST.  BHAVNAGAR -364150"/>
    <n v="9825755273"/>
    <m/>
    <m/>
    <m/>
    <m/>
    <m/>
    <n v="4"/>
    <n v="78000"/>
    <d v="2027-03-11T00:00:00"/>
    <n v="3900"/>
    <n v="0"/>
    <d v="2026-01-20T00:00:00"/>
    <d v="2027-01-10T00:00:00"/>
    <n v="1004"/>
    <d v="2025-07-23T00:00:00"/>
    <s v="2025-26"/>
    <n v="85"/>
    <d v="2025-08-18T00:00:00"/>
    <s v="FDR"/>
    <s v="State Bank of India"/>
    <n v="44347721147"/>
    <n v="78000"/>
    <d v="2025-08-05T00:00:00"/>
    <m/>
    <m/>
    <m/>
    <m/>
    <m/>
    <d v="2025-08-18T00:00:00"/>
    <n v="1164"/>
    <d v="2025-08-18T00:00:00"/>
    <m/>
    <m/>
    <m/>
    <m/>
  </r>
  <r>
    <n v="221"/>
    <m/>
    <s v="2025-26"/>
    <x v="7"/>
    <n v="115"/>
    <s v="Construction of Primary School Room at Khambha Ta:Shihor Dist:Bhavnagar"/>
    <m/>
    <s v="Shihor"/>
    <s v="Shihor"/>
    <s v="Building"/>
    <s v="School Room"/>
    <n v="200224"/>
    <n v="1"/>
    <d v="2025-06-29T00:00:00"/>
    <d v="2025-07-10T00:00:00"/>
    <d v="2025-07-11T00:00:00"/>
    <d v="2025-11-07T00:00:00"/>
    <n v="1634615.63"/>
    <m/>
    <n v="1471317.53"/>
    <n v="-9.99"/>
    <s v="Below"/>
    <s v="Fourteen Lakh Seventy One Thousand Three Hundred Seventeen Rupees and Fifty Three Paise Only"/>
    <s v="Division"/>
    <m/>
    <n v="1471317.53"/>
    <s v="UDAYBHAI R. LUNSAR"/>
    <s v="UDAYBHAI RAMKUBHAI LUNSAR"/>
    <s v="Shop No. 5, First Floor, Nilkanth Arcade, Opp. Arjun Tokiz, Palitana Road, Gariyadhar- 364505"/>
    <n v="9824226646"/>
    <m/>
    <s v="MP Grant - Shri Masukhbhai Mandaviya Fund - 2023-24"/>
    <m/>
    <m/>
    <m/>
    <n v="4"/>
    <n v="74000"/>
    <d v="2027-03-25T00:00:00"/>
    <n v="3700"/>
    <n v="0"/>
    <d v="2026-02-03T00:00:00"/>
    <d v="2027-01-24T00:00:00"/>
    <n v="1005"/>
    <d v="2025-07-23T00:00:00"/>
    <s v="2025-26"/>
    <n v="130"/>
    <d v="2025-09-01T00:00:00"/>
    <s v="FDR"/>
    <s v="State Bank of India"/>
    <n v="44407093384"/>
    <n v="74000"/>
    <d v="2025-08-26T00:00:00"/>
    <m/>
    <m/>
    <m/>
    <m/>
    <m/>
    <d v="2025-09-01T00:00:00"/>
    <n v="1237"/>
    <d v="2025-09-01T00:00:00"/>
    <m/>
    <m/>
    <m/>
    <m/>
  </r>
  <r>
    <n v="222"/>
    <m/>
    <s v="2025-26"/>
    <x v="7"/>
    <n v="116"/>
    <s v="Construction of Primary School Room at Khambha Plot Ta:Shihor Dist:Bhavnagar"/>
    <m/>
    <s v="Shihor"/>
    <s v="Shihor"/>
    <s v="Building"/>
    <s v="School Room"/>
    <n v="200225"/>
    <n v="1"/>
    <d v="2025-06-29T00:00:00"/>
    <d v="2025-07-10T00:00:00"/>
    <d v="2025-07-11T00:00:00"/>
    <d v="2025-11-07T00:00:00"/>
    <n v="1634615.63"/>
    <m/>
    <n v="1487663.68"/>
    <n v="-8.99"/>
    <s v="Below"/>
    <s v="Fourteen Lakh Eighty Seven Thousand Six Hundred Sixty Three Rupees and Sixty Eight Paise Only"/>
    <s v="Division"/>
    <m/>
    <n v="1487663.68"/>
    <s v="UDAYBHAI R. LUNSAR"/>
    <s v="UDAYBHAI RAMKUBHAI LUNSAR"/>
    <s v="Shop No. 5, First Floor, Nilkanth Arcade, Opp. Arjun Tokiz, Palitana Road, Gariyadhar- 364505"/>
    <n v="9824226646"/>
    <m/>
    <s v="MP Grant - Shri Masukhbhai Mandaviya Fund - 2023-24"/>
    <m/>
    <m/>
    <m/>
    <n v="4"/>
    <n v="75000"/>
    <d v="2027-04-24T00:00:00"/>
    <n v="3700"/>
    <n v="0"/>
    <d v="2026-03-05T00:00:00"/>
    <d v="2027-02-23T00:00:00"/>
    <n v="1006"/>
    <d v="2025-07-23T00:00:00"/>
    <s v="2025-26"/>
    <n v="158"/>
    <d v="2025-09-11T00:00:00"/>
    <s v="FDR"/>
    <s v="State Bank of India"/>
    <n v="44407033363"/>
    <n v="75000"/>
    <d v="2025-08-30T00:00:00"/>
    <m/>
    <m/>
    <m/>
    <m/>
    <m/>
    <d v="2025-10-01T00:00:00"/>
    <n v="1401"/>
    <d v="2025-10-01T00:00:00"/>
    <m/>
    <m/>
    <m/>
    <m/>
  </r>
  <r>
    <n v="223"/>
    <m/>
    <s v="2025-26"/>
    <x v="7"/>
    <n v="117"/>
    <s v="Construction of Primary School Room at Juna Loinchada Ta. Palitana Dist:Bhavnagar"/>
    <m/>
    <s v="Palitana"/>
    <s v="Palitana"/>
    <s v="Building"/>
    <s v="School Room"/>
    <n v="200227"/>
    <n v="1"/>
    <d v="2025-06-29T00:00:00"/>
    <d v="2025-07-10T00:00:00"/>
    <d v="2025-07-11T00:00:00"/>
    <d v="2025-11-07T00:00:00"/>
    <n v="1634615.63"/>
    <m/>
    <n v="1514798.3"/>
    <n v="-7.33"/>
    <s v="Below"/>
    <s v="Fifteen Lakh Fourteen Thousand Seven Hundred Ninety Eight Rupees and Three Paise Only"/>
    <s v="Division"/>
    <m/>
    <n v="1514798.3"/>
    <s v="Aarti Construction"/>
    <n v="0"/>
    <s v="Shetrunji Dam, Nani Paniyali, Palitana, Bhavnagar-364270"/>
    <n v="8140303377"/>
    <m/>
    <s v="MP Grant - Shri Masukhbhai Mandaviya Fund - 2023-24"/>
    <m/>
    <m/>
    <m/>
    <n v="4"/>
    <n v="76000"/>
    <d v="2027-03-19T00:00:00"/>
    <n v="3800"/>
    <n v="0"/>
    <d v="2026-01-28T00:00:00"/>
    <d v="2027-01-18T00:00:00"/>
    <n v="1007"/>
    <d v="2025-07-23T00:00:00"/>
    <s v="2025-26"/>
    <n v="105"/>
    <d v="2025-08-26T00:00:00"/>
    <s v="FDR"/>
    <s v="SAURASHTRA GRAMIN BANK"/>
    <n v="78049077886"/>
    <n v="76000"/>
    <d v="2025-08-25T00:00:00"/>
    <m/>
    <m/>
    <m/>
    <m/>
    <m/>
    <d v="2025-08-26T00:00:00"/>
    <n v="1195"/>
    <d v="2025-08-26T00:00:00"/>
    <m/>
    <m/>
    <m/>
    <m/>
  </r>
  <r>
    <n v="224"/>
    <m/>
    <s v="2025-26"/>
    <x v="7"/>
    <n v="118"/>
    <s v="Construction of Primary School Room at Navagam Ta.Palitana Dist:Bhavnagar"/>
    <m/>
    <s v="Palitana"/>
    <s v="Palitana"/>
    <s v="Building"/>
    <s v="School Room"/>
    <n v="200229"/>
    <n v="1"/>
    <d v="2025-06-29T00:00:00"/>
    <d v="2025-07-10T00:00:00"/>
    <d v="2025-07-11T00:00:00"/>
    <d v="2025-11-07T00:00:00"/>
    <n v="1634615.63"/>
    <m/>
    <n v="1499432.92"/>
    <n v="-8.27"/>
    <s v="Below"/>
    <s v="Fourteen Lakh Ninety Nine Thousand Four Hundred Thirty Two Rupees and Ninety Two Paise Only"/>
    <s v="Division"/>
    <m/>
    <n v="1499432.92"/>
    <s v="Jaysukhbhai Dhirubhai Sardhara"/>
    <n v="0"/>
    <s v="Fulwadi Faliya, Uchchhal-2, Tal. Uchchhal, Dist. Tapi- 394375"/>
    <n v="9016414291"/>
    <m/>
    <s v="MP Grant - Shri Masukhbhai Mandaviya Fund - 2023-24"/>
    <m/>
    <m/>
    <m/>
    <n v="4"/>
    <n v="75000"/>
    <d v="2027-03-18T00:00:00"/>
    <n v="3700"/>
    <n v="0"/>
    <d v="2026-01-27T00:00:00"/>
    <d v="2027-01-17T00:00:00"/>
    <n v="1008"/>
    <d v="2025-07-23T00:00:00"/>
    <s v="2025-26"/>
    <n v="103"/>
    <d v="2025-08-25T00:00:00"/>
    <s v="FDR"/>
    <s v="State Bank of India"/>
    <n v="44393877928"/>
    <n v="75000"/>
    <d v="2025-08-21T00:00:00"/>
    <m/>
    <m/>
    <m/>
    <m/>
    <m/>
    <d v="2025-08-25T00:00:00"/>
    <n v="1188"/>
    <d v="2025-08-25T00:00:00"/>
    <m/>
    <m/>
    <m/>
    <m/>
  </r>
  <r>
    <n v="225"/>
    <m/>
    <s v="2025-26"/>
    <x v="7"/>
    <n v="119"/>
    <s v="Construction of Primary School Room at Anida (Kumbhan) Ta. Palitana Dist:Bhavnagar"/>
    <m/>
    <s v="Palitana"/>
    <s v="Palitana"/>
    <s v="Building"/>
    <s v="School Room"/>
    <n v="200231"/>
    <n v="1"/>
    <d v="2025-06-29T00:00:00"/>
    <d v="2025-07-10T00:00:00"/>
    <d v="2025-07-11T00:00:00"/>
    <d v="2025-11-07T00:00:00"/>
    <n v="1634615.63"/>
    <m/>
    <n v="1499432.92"/>
    <n v="-8.27"/>
    <s v="Below"/>
    <s v="Fourteen Lakh Ninety Nine Thousand Four Hundred Thirty Two Rupees and Ninety Two Paise Only"/>
    <s v="Division"/>
    <m/>
    <n v="1499432.92"/>
    <s v="Jaysukhbhai Dhirubhai Sardhara"/>
    <n v="0"/>
    <s v="Fulwadi Faliya, Uchchhal-2, Tal. Uchchhal, Dist. Tapi- 394375"/>
    <n v="9016414291"/>
    <m/>
    <s v="MP Grant - Shri Masukhbhai Mandaviya Fund - 2023-24"/>
    <m/>
    <m/>
    <m/>
    <n v="4"/>
    <n v="75000"/>
    <d v="2027-03-18T00:00:00"/>
    <n v="3700"/>
    <n v="0"/>
    <d v="2026-01-27T00:00:00"/>
    <d v="2027-01-17T00:00:00"/>
    <n v="1009"/>
    <d v="2025-07-23T00:00:00"/>
    <s v="2025-26"/>
    <n v="104"/>
    <d v="2025-08-25T00:00:00"/>
    <s v="FDR"/>
    <s v="State Bank of India"/>
    <n v="44393950207"/>
    <n v="75000"/>
    <d v="2025-08-21T00:00:00"/>
    <m/>
    <m/>
    <m/>
    <m/>
    <m/>
    <d v="2025-08-25T00:00:00"/>
    <n v="1189"/>
    <d v="2025-08-25T00:00:00"/>
    <m/>
    <m/>
    <m/>
    <m/>
  </r>
  <r>
    <n v="226"/>
    <m/>
    <s v="2025-26"/>
    <x v="7"/>
    <n v="120"/>
    <s v="Construction of Primary School Room at Luvarvav Ta. Palitana Dist:Bhavnagar"/>
    <m/>
    <s v="Palitana"/>
    <s v="Palitana"/>
    <s v="Building"/>
    <s v="School Room"/>
    <n v="200322"/>
    <n v="1"/>
    <d v="2025-06-29T00:00:00"/>
    <d v="2025-07-10T00:00:00"/>
    <d v="2025-07-11T00:00:00"/>
    <d v="2025-11-07T00:00:00"/>
    <n v="806983.54"/>
    <m/>
    <n v="731691.98"/>
    <n v="-9.33"/>
    <s v="Below"/>
    <s v="Seven Lakh Thirty One Thousand Six Hundred Ninety One Rupees and Ninety Eight Paise Only"/>
    <s v="Division"/>
    <m/>
    <n v="731691.98"/>
    <s v="Aarti Construction"/>
    <n v="0"/>
    <s v="Shetrunji Dam, Nani Paniyali, Palitana, Bhavnagar-364270"/>
    <n v="8140303377"/>
    <m/>
    <s v="MP Grant - Shri Masukhbhai Mandaviya Fund - 2023-24"/>
    <m/>
    <m/>
    <m/>
    <n v="3"/>
    <n v="37000"/>
    <d v="2027-02-17T00:00:00"/>
    <n v="1900"/>
    <n v="0"/>
    <d v="2025-12-29T00:00:00"/>
    <d v="2026-12-19T00:00:00"/>
    <n v="1010"/>
    <d v="2025-07-23T00:00:00"/>
    <s v="2025-26"/>
    <n v="106"/>
    <d v="2025-08-26T00:00:00"/>
    <s v="FDR"/>
    <s v="SAURASHTRA GRAMIN BANK"/>
    <n v="78049077842"/>
    <n v="37000"/>
    <d v="2025-08-25T00:00:00"/>
    <m/>
    <m/>
    <m/>
    <m/>
    <m/>
    <d v="2025-08-26T00:00:00"/>
    <n v="1196"/>
    <d v="2025-08-26T00:00:00"/>
    <m/>
    <m/>
    <m/>
    <m/>
  </r>
  <r>
    <n v="227"/>
    <m/>
    <s v="2025-26"/>
    <x v="7"/>
    <n v="121"/>
    <s v="Construction of Primary School Room at Jaliya (Anko) Ta. Palitana Dist:Bhavnagar"/>
    <m/>
    <s v="Palitana"/>
    <s v="Palitana"/>
    <s v="Building"/>
    <s v="School Room"/>
    <n v="200341"/>
    <n v="1"/>
    <d v="2025-06-29T00:00:00"/>
    <d v="2025-07-10T00:00:00"/>
    <d v="2025-07-11T00:00:00"/>
    <d v="2025-11-07T00:00:00"/>
    <n v="806983.54"/>
    <m/>
    <n v="747831.65"/>
    <n v="-7.33"/>
    <s v="Below"/>
    <s v="Seven Lakh Forty Seven Thousand Eight Hundred Thirty One Rupees and Sixty Five Paise Only"/>
    <s v="Division"/>
    <m/>
    <n v="747831.65"/>
    <s v="Aarti Construction"/>
    <n v="0"/>
    <s v="Shetrunji Dam, Nani Paniyali, Palitana, Bhavnagar-364270"/>
    <n v="8140303377"/>
    <m/>
    <s v="MP Grant - Shri Masukhbhai Mandaviya Fund - 2023-24"/>
    <m/>
    <m/>
    <m/>
    <n v="3"/>
    <n v="38000"/>
    <d v="2027-02-17T00:00:00"/>
    <n v="1900"/>
    <n v="0"/>
    <d v="2025-12-29T00:00:00"/>
    <d v="2026-12-19T00:00:00"/>
    <n v="1011"/>
    <d v="2025-07-23T00:00:00"/>
    <s v="2025-26"/>
    <n v="107"/>
    <d v="2025-08-26T00:00:00"/>
    <s v="FDR"/>
    <s v="SAURASHTRA GRAMIN BANK"/>
    <n v="78049077922"/>
    <n v="38000"/>
    <d v="2025-08-25T00:00:00"/>
    <m/>
    <m/>
    <m/>
    <m/>
    <m/>
    <d v="2025-08-26T00:00:00"/>
    <n v="1197"/>
    <d v="2025-08-26T00:00:00"/>
    <m/>
    <m/>
    <m/>
    <m/>
  </r>
  <r>
    <n v="228"/>
    <m/>
    <s v="2025-26"/>
    <x v="7"/>
    <n v="122"/>
    <s v="Construction of Primary School Room at Bhundarakha-2 Ta. Palitana Dist:Bhavnagar"/>
    <m/>
    <s v="Palitana"/>
    <s v="Palitana"/>
    <s v="Building"/>
    <s v="School Room"/>
    <n v="200352"/>
    <n v="1"/>
    <d v="2025-06-29T00:00:00"/>
    <d v="2025-07-10T00:00:00"/>
    <d v="2025-07-11T00:00:00"/>
    <d v="2025-11-07T00:00:00"/>
    <n v="806983.54"/>
    <m/>
    <n v="723622.14"/>
    <n v="-10.33"/>
    <s v="Below"/>
    <s v="Seven Lakh Twenty Three Thousand Six Hundred Twenty Two Rupees and Fourteen Paise Only"/>
    <s v="Division"/>
    <m/>
    <n v="723622.14"/>
    <s v="Aarti Construction"/>
    <n v="0"/>
    <s v="Shetrunji Dam, Nani Paniyali, Palitana, Bhavnagar-364270"/>
    <n v="8140303377"/>
    <m/>
    <s v="MP Grant - Shri Masukhbhai Mandaviya Fund - 2023-24"/>
    <m/>
    <m/>
    <m/>
    <n v="3"/>
    <n v="37000"/>
    <d v="2027-02-19T00:00:00"/>
    <n v="1900"/>
    <n v="1000"/>
    <d v="2025-12-31T00:00:00"/>
    <d v="2026-12-21T00:00:00"/>
    <n v="1012"/>
    <d v="2025-07-23T00:00:00"/>
    <s v="2025-26"/>
    <n v="114"/>
    <d v="2025-08-28T00:00:00"/>
    <s v="FDR"/>
    <s v="SAURASHTRA GRAMIN BANK"/>
    <n v="78049076791"/>
    <n v="37000"/>
    <d v="2025-08-25T00:00:00"/>
    <s v="FDR"/>
    <s v="SAURASHTRA GRAMIN BANK"/>
    <n v="78049106365"/>
    <n v="1000"/>
    <d v="2025-08-28T00:00:00"/>
    <d v="2025-08-28T00:00:00"/>
    <n v="1198"/>
    <d v="2025-08-28T00:00:00"/>
    <m/>
    <m/>
    <m/>
    <m/>
  </r>
  <r>
    <n v="229"/>
    <m/>
    <s v="2025-26"/>
    <x v="7"/>
    <n v="123"/>
    <s v="Construction of Primary School Room at Motishree Ta. Palitana Dist:Bhavnagar"/>
    <m/>
    <s v="Palitana"/>
    <s v="Palitana"/>
    <s v="Building"/>
    <s v="School Room"/>
    <n v="200385"/>
    <n v="1"/>
    <d v="2025-06-29T00:00:00"/>
    <d v="2025-07-10T00:00:00"/>
    <d v="2025-07-11T00:00:00"/>
    <d v="2025-11-07T00:00:00"/>
    <n v="1303576.82"/>
    <m/>
    <n v="1210892.51"/>
    <n v="-7.11"/>
    <s v="Below"/>
    <s v="Twelve Lakh Ten Thousand Eight Hundred Ninety Two Rupees and Fifty One Paise Only"/>
    <s v="Division"/>
    <m/>
    <n v="1210892.51"/>
    <s v="KAIRAV CONSTRUCTION"/>
    <s v="JATINKUMAR RAMESHBHAI GOYANI"/>
    <s v="SHOP NO. 3, GROUND FLOOR, PARVADI GAM, GARIYADHAR SANOSARA ROAD, PARAVADI, TA. GARIYADHAR, DIST. BHAVNAGAR-364505"/>
    <n v="9016319324"/>
    <m/>
    <s v="MP Grant - Shri Masukhbhai Mandaviya Fund - 2023-24"/>
    <m/>
    <m/>
    <m/>
    <n v="4"/>
    <n v="61000"/>
    <d v="2027-03-05T00:00:00"/>
    <n v="3000"/>
    <n v="0"/>
    <d v="2026-01-14T00:00:00"/>
    <d v="2027-01-04T00:00:00"/>
    <n v="1013"/>
    <d v="2025-07-23T00:00:00"/>
    <s v="2025-26"/>
    <n v="81"/>
    <d v="2025-08-12T00:00:00"/>
    <s v="FDR"/>
    <s v="SAURASHTRA GRAMIN BANK"/>
    <n v="78048848377"/>
    <n v="61000"/>
    <d v="2025-08-04T00:00:00"/>
    <m/>
    <m/>
    <m/>
    <m/>
    <m/>
    <d v="2025-08-12T00:00:00"/>
    <n v="1059"/>
    <d v="2025-08-12T00:00:00"/>
    <m/>
    <m/>
    <m/>
    <m/>
  </r>
  <r>
    <n v="230"/>
    <m/>
    <s v="2025-26"/>
    <x v="7"/>
    <n v="124"/>
    <s v="Construction of Primary School Room at Anida (LA) Ta. Palitana Dist:Bhavnagar"/>
    <m/>
    <s v="Palitana"/>
    <s v="Palitana"/>
    <s v="Building"/>
    <s v="School Room"/>
    <n v="200392"/>
    <n v="1"/>
    <d v="2025-06-29T00:00:00"/>
    <d v="2025-07-10T00:00:00"/>
    <d v="2025-07-11T00:00:00"/>
    <d v="2025-11-07T00:00:00"/>
    <n v="2420954.2000000002"/>
    <m/>
    <n v="2170869.63"/>
    <n v="-10.33"/>
    <s v="Below"/>
    <s v="Twenty One Lakh Seventy Thousand Eight Hundred Sixty Nine Rupees and Sixty Three Paise Only"/>
    <s v="Division"/>
    <m/>
    <n v="2170869.63"/>
    <s v="Aarti Construction"/>
    <n v="0"/>
    <s v="Shetrunji Dam, Nani Paniyali, Palitana, Bhavnagar-364270"/>
    <n v="8140303377"/>
    <m/>
    <s v="MP Grant - Shri Masukhbhai Mandaviya Fund - 2023-24"/>
    <m/>
    <m/>
    <m/>
    <n v="4"/>
    <n v="109000"/>
    <d v="2027-03-21T00:00:00"/>
    <n v="5500"/>
    <n v="2000"/>
    <d v="2026-01-30T00:00:00"/>
    <d v="2027-01-20T00:00:00"/>
    <n v="1014"/>
    <d v="2025-07-23T00:00:00"/>
    <s v="2025-26"/>
    <n v="115"/>
    <d v="2025-08-28T00:00:00"/>
    <s v="FDR"/>
    <s v="SAURASHTRA GRAMIN BANK"/>
    <n v="78049077853"/>
    <n v="109000"/>
    <d v="2025-08-25T00:00:00"/>
    <s v="FDR"/>
    <s v="SAURASHTRA GRAMIN BANK"/>
    <n v="78049106332"/>
    <n v="2000"/>
    <d v="2025-08-28T00:00:00"/>
    <d v="2025-08-28T00:00:00"/>
    <n v="1199"/>
    <d v="2025-08-28T00:00:00"/>
    <m/>
    <m/>
    <m/>
    <m/>
  </r>
  <r>
    <n v="231"/>
    <m/>
    <s v="2025-26"/>
    <x v="7"/>
    <n v="125"/>
    <m/>
    <m/>
    <m/>
    <e v="#N/A"/>
    <s v="Building"/>
    <s v="School Room"/>
    <m/>
    <n v="1"/>
    <d v="2025-06-29T00:00:00"/>
    <d v="2025-07-10T00:00:00"/>
    <d v="2025-07-11T00:00:00"/>
    <d v="2025-11-07T00:00:00"/>
    <m/>
    <s v="Yes"/>
    <m/>
    <m/>
    <s v="Equals"/>
    <s v="Zero Rupees Only"/>
    <s v="Division"/>
    <m/>
    <n v="0"/>
    <m/>
    <n v="0"/>
    <n v="0"/>
    <n v="0"/>
    <m/>
    <s v="MP Grant - Shri Masukhbhai Mandaviya Fund - 2023-24"/>
    <m/>
    <m/>
    <m/>
    <m/>
    <n v="0"/>
    <d v="1901-03-25T00:00:00"/>
    <n v="0"/>
    <n v="0"/>
    <d v="1900-02-03T00:00:00"/>
    <d v="1901-01-24T00:00:00"/>
    <m/>
    <m/>
    <m/>
    <m/>
    <m/>
    <m/>
    <m/>
    <m/>
    <m/>
    <m/>
    <m/>
    <m/>
    <m/>
    <m/>
    <m/>
    <m/>
    <m/>
    <m/>
    <m/>
    <m/>
    <m/>
    <m/>
  </r>
  <r>
    <n v="232"/>
    <m/>
    <s v="2025-26"/>
    <x v="7"/>
    <n v="126"/>
    <s v="Construction of Primary School Room at Medha Ta.Palitana Dist:Bhavnagar"/>
    <m/>
    <s v="Palitana"/>
    <s v="Palitana"/>
    <s v="Building"/>
    <s v="School Room"/>
    <n v="200400"/>
    <n v="1"/>
    <d v="2025-06-29T00:00:00"/>
    <d v="2025-07-10T00:00:00"/>
    <d v="2025-07-11T00:00:00"/>
    <d v="2025-11-07T00:00:00"/>
    <n v="2420954.2000000002"/>
    <m/>
    <n v="2122450.5499999998"/>
    <n v="-12.33"/>
    <s v="Below"/>
    <s v="Twenty One Lakh Twenty Two Thousand Four Hundred Fifty Rupees and Fifty Five Paise Only"/>
    <s v="Division"/>
    <m/>
    <n v="2122450.5499999998"/>
    <s v="Aarti Construction"/>
    <n v="0"/>
    <s v="Shetrunji Dam, Nani Paniyali, Palitana, Bhavnagar-364270"/>
    <n v="8140303377"/>
    <m/>
    <s v="MP Grant - Shri Masukhbhai Mandaviya Fund - 2023-24"/>
    <m/>
    <m/>
    <m/>
    <n v="4"/>
    <n v="107000"/>
    <d v="2027-03-21T00:00:00"/>
    <n v="5900"/>
    <n v="12000"/>
    <d v="2026-01-30T00:00:00"/>
    <d v="2027-01-20T00:00:00"/>
    <n v="1015"/>
    <d v="2025-07-23T00:00:00"/>
    <s v="2025-26"/>
    <n v="116"/>
    <d v="2025-08-28T00:00:00"/>
    <s v="FDR"/>
    <s v="SAURASHTRA GRAMIN BANK"/>
    <n v="78049077864"/>
    <n v="107000"/>
    <d v="2025-08-25T00:00:00"/>
    <s v="FDR"/>
    <s v="SAURASHTRA GRAMIN BANK"/>
    <n v="78049106321"/>
    <n v="12000"/>
    <d v="2025-08-28T00:00:00"/>
    <d v="2025-08-28T00:00:00"/>
    <n v="1200"/>
    <d v="2025-08-28T00:00:00"/>
    <m/>
    <m/>
    <m/>
    <m/>
  </r>
  <r>
    <n v="233"/>
    <m/>
    <s v="2025-26"/>
    <x v="7"/>
    <n v="127"/>
    <s v="Construction of Primary School Room at Borada Ta. Talaja Dist:Bhavnagar"/>
    <m/>
    <s v="Talaja"/>
    <s v="Talaja"/>
    <s v="Building"/>
    <s v="School Room"/>
    <n v="200232"/>
    <n v="1"/>
    <d v="2025-06-29T00:00:00"/>
    <d v="2025-07-10T00:00:00"/>
    <d v="2025-07-11T00:00:00"/>
    <d v="2025-11-07T00:00:00"/>
    <n v="1634615.63"/>
    <m/>
    <n v="1514961.77"/>
    <n v="-7.32"/>
    <s v="Below"/>
    <s v="Fifteen Lakh Fourteen Thousand Nine Hundred Sixty One Rupees and Seventy Seven Paise Only"/>
    <s v="Division"/>
    <m/>
    <n v="1514961.77"/>
    <s v="CUBE INFA PROJECTS"/>
    <s v="KISHANKUMAR PATABHAI KALSARIYA"/>
    <s v="Survey No. 374 P/A 2-16, Office No. 2, Left side of Entry Gate of Balkrushna Campus, Gir Gadhada Road, At. Una, Taluka Una, Dist. Gir Somnath - 362560"/>
    <n v="9824251035"/>
    <m/>
    <s v="MP Grant - Shri Masukhbhai Mandaviya Fund - 2023-24"/>
    <m/>
    <m/>
    <m/>
    <n v="4"/>
    <n v="76000"/>
    <d v="2027-03-05T00:00:00"/>
    <n v="3800"/>
    <n v="0"/>
    <d v="2026-01-14T00:00:00"/>
    <d v="2027-01-04T00:00:00"/>
    <n v="1016"/>
    <d v="2025-07-23T00:00:00"/>
    <s v="2025-26"/>
    <n v="82"/>
    <d v="2025-08-12T00:00:00"/>
    <s v="FDR"/>
    <s v="ICICI BANK"/>
    <n v="771613001573"/>
    <n v="76000"/>
    <d v="2025-07-30T00:00:00"/>
    <m/>
    <m/>
    <m/>
    <m/>
    <m/>
    <d v="2025-08-12T00:00:00"/>
    <n v="1060"/>
    <d v="2025-08-12T00:00:00"/>
    <m/>
    <m/>
    <m/>
    <m/>
  </r>
  <r>
    <n v="234"/>
    <m/>
    <s v="2025-26"/>
    <x v="7"/>
    <n v="128"/>
    <s v="Construction of Primary School Room at Makhaniya Ta. Talaja Dist:Bhavnagar"/>
    <m/>
    <s v="Talaja"/>
    <s v="Talaja"/>
    <s v="Building"/>
    <s v="School Room"/>
    <n v="200234"/>
    <n v="1"/>
    <d v="2025-06-29T00:00:00"/>
    <d v="2025-07-10T00:00:00"/>
    <d v="2025-07-11T00:00:00"/>
    <d v="2025-11-07T00:00:00"/>
    <n v="1634615.63"/>
    <m/>
    <n v="1580182.93"/>
    <n v="-3.33"/>
    <s v="Below"/>
    <s v="Fifteen Lakh Eighty Thousand One Hundred Eighty Two Rupees and Ninety Three Paise Only"/>
    <s v="Division"/>
    <m/>
    <n v="1580182.93"/>
    <s v="VANDEMATARAM CONSTRUCTION"/>
    <s v="(1) Batiya Vishalbhai Vinubhai_x000a_(2) Dhandhukiya Umeshbhai "/>
    <s v="At. Dihor, Tana Varal Road, Shak Market, Ta. Talaja, Dist. Bhavnagar-364150"/>
    <n v="9067752267"/>
    <m/>
    <s v="MP Grant - Shri Masukhbhai Mandaviya Fund - 2023-24"/>
    <m/>
    <m/>
    <m/>
    <n v="4"/>
    <n v="80000"/>
    <d v="2027-03-18T00:00:00"/>
    <n v="4000"/>
    <n v="0"/>
    <d v="2026-01-27T00:00:00"/>
    <d v="2027-01-17T00:00:00"/>
    <n v="1017"/>
    <d v="2025-07-23T00:00:00"/>
    <s v="2025-26"/>
    <n v="101"/>
    <d v="2025-08-25T00:00:00"/>
    <s v="FDR"/>
    <s v="State Bank of India"/>
    <n v="44378510403"/>
    <n v="80000"/>
    <d v="2025-08-14T00:00:00"/>
    <m/>
    <m/>
    <m/>
    <m/>
    <m/>
    <d v="2025-08-25T00:00:00"/>
    <n v="1186"/>
    <d v="2025-08-25T00:00:00"/>
    <m/>
    <m/>
    <m/>
    <m/>
  </r>
  <r>
    <n v="235"/>
    <m/>
    <s v="2025-26"/>
    <x v="7"/>
    <n v="129"/>
    <s v="Construction of Primary School Room at Juni Chhapari Ta. Talaja Dist:Bhavnagar"/>
    <m/>
    <s v="Talaja"/>
    <s v="Talaja"/>
    <s v="Building"/>
    <s v="School Room"/>
    <n v="200236"/>
    <n v="1"/>
    <d v="2025-06-29T00:00:00"/>
    <d v="2025-07-10T00:00:00"/>
    <d v="2025-07-11T00:00:00"/>
    <d v="2025-11-07T00:00:00"/>
    <n v="1634615.63"/>
    <m/>
    <n v="1522154.07"/>
    <n v="-6.88"/>
    <s v="Below"/>
    <s v="Fifteen Lakh Twenty Two Thousand One Hundred Fifty Four Rupees and Seven Paise Only"/>
    <s v="Division"/>
    <m/>
    <n v="1522154.07"/>
    <s v="VANDEMATARAM CONSTRUCTION"/>
    <s v="(1) Batiya Vishalbhai Vinubhai_x000a_(2) Dhandhukiya Umeshbhai "/>
    <s v="At. Dihor, Tana Varal Road, Shak Market, Ta. Talaja, Dist. Bhavnagar-364150"/>
    <n v="9067752267"/>
    <m/>
    <s v="MP Grant - Shri Masukhbhai Mandaviya Fund - 2023-24"/>
    <m/>
    <m/>
    <m/>
    <n v="4"/>
    <n v="77000"/>
    <d v="2027-02-22T00:00:00"/>
    <n v="3800"/>
    <n v="0"/>
    <d v="2026-01-03T00:00:00"/>
    <d v="2026-12-24T00:00:00"/>
    <n v="1018"/>
    <d v="2025-07-23T00:00:00"/>
    <s v="2025-26"/>
    <n v="160"/>
    <d v="2025-09-22T00:00:00"/>
    <s v="FDR"/>
    <s v="State Bank of India"/>
    <n v="44347236849"/>
    <n v="78000"/>
    <d v="2025-09-12T00:00:00"/>
    <m/>
    <m/>
    <m/>
    <m/>
    <m/>
    <d v="2025-08-01T00:00:00"/>
    <n v="1373"/>
    <d v="2025-09-22T00:00:00"/>
    <m/>
    <m/>
    <m/>
    <m/>
  </r>
  <r>
    <n v="236"/>
    <m/>
    <s v="2025-26"/>
    <x v="7"/>
    <n v="130"/>
    <s v="Construction of Primary School Room at Sosiya Ta. Talaja Dist:Bhavnagar"/>
    <m/>
    <s v="Talaja"/>
    <s v="Talaja"/>
    <s v="Building"/>
    <s v="School Room"/>
    <n v="200237"/>
    <n v="1"/>
    <d v="2025-06-29T00:00:00"/>
    <d v="2025-07-10T00:00:00"/>
    <d v="2025-07-11T00:00:00"/>
    <d v="2025-11-07T00:00:00"/>
    <n v="1634615.63"/>
    <m/>
    <n v="1607481.01"/>
    <n v="-1.66"/>
    <s v="Below"/>
    <s v="Sixteen Lakh Seven Thousand Four Hundred Eighty One Rupees and One Paise Only"/>
    <s v="Division"/>
    <m/>
    <n v="1607481.01"/>
    <s v="GOPNATHJI CONSTRUCTIONS PRIVATE LIMITED"/>
    <n v="0"/>
    <s v="185, Reliya Plot Vistar, Reliya, Tal. Talaja, Dist. Bhavnagar-364135"/>
    <n v="9737944545"/>
    <m/>
    <s v="MP Grant - Shri Masukhbhai Mandaviya Fund - 2023-24"/>
    <m/>
    <m/>
    <m/>
    <n v="4"/>
    <n v="81000"/>
    <d v="2027-03-05T00:00:00"/>
    <n v="4000"/>
    <n v="0"/>
    <d v="2026-01-14T00:00:00"/>
    <d v="2027-01-04T00:00:00"/>
    <n v="1019"/>
    <d v="2025-07-23T00:00:00"/>
    <s v="2025-26"/>
    <n v="77"/>
    <d v="2025-08-12T00:00:00"/>
    <s v="FDR"/>
    <s v="State Bank of India"/>
    <n v="44339292582"/>
    <n v="81000"/>
    <d v="2025-08-02T00:00:00"/>
    <m/>
    <m/>
    <m/>
    <m/>
    <m/>
    <d v="2025-08-12T00:00:00"/>
    <n v="1055"/>
    <d v="2025-08-12T00:00:00"/>
    <m/>
    <m/>
    <m/>
    <m/>
  </r>
  <r>
    <n v="237"/>
    <m/>
    <s v="2025-26"/>
    <x v="7"/>
    <n v="131"/>
    <s v="Construction of Primary School Room at Nichadi Ta. Talaja Dist:Bhavnagar"/>
    <m/>
    <s v="Talaja"/>
    <s v="Talaja"/>
    <s v="Building"/>
    <s v="School Room"/>
    <n v="200360"/>
    <n v="1"/>
    <d v="2025-06-29T00:00:00"/>
    <d v="2025-07-10T00:00:00"/>
    <d v="2025-07-11T00:00:00"/>
    <d v="2025-11-07T00:00:00"/>
    <n v="806983.54"/>
    <m/>
    <n v="772928.83"/>
    <n v="-4.22"/>
    <s v="Below"/>
    <s v="Seven Lakh Seventy Two Thousand Nine Hundred Twenty Eight Rupees and Eighty Three Paise Only"/>
    <s v="Division"/>
    <m/>
    <n v="772928.83"/>
    <s v="R J BHAMMAR CONSTRUCTION"/>
    <n v="0"/>
    <s v="F-8, 1st Floor, Radhe City Center, Bapa Sitaram Chowk, Talaja, Dist. Bhavnagar_x000a_"/>
    <n v="7984290006"/>
    <m/>
    <s v="MP Grant - Shri Masukhbhai Mandaviya Fund - 2023-24"/>
    <m/>
    <m/>
    <m/>
    <n v="3"/>
    <n v="39000"/>
    <d v="2027-02-23T00:00:00"/>
    <n v="2000"/>
    <n v="0"/>
    <d v="2026-01-04T00:00:00"/>
    <d v="2026-12-25T00:00:00"/>
    <n v="1020"/>
    <d v="2025-07-23T00:00:00"/>
    <s v="2025-26"/>
    <n v="129"/>
    <d v="2025-09-01T00:00:00"/>
    <s v="FDR"/>
    <s v="State Bank of India"/>
    <n v="44344833241"/>
    <n v="39000"/>
    <d v="2025-08-04T00:00:00"/>
    <m/>
    <m/>
    <m/>
    <m/>
    <m/>
    <d v="2025-09-01T00:00:00"/>
    <n v="1236"/>
    <d v="2025-09-01T00:00:00"/>
    <m/>
    <m/>
    <m/>
    <m/>
  </r>
  <r>
    <n v="238"/>
    <m/>
    <s v="2025-26"/>
    <x v="7"/>
    <n v="132"/>
    <s v="Construction of Primary School Room at Paniyali Ta.Talaja Dist:Bhavnagar"/>
    <m/>
    <s v="Talaja"/>
    <s v="Talaja"/>
    <s v="Building"/>
    <s v="School Room"/>
    <n v="200362"/>
    <n v="1"/>
    <d v="2025-06-29T00:00:00"/>
    <d v="2025-07-10T00:00:00"/>
    <d v="2025-07-11T00:00:00"/>
    <d v="2025-11-07T00:00:00"/>
    <n v="806983.54"/>
    <m/>
    <n v="776318.17"/>
    <n v="-3.8"/>
    <s v="Below"/>
    <s v="Seven Lakh Seventy Six Thousand Three Hundred Eighteen Rupees and Seventeen Paise Only"/>
    <s v="Division"/>
    <m/>
    <n v="776318.17"/>
    <s v="SADGURU CONSTRUCTION"/>
    <s v="NANKUBHAI DUDABHAI BARAL"/>
    <s v="UMARLA, Ta. TALAJA, Dist. BHAVNAGAR-364150"/>
    <n v="9510897273"/>
    <m/>
    <s v="MP Grant - Shri Masukhbhai Mandaviya Fund - 2023-24"/>
    <m/>
    <m/>
    <m/>
    <n v="3"/>
    <n v="39000"/>
    <d v="2027-02-03T00:00:00"/>
    <n v="2000"/>
    <n v="0"/>
    <d v="2025-12-15T00:00:00"/>
    <d v="2026-12-05T00:00:00"/>
    <n v="1021"/>
    <d v="2025-07-23T00:00:00"/>
    <s v="2025-26"/>
    <n v="79"/>
    <d v="2025-08-12T00:00:00"/>
    <s v="FDR"/>
    <s v="SAURASHTRA GRAMIN BANK"/>
    <n v="78048938022"/>
    <n v="39000"/>
    <d v="2025-08-11T00:00:00"/>
    <m/>
    <m/>
    <m/>
    <m/>
    <m/>
    <d v="2025-08-12T00:00:00"/>
    <n v="1057"/>
    <d v="2025-08-12T00:00:00"/>
    <m/>
    <m/>
    <m/>
    <m/>
  </r>
  <r>
    <n v="239"/>
    <m/>
    <s v="2025-26"/>
    <x v="7"/>
    <n v="133"/>
    <s v="Construction of Primary School Room at Sakhavadar Ta. Talaja Dist:Bhavnagar"/>
    <m/>
    <s v="Talaja"/>
    <s v="Talaja"/>
    <s v="Building"/>
    <s v="School Room"/>
    <n v="200365"/>
    <n v="1"/>
    <d v="2025-06-29T00:00:00"/>
    <d v="2025-07-10T00:00:00"/>
    <d v="2025-07-11T00:00:00"/>
    <d v="2025-11-07T00:00:00"/>
    <n v="806983.54"/>
    <m/>
    <n v="765746.68"/>
    <n v="-5.1100000000000003"/>
    <s v="Below"/>
    <s v="Seven Lakh Sixty Five Thousand Seven Hundred Forty Six Rupees and Sixty Eight Paise Only"/>
    <s v="Division"/>
    <m/>
    <n v="765746.68"/>
    <s v="SADGURU CONSTRUCTION"/>
    <s v="NANKUBHAI DUDABHAI BARAL"/>
    <s v="UMARLA, Ta. TALAJA, Dist. BHAVNAGAR-364150"/>
    <n v="9510897273"/>
    <m/>
    <s v="MP Grant - Shri Masukhbhai Mandaviya Fund - 2023-24"/>
    <m/>
    <m/>
    <m/>
    <n v="3"/>
    <n v="39000"/>
    <d v="2027-02-03T00:00:00"/>
    <n v="2000"/>
    <n v="0"/>
    <d v="2025-12-15T00:00:00"/>
    <d v="2026-12-05T00:00:00"/>
    <n v="1022"/>
    <d v="2025-07-23T00:00:00"/>
    <s v="2025-26"/>
    <n v="78"/>
    <d v="2025-08-12T00:00:00"/>
    <s v="FDR"/>
    <s v="SAURASHTRA GRAMIN BANK"/>
    <n v="78048938044"/>
    <n v="39000"/>
    <d v="2025-08-11T00:00:00"/>
    <m/>
    <m/>
    <m/>
    <m/>
    <m/>
    <d v="2025-08-12T00:00:00"/>
    <n v="1056"/>
    <d v="2025-08-12T00:00:00"/>
    <m/>
    <m/>
    <m/>
    <m/>
  </r>
  <r>
    <n v="240"/>
    <m/>
    <s v="2025-26"/>
    <x v="7"/>
    <n v="134"/>
    <s v="Construction of Primary School Room at Gorkhi Ta. Talaja Dist:Bhavnagar"/>
    <m/>
    <s v="Talaja"/>
    <s v="Talaja"/>
    <s v="Building"/>
    <s v="School Room"/>
    <n v="200369"/>
    <n v="1"/>
    <d v="2025-06-29T00:00:00"/>
    <d v="2025-07-10T00:00:00"/>
    <d v="2025-07-11T00:00:00"/>
    <d v="2025-11-07T00:00:00"/>
    <n v="806983.54"/>
    <m/>
    <n v="767602.74"/>
    <n v="-4.88"/>
    <s v="Below"/>
    <s v="Seven Lakh Sixty Seven Thousand Six Hundred Two Rupees and Seventy Four Paise Only"/>
    <s v="Division"/>
    <m/>
    <n v="767602.74"/>
    <s v="VANDEMATARAM CONSTRUCTION"/>
    <s v="(1) Batiya Vishalbhai Vinubhai_x000a_(2) Dhandhukiya Umeshbhai "/>
    <s v="At. Dihor, Tana Varal Road, Shak Market, Ta. Talaja, Dist. Bhavnagar-364150"/>
    <n v="9067752267"/>
    <m/>
    <s v="MP Grant - Shri Masukhbhai Mandaviya Fund - 2023-24"/>
    <m/>
    <m/>
    <m/>
    <n v="3"/>
    <n v="39000"/>
    <d v="2026-02-16T00:00:00"/>
    <n v="2000"/>
    <n v="0"/>
    <d v="2024-12-28T00:00:00"/>
    <d v="2025-12-18T00:00:00"/>
    <n v="1023"/>
    <d v="2025-07-23T00:00:00"/>
    <s v="2025-26"/>
    <n v="102"/>
    <d v="2025-08-25T00:00:00"/>
    <s v="FDR"/>
    <s v="State Bank of India"/>
    <n v="44378495825"/>
    <n v="39000"/>
    <d v="2025-08-14T00:00:00"/>
    <m/>
    <m/>
    <m/>
    <m/>
    <m/>
    <d v="2024-08-25T00:00:00"/>
    <n v="1187"/>
    <d v="2025-08-25T00:00:00"/>
    <m/>
    <m/>
    <m/>
    <m/>
  </r>
  <r>
    <n v="241"/>
    <m/>
    <s v="2025-26"/>
    <x v="7"/>
    <n v="135"/>
    <s v="Construction of Primary School Room at Pratapara Ta. Talaja Dist:Bhavnagar"/>
    <m/>
    <s v="Talaja"/>
    <s v="Talaja"/>
    <s v="Building"/>
    <s v="School Room"/>
    <n v="200373"/>
    <n v="1"/>
    <d v="2025-06-29T00:00:00"/>
    <d v="2025-07-10T00:00:00"/>
    <d v="2025-07-11T00:00:00"/>
    <d v="2025-11-07T00:00:00"/>
    <n v="806983.54"/>
    <m/>
    <n v="796250.66"/>
    <n v="-1.33"/>
    <s v="Below"/>
    <s v="Seven Lakh Ninety Six Thousand Two Hundred Fifty Rupees and Sixty Six Paise Only"/>
    <s v="Division"/>
    <m/>
    <n v="796250.66"/>
    <s v="GOPNATHJI CONSTRUCTIONS PRIVATE LIMITED"/>
    <n v="0"/>
    <s v="185, Reliya Plot Vistar, Reliya, Tal. Talaja, Dist. Bhavnagar-364135"/>
    <n v="9737944545"/>
    <m/>
    <s v="MP Grant - Shri Masukhbhai Mandaviya Fund - 2023-24"/>
    <m/>
    <m/>
    <m/>
    <n v="3"/>
    <n v="40000"/>
    <d v="2027-02-03T00:00:00"/>
    <n v="2000"/>
    <n v="0"/>
    <d v="2025-12-15T00:00:00"/>
    <d v="2026-12-05T00:00:00"/>
    <n v="1024"/>
    <d v="2025-07-23T00:00:00"/>
    <s v="2025-26"/>
    <n v="76"/>
    <d v="2025-08-12T00:00:00"/>
    <s v="FDR"/>
    <s v="State Bank of India"/>
    <n v="44339498163"/>
    <n v="40000"/>
    <d v="2025-08-02T00:00:00"/>
    <m/>
    <m/>
    <m/>
    <m/>
    <m/>
    <d v="2025-08-12T00:00:00"/>
    <n v="1054"/>
    <d v="2025-08-12T00:00:00"/>
    <m/>
    <m/>
    <m/>
    <m/>
  </r>
  <r>
    <n v="242"/>
    <m/>
    <s v="2025-26"/>
    <x v="7"/>
    <n v="136"/>
    <s v="Construction of Primary School Room at Keriya_x000a_Ta. Umrala Dist:Bhavnagar"/>
    <m/>
    <s v="Umrala"/>
    <s v="Vallabhipur"/>
    <s v="Building"/>
    <s v="School Room"/>
    <n v="200240"/>
    <n v="1"/>
    <d v="2025-06-29T00:00:00"/>
    <d v="2025-07-10T00:00:00"/>
    <d v="2025-07-11T00:00:00"/>
    <d v="2025-11-07T00:00:00"/>
    <n v="1634615.63"/>
    <s v="Yes"/>
    <m/>
    <m/>
    <s v="Equals"/>
    <s v="Zero Rupees Only"/>
    <s v="Division"/>
    <m/>
    <n v="0"/>
    <m/>
    <n v="0"/>
    <n v="0"/>
    <n v="0"/>
    <m/>
    <s v="MP Grant - Shri Masukhbhai Mandaviya Fund - 2023-24"/>
    <m/>
    <m/>
    <m/>
    <m/>
    <n v="0"/>
    <d v="1901-03-25T00:00:00"/>
    <n v="0"/>
    <n v="0"/>
    <d v="1900-02-03T00:00:00"/>
    <d v="1901-01-24T00:00:00"/>
    <m/>
    <m/>
    <m/>
    <m/>
    <m/>
    <m/>
    <m/>
    <m/>
    <m/>
    <m/>
    <m/>
    <m/>
    <m/>
    <m/>
    <m/>
    <m/>
    <m/>
    <m/>
    <m/>
    <m/>
    <m/>
    <m/>
  </r>
  <r>
    <n v="243"/>
    <m/>
    <s v="2025-26"/>
    <x v="7"/>
    <n v="137"/>
    <s v="Construction of Primary School Room at Chitravav_x000a_Ta. Umrala Dist:Bhavnagar"/>
    <m/>
    <s v="Umrala"/>
    <s v="Vallabhipur"/>
    <s v="Building"/>
    <s v="School Room"/>
    <m/>
    <n v="1"/>
    <d v="2025-06-29T00:00:00"/>
    <d v="2025-07-10T00:00:00"/>
    <d v="2025-07-11T00:00:00"/>
    <d v="2025-11-07T00:00:00"/>
    <n v="1634615.63"/>
    <s v="Yes"/>
    <m/>
    <m/>
    <s v="Equals"/>
    <s v="Zero Rupees Only"/>
    <s v="Division"/>
    <m/>
    <n v="0"/>
    <m/>
    <n v="0"/>
    <n v="0"/>
    <n v="0"/>
    <m/>
    <s v="MP Grant - Shri Masukhbhai Mandaviya Fund - 2023-24"/>
    <m/>
    <m/>
    <m/>
    <m/>
    <n v="0"/>
    <d v="1901-03-25T00:00:00"/>
    <n v="0"/>
    <n v="0"/>
    <d v="1900-02-03T00:00:00"/>
    <d v="1901-01-24T00:00:00"/>
    <m/>
    <m/>
    <m/>
    <m/>
    <m/>
    <m/>
    <m/>
    <m/>
    <m/>
    <m/>
    <m/>
    <m/>
    <m/>
    <m/>
    <m/>
    <m/>
    <m/>
    <m/>
    <m/>
    <m/>
    <m/>
    <m/>
  </r>
  <r>
    <n v="244"/>
    <m/>
    <s v="2025-26"/>
    <x v="7"/>
    <n v="138"/>
    <s v="Construction of Primary School Room at Dudadhar Ta. Vallabhipur Dist:Bhavnagar"/>
    <m/>
    <s v="Vallabhipur"/>
    <s v="Vallabhipur"/>
    <s v="Building"/>
    <s v="School Room"/>
    <n v="200376"/>
    <n v="1"/>
    <d v="2025-06-29T00:00:00"/>
    <d v="2025-07-10T00:00:00"/>
    <d v="2025-07-11T00:00:00"/>
    <d v="2025-11-07T00:00:00"/>
    <n v="806983.54"/>
    <m/>
    <n v="741214.38"/>
    <n v="-8.15"/>
    <s v="Below"/>
    <s v="Seven Lakh Forty One Thousand Two Hundred Fourteen Rupees and Thirty Eight Paise Only"/>
    <s v="Division"/>
    <m/>
    <n v="741214.38"/>
    <s v="TULSI CEMENT PRODUCTS"/>
    <s v="KOTAR PRAFULKUMAR RAMESHBHAI"/>
    <s v="Plot No. 15, Survey No. 166/1, GIDC, At. Timbi, Tal. Umrala, Dist. Bhavnagar- 364320"/>
    <n v="9662631888"/>
    <m/>
    <s v="MP Grant - Shri Masukhbhai Mandaviya Fund - 2023-24"/>
    <m/>
    <m/>
    <m/>
    <n v="3"/>
    <n v="38000"/>
    <d v="2027-02-08T00:00:00"/>
    <n v="1900"/>
    <n v="0"/>
    <d v="2025-12-20T00:00:00"/>
    <d v="2026-12-10T00:00:00"/>
    <n v="1025"/>
    <d v="2025-07-23T00:00:00"/>
    <s v="2025-26"/>
    <n v="80"/>
    <d v="2025-08-12T00:00:00"/>
    <s v="FDR"/>
    <s v="State Bank of India"/>
    <n v="44344794120"/>
    <n v="38000"/>
    <d v="2025-08-04T00:00:00"/>
    <m/>
    <m/>
    <m/>
    <m/>
    <m/>
    <d v="2025-08-17T00:00:00"/>
    <n v="1058"/>
    <d v="2025-08-12T00:00:00"/>
    <m/>
    <m/>
    <m/>
    <m/>
  </r>
  <r>
    <n v="245"/>
    <m/>
    <s v="2025-26"/>
    <x v="7"/>
    <n v="139"/>
    <s v="Construction of Primary School Room at Loliyana Ta. Vallabhipur Dist:Bhavnagar"/>
    <m/>
    <s v="Vallabhipur"/>
    <s v="Vallabhipur"/>
    <s v="Building"/>
    <s v="School Room"/>
    <n v="200380"/>
    <n v="1"/>
    <d v="2025-06-29T00:00:00"/>
    <d v="2025-07-10T00:00:00"/>
    <d v="2025-07-11T00:00:00"/>
    <d v="2025-11-07T00:00:00"/>
    <n v="806983.54"/>
    <m/>
    <n v="705707.11"/>
    <n v="-12.55"/>
    <s v="Below"/>
    <s v="Seven Lakh Five Thousand Seven Hundred Seven Rupees and Eleven Paise Only"/>
    <s v="Division"/>
    <m/>
    <n v="705707.11"/>
    <s v="TULSI CEMENT PRODUCTS"/>
    <s v="KOTAR PRAFULKUMAR RAMESHBHAI"/>
    <s v="Plot No. 15, Survey No. 166/1, GIDC, At. Timbi, Tal. Umrala, Dist. Bhavnagar- 364320"/>
    <n v="9662631888"/>
    <m/>
    <s v="MP Grant - Shri Masukhbhai Mandaviya Fund - 2023-24"/>
    <m/>
    <m/>
    <m/>
    <n v="3"/>
    <n v="36000"/>
    <d v="2027-02-13T00:00:00"/>
    <n v="2100"/>
    <n v="5000"/>
    <d v="2025-12-25T00:00:00"/>
    <d v="2026-12-15T00:00:00"/>
    <n v="1026"/>
    <d v="2025-07-23T00:00:00"/>
    <s v="2025-26"/>
    <n v="100"/>
    <d v="2025-08-22T00:00:00"/>
    <s v="FDR"/>
    <s v="State Bank of India"/>
    <n v="44344808918"/>
    <n v="36000"/>
    <d v="2025-08-04T00:00:00"/>
    <s v="FDR"/>
    <s v="State Bank of India"/>
    <n v="44388132154"/>
    <n v="5000"/>
    <d v="2025-08-19T00:00:00"/>
    <d v="2025-08-22T00:00:00"/>
    <n v="1185"/>
    <d v="2025-08-22T00:00:00"/>
    <m/>
    <m/>
    <m/>
    <m/>
  </r>
  <r>
    <n v="246"/>
    <m/>
    <s v="2025-26"/>
    <x v="7"/>
    <n v="140"/>
    <s v="Construction of Compound wall around Manharkuvarbaa Rajput Vidhyasankul Trust-Bhavnagar Managed by Kanya Vidhyalay &amp; Kanya Chhatralay Campus Vartej. Tal. Bhavnagar Dist. Bhavnagar (Under MP Grant Kesaridevsinh Zala)"/>
    <m/>
    <s v="Bhavnagar"/>
    <s v="Bhavnagar"/>
    <s v="Building"/>
    <s v="Compound Wall"/>
    <n v="200405"/>
    <n v="1"/>
    <d v="2025-06-29T00:00:00"/>
    <d v="2025-07-10T00:00:00"/>
    <d v="2025-07-11T00:00:00"/>
    <d v="2025-11-07T00:00:00"/>
    <n v="2084326.82"/>
    <m/>
    <n v="2063483.55"/>
    <n v="-1"/>
    <s v="Below"/>
    <s v="Twenty Lakh Sixty Three Thousand Four Hundred Eighty Three Rupees and Fifty Five Paise Only"/>
    <s v="Division"/>
    <m/>
    <n v="2063483.55"/>
    <s v="HARPALSINH AMARSINH SARVAIYA"/>
    <n v="0"/>
    <s v="MOTI JAGDHAR, MAHUVA, _x000a_BHAVNAGAR-364295"/>
    <n v="0"/>
    <m/>
    <m/>
    <m/>
    <m/>
    <m/>
    <n v="4"/>
    <n v="104000"/>
    <d v="2027-04-08T00:00:00"/>
    <n v="5100"/>
    <n v="0"/>
    <d v="2026-02-17T00:00:00"/>
    <d v="2027-02-07T00:00:00"/>
    <n v="1205"/>
    <d v="2025-07-26T00:00:00"/>
    <m/>
    <m/>
    <m/>
    <m/>
    <m/>
    <m/>
    <m/>
    <m/>
    <m/>
    <m/>
    <m/>
    <m/>
    <m/>
    <d v="2025-09-15T00:00:00"/>
    <m/>
    <m/>
    <m/>
    <m/>
    <m/>
    <m/>
  </r>
  <r>
    <n v="247"/>
    <m/>
    <s v="2025-26"/>
    <x v="7"/>
    <n v="141"/>
    <s v="Construction of Nandghar (Anganvadi) Building at Bordi Tal. Talaja Dist. Bhavnagar"/>
    <m/>
    <s v="Talaja"/>
    <s v="Talaja"/>
    <s v="Building"/>
    <s v="Anganvadi"/>
    <n v="200415"/>
    <m/>
    <d v="2025-06-29T00:00:00"/>
    <d v="2025-07-10T00:00:00"/>
    <d v="2025-07-11T00:00:00"/>
    <d v="2025-11-07T00:00:00"/>
    <n v="1024912.96"/>
    <m/>
    <n v="981661.63"/>
    <n v="-4.22"/>
    <s v="Below"/>
    <s v="Nine Lakh Eighty One Thousand Six Hundred Sixty One Rupees and Sixty Three Paise Only"/>
    <s v="Division"/>
    <m/>
    <n v="981661.63"/>
    <s v="R J BHAMMAR CONSTRUCTION"/>
    <n v="0"/>
    <s v="F-8, 1st Floor, Radhe City Center, Bapa Sitaram Chowk, Talaja, Dist. Bhavnagar_x000a_"/>
    <n v="7984290006"/>
    <m/>
    <m/>
    <m/>
    <m/>
    <m/>
    <n v="4"/>
    <n v="50000"/>
    <d v="2027-04-08T00:00:00"/>
    <n v="2500"/>
    <n v="0"/>
    <d v="2026-02-17T00:00:00"/>
    <d v="2027-02-07T00:00:00"/>
    <n v="1206"/>
    <d v="2025-07-26T00:00:00"/>
    <m/>
    <m/>
    <m/>
    <m/>
    <m/>
    <m/>
    <m/>
    <m/>
    <m/>
    <m/>
    <m/>
    <m/>
    <m/>
    <d v="2025-09-15T00:00:00"/>
    <m/>
    <m/>
    <m/>
    <m/>
    <m/>
    <m/>
  </r>
  <r>
    <n v="248"/>
    <m/>
    <s v="2025-26"/>
    <x v="8"/>
    <n v="1"/>
    <s v="Resurfacing and Routine Maintenance of Biladi Nana Mota Pipalava Kankot Road (Pipalava to Kankot Section) (MDR) Km. 0/000 to 1/800 Ta.Mahuva, Dist.; Bhavnagar"/>
    <m/>
    <s v="Mahuva"/>
    <s v="Mahuva"/>
    <s v="Road"/>
    <m/>
    <n v="199597"/>
    <n v="2"/>
    <d v="2025-07-03T00:00:00"/>
    <d v="2025-07-14T00:00:00"/>
    <d v="2025-07-15T00:00:00"/>
    <d v="2025-11-11T00:00:00"/>
    <n v="16081866.5"/>
    <m/>
    <n v="18116222.609999999"/>
    <n v="12.65"/>
    <s v="Above"/>
    <s v="One Crore Eighty One Lakh Sixteen Thousand Two Hundred Twenty Two Rupees and Sixty One Paise Only"/>
    <s v="Circle"/>
    <n v="468077.87"/>
    <n v="18584300.48"/>
    <s v="R M Dasa Infrastructure Pvt. Ltd."/>
    <n v="0"/>
    <s v="4th Floor, Akshar Plaza-1, Diksha Nagar, Zanzarda Chokadi, Junagadh- 362001"/>
    <n v="9825220799"/>
    <d v="2025-07-25T00:00:00"/>
    <s v="5054 MMGSY NORMAL 2024-25"/>
    <s v="Superintending Engineer, Panchayat Road and Building Circle-2, Rajkot"/>
    <s v="RPC-2/Tender/Bhavbagar/236"/>
    <d v="2025-08-21T00:00:00"/>
    <n v="6"/>
    <n v="906000"/>
    <d v="2029-07-20T00:00:00"/>
    <n v="44400"/>
    <n v="0"/>
    <d v="2026-06-11T00:00:00"/>
    <d v="2029-05-21T00:00:00"/>
    <n v="1263"/>
    <d v="2025-09-04T00:00:00"/>
    <s v="2025-26"/>
    <n v="199"/>
    <d v="2025-11-08T00:00:00"/>
    <s v="BG"/>
    <s v="HDFC Bank"/>
    <s v="101GT02252630005"/>
    <n v="906000"/>
    <d v="2025-09-20T00:00:00"/>
    <m/>
    <m/>
    <m/>
    <m/>
    <m/>
    <d v="2025-11-08T00:00:00"/>
    <n v="1504"/>
    <d v="2025-11-08T00:00:00"/>
    <m/>
    <m/>
    <m/>
    <m/>
  </r>
  <r>
    <n v="249"/>
    <m/>
    <s v="2025-26"/>
    <x v="8"/>
    <n v="2"/>
    <s v="Construction of Roads of Bhavnagar District Package No.RPC-2/BVN/MMGSY/BUJ/2024-25/P.01 Ta. Shihor , Dist.; Bhavnagar"/>
    <s v="(1) Ukharala Dambhaliya Road_x000a_(2) Ukharala Kantodiya Road"/>
    <s v="Shihor"/>
    <s v="Shihor"/>
    <s v="Road"/>
    <m/>
    <n v="201032"/>
    <n v="1"/>
    <d v="2025-07-03T00:00:00"/>
    <d v="2025-07-14T00:00:00"/>
    <d v="2025-07-15T00:00:00"/>
    <d v="2025-11-11T00:00:00"/>
    <n v="112916877.26000001"/>
    <m/>
    <n v="94929218.709999993"/>
    <n v="-15.93"/>
    <s v="Below"/>
    <s v="Nine Crore Forty Nine Lakh Twenty Nine Thousand Two Hundred Eighteen Rupees and Seventy One Paise Only"/>
    <s v="Government"/>
    <m/>
    <n v="94929218.709999993"/>
    <s v="SITARAM CONSTRUCTION"/>
    <s v="HITENDRASINH GAMBHIRSINH ZALA"/>
    <s v="A-204, LEELA EFCEE, WAGHAWADI ROAD, BHAVNAGAR-364001"/>
    <n v="0"/>
    <d v="2025-08-04T00:00:00"/>
    <s v="BUJ 2024-25"/>
    <s v="Road and Building Department, Ganghinagar"/>
    <s v="RBD/TRF/e-file/16/2025/5176/Section D1"/>
    <d v="2025-09-03T00:00:00"/>
    <n v="11"/>
    <n v="4747000"/>
    <d v="2029-11-23T00:00:00"/>
    <n v="298300"/>
    <n v="1340000"/>
    <d v="2026-10-15T00:00:00"/>
    <d v="2029-09-24T00:00:00"/>
    <n v="1258"/>
    <d v="2025-09-03T00:00:00"/>
    <m/>
    <m/>
    <m/>
    <m/>
    <m/>
    <m/>
    <m/>
    <m/>
    <m/>
    <m/>
    <m/>
    <m/>
    <m/>
    <d v="2025-10-15T00:00:00"/>
    <m/>
    <m/>
    <m/>
    <m/>
    <m/>
    <m/>
  </r>
  <r>
    <n v="250"/>
    <m/>
    <s v="2025-26"/>
    <x v="8"/>
    <n v="3"/>
    <s v="Widening &amp; Strengthening of Tagdi-Thordi-Rajpara- Badi Road Km. 0/000-11/550 (Sec-I Tagdi Thordi Road Km.0/000-4/000), (Sec.II Thordi Rajpara Road Km. 4/000-9/250) &amp; (Sec-III Rajpara Badi Road Km.9/250-11/550) (MDR) Ta.Bhavnagar &amp; Ghogha, Dist.; Bhavnagar"/>
    <m/>
    <s v="Bhavnagar"/>
    <s v="Bhavnagar"/>
    <s v="Road"/>
    <m/>
    <n v="200884"/>
    <n v="1"/>
    <d v="2025-07-03T00:00:00"/>
    <d v="2025-07-14T00:00:00"/>
    <d v="2025-07-15T00:00:00"/>
    <d v="2025-11-11T00:00:00"/>
    <n v="63362712.479999997"/>
    <m/>
    <n v="53668217.469999999"/>
    <n v="-15.3"/>
    <s v="Below"/>
    <s v="Five Crore Thirty Six Lakh Sixty Eight Thousand Two Hundred Seventeen Rupees and Forty Seven Paise Only"/>
    <s v="Government"/>
    <m/>
    <n v="53668217.469999999"/>
    <s v="Universal associates"/>
    <n v="0"/>
    <s v="70, Hari Darshan Township, Subhashnagar, Bhavnagar"/>
    <n v="9825209897"/>
    <d v="2025-07-25T00:00:00"/>
    <s v="5054 MMGSY NORMAL 2024-25"/>
    <s v="Road and Building Department, Ganghinagar"/>
    <s v="RBD/TRF/e-file/16/2025/4868/Section D1"/>
    <d v="2025-09-01T00:00:00"/>
    <n v="11"/>
    <n v="2684000"/>
    <d v="2029-11-23T00:00:00"/>
    <n v="164500"/>
    <n v="672000"/>
    <d v="2026-10-15T00:00:00"/>
    <d v="2029-09-24T00:00:00"/>
    <n v="1353"/>
    <d v="2025-09-22T00:00:00"/>
    <m/>
    <m/>
    <m/>
    <m/>
    <m/>
    <m/>
    <m/>
    <m/>
    <m/>
    <m/>
    <m/>
    <m/>
    <m/>
    <d v="2025-10-15T00:00:00"/>
    <m/>
    <m/>
    <m/>
    <m/>
    <m/>
    <m/>
  </r>
  <r>
    <n v="251"/>
    <m/>
    <s v="2025-26"/>
    <x v="8"/>
    <n v="4"/>
    <s v="Construction to Roads of Bhavnagar District Package No. RPC-2/BVN/MMGSY/Normal/2024-25/P.04 Taluka and Dist.; Bhavnagar"/>
    <s v="(1) Bhuteshvar to State Highway Road_x000a_(2) Thalsar to Butbhavani Temple Road"/>
    <s v="Bhavnagar"/>
    <s v="Bhavnagar"/>
    <s v="Road"/>
    <m/>
    <n v="200894"/>
    <n v="1"/>
    <d v="2025-07-03T00:00:00"/>
    <d v="2025-07-14T00:00:00"/>
    <d v="2025-07-15T00:00:00"/>
    <d v="2025-11-11T00:00:00"/>
    <n v="12069061.77"/>
    <m/>
    <n v="8932312.6199999992"/>
    <n v="-25.99"/>
    <s v="Below"/>
    <s v="Eighty Nine Lakh Thirty Two Thousand Three Hundred Twelve Rupees and Sixty Two Paise Only"/>
    <s v="Circle"/>
    <m/>
    <n v="8932312.6199999992"/>
    <s v="ASHAPURA CONSTRUCTION"/>
    <n v="0"/>
    <s v="&quot;Ashapura Nivas&quot;, Shivaji Nagar, Talaja, Ta. Talaja Dist. Bhavnagar"/>
    <n v="9638310999"/>
    <d v="2025-07-25T00:00:00"/>
    <s v="5054 MMGSY NORMAL 2024-25"/>
    <s v="Superintending Engineer, Panchayat Road and Building Circle-2, Rajkot"/>
    <s v="RPC-2/Tender/Bhavbagar/211"/>
    <d v="2025-08-08T00:00:00"/>
    <n v="6"/>
    <n v="447000"/>
    <d v="2029-06-26T00:00:00"/>
    <n v="50300"/>
    <n v="579000"/>
    <d v="2026-05-18T00:00:00"/>
    <d v="2029-04-27T00:00:00"/>
    <n v="1257"/>
    <d v="2025-09-03T00:00:00"/>
    <m/>
    <m/>
    <m/>
    <m/>
    <m/>
    <m/>
    <m/>
    <m/>
    <m/>
    <m/>
    <m/>
    <m/>
    <m/>
    <d v="2025-10-15T00:00:00"/>
    <m/>
    <m/>
    <m/>
    <m/>
    <m/>
    <m/>
  </r>
  <r>
    <n v="252"/>
    <m/>
    <s v="2025-26"/>
    <x v="8"/>
    <n v="5"/>
    <s v="Construction of Bhankhal to Piparala Road (NP) Ch.0/000 to 1/850 Ta.Shihor, Dist.; Bhavnagar"/>
    <m/>
    <s v="Shihor"/>
    <s v="Shihor"/>
    <s v="Road"/>
    <m/>
    <n v="199598"/>
    <n v="1"/>
    <d v="2025-07-03T00:00:00"/>
    <d v="2025-07-14T00:00:00"/>
    <d v="2025-07-15T00:00:00"/>
    <d v="2025-11-11T00:00:00"/>
    <n v="31383339.899999999"/>
    <m/>
    <n v="25288695.289999999"/>
    <n v="-19.420000000000002"/>
    <s v="Below"/>
    <s v="Two Crore Fifty Two Lakh Eighty Eight Thousand Six Hundred Ninety Five Rupees and Twenty Nine Paise Only"/>
    <s v="Government"/>
    <m/>
    <n v="25288695.289999999"/>
    <s v="PRUTHVI CORPORATION"/>
    <s v="GULABSINH LAKHUBHAI SARVAIYA"/>
    <s v="PLOT NO. C-4811, KALVIBID, POONAM TENAMENT, BHAVNAGAR-364002"/>
    <n v="9427751520"/>
    <d v="2025-07-25T00:00:00"/>
    <s v="5054 MMGSY NORMAL 2024-25"/>
    <s v="Road and Building Department, Ganghinagar"/>
    <s v="RBD/TRF/e-file/16/2025/4871/Section D1"/>
    <d v="2025-08-18T00:00:00"/>
    <n v="10"/>
    <n v="1265000"/>
    <d v="2029-10-24T00:00:00"/>
    <n v="91000"/>
    <n v="592000"/>
    <d v="2026-09-15T00:00:00"/>
    <d v="2029-08-25T00:00:00"/>
    <n v="1262"/>
    <d v="2025-09-04T00:00:00"/>
    <m/>
    <m/>
    <m/>
    <m/>
    <m/>
    <m/>
    <m/>
    <m/>
    <m/>
    <m/>
    <m/>
    <m/>
    <m/>
    <d v="2025-10-15T00:00:00"/>
    <m/>
    <m/>
    <m/>
    <m/>
    <m/>
    <m/>
  </r>
  <r>
    <n v="253"/>
    <m/>
    <s v="2025-26"/>
    <x v="8"/>
    <n v="6"/>
    <s v="Construction of Ishwariya to Sanosara Railway station Road (NP) Ch.0/000 to 1/650 Ta.Shihor , Dist.; Bhavnagar"/>
    <m/>
    <s v="Shihor"/>
    <s v="Shihor"/>
    <s v="Road"/>
    <m/>
    <n v="199599"/>
    <n v="1"/>
    <d v="2025-07-03T00:00:00"/>
    <d v="2025-07-14T00:00:00"/>
    <d v="2025-07-15T00:00:00"/>
    <d v="2025-11-11T00:00:00"/>
    <n v="14529445.869999999"/>
    <m/>
    <n v="12560705.949999999"/>
    <n v="-13.55"/>
    <s v="Below"/>
    <s v="One Crore Twenty Five Lakh Sixty Thousand Seven Hundred Five Rupees and Ninety Five Paise Only"/>
    <s v="Circle"/>
    <m/>
    <n v="12560705.949999999"/>
    <s v="VIJAYBHAI MOHANBHAI SINDHAV"/>
    <n v="0"/>
    <s v="AT JALALPUR, TA. GADHADA, DIST. BOTAD - 364740"/>
    <n v="8849179437"/>
    <d v="2025-07-25T00:00:00"/>
    <s v="5054 MMGSY NORMAL"/>
    <s v="Superintending Engineer, Panchayat Road and Building Circle-2, Rajkot"/>
    <s v="RPC-2/Tender/Bhavbagar/210"/>
    <d v="2025-08-08T00:00:00"/>
    <n v="8"/>
    <n v="629000"/>
    <d v="2029-08-25T00:00:00"/>
    <n v="36000"/>
    <n v="104000"/>
    <d v="2026-07-17T00:00:00"/>
    <d v="2029-06-26T00:00:00"/>
    <n v="1256"/>
    <d v="2025-09-03T00:00:00"/>
    <m/>
    <m/>
    <m/>
    <m/>
    <m/>
    <m/>
    <m/>
    <m/>
    <m/>
    <m/>
    <m/>
    <m/>
    <m/>
    <d v="2025-10-15T00:00:00"/>
    <m/>
    <m/>
    <m/>
    <m/>
    <m/>
    <m/>
  </r>
  <r>
    <n v="254"/>
    <m/>
    <s v="2025-26"/>
    <x v="8"/>
    <n v="7"/>
    <s v="Construction of Panchvada to Meghvadar Road (NP) Ch. 0/000 to 3/750 Ta.Shihor, Dist.; Bhavnagar"/>
    <m/>
    <s v="Shihor"/>
    <s v="Shihor"/>
    <s v="Road"/>
    <m/>
    <n v="199600"/>
    <n v="1"/>
    <d v="2025-07-03T00:00:00"/>
    <d v="2025-07-14T00:00:00"/>
    <d v="2025-07-15T00:00:00"/>
    <d v="2025-11-11T00:00:00"/>
    <n v="21473015.379999999"/>
    <m/>
    <n v="18786741.16"/>
    <n v="-12.51"/>
    <s v="Below"/>
    <s v="One Crore Eighty Seven Lakh Eighty Six Thousand Seven Hundred Forty One Rupees and Sixteen Paise Only"/>
    <s v="Circle"/>
    <m/>
    <n v="18786741.16"/>
    <s v="Universal associates"/>
    <n v="0"/>
    <s v="70, Hari Darshan Township, Subhashnagar, Bhavnagar"/>
    <n v="9825209897"/>
    <d v="2025-07-25T00:00:00"/>
    <s v="5054 MMGSY NORMAL 2024-25"/>
    <s v="Road and Building Department, Ganghinagar"/>
    <s v="RBD/TRF/e-file/16/2025/4865/Section D1"/>
    <d v="2025-08-18T00:00:00"/>
    <n v="8"/>
    <n v="940000"/>
    <d v="2029-08-25T00:00:00"/>
    <n v="51400"/>
    <n v="108000"/>
    <d v="2026-07-17T00:00:00"/>
    <d v="2029-06-26T00:00:00"/>
    <n v="1261"/>
    <d v="2025-09-04T00:00:00"/>
    <m/>
    <m/>
    <m/>
    <m/>
    <m/>
    <m/>
    <m/>
    <m/>
    <m/>
    <m/>
    <m/>
    <m/>
    <m/>
    <d v="2025-10-15T00:00:00"/>
    <m/>
    <m/>
    <m/>
    <m/>
    <m/>
    <m/>
  </r>
  <r>
    <n v="255"/>
    <m/>
    <s v="2025-26"/>
    <x v="8"/>
    <n v="8"/>
    <s v="Construction of Kerala to Mangela Road (NP) Ch.0/000 to 4/000 (Sec.0/000-3/200) Ta. Talaja, Dist. Bhavnagar"/>
    <m/>
    <s v="Talaja"/>
    <s v="Talaja"/>
    <s v="Road"/>
    <m/>
    <n v="199601"/>
    <n v="1"/>
    <d v="2025-07-03T00:00:00"/>
    <d v="2025-07-14T00:00:00"/>
    <d v="2025-07-15T00:00:00"/>
    <d v="2025-11-11T00:00:00"/>
    <n v="21756202.609999999"/>
    <s v="Yes"/>
    <m/>
    <m/>
    <s v="Equals"/>
    <s v="Zero Rupees Only"/>
    <s v="Division"/>
    <m/>
    <n v="0"/>
    <m/>
    <n v="0"/>
    <n v="0"/>
    <n v="0"/>
    <m/>
    <m/>
    <m/>
    <m/>
    <m/>
    <m/>
    <n v="0"/>
    <d v="1903-03-15T00:00:00"/>
    <n v="0"/>
    <n v="0"/>
    <d v="1900-02-03T00:00:00"/>
    <d v="1903-01-14T00:00:00"/>
    <m/>
    <m/>
    <m/>
    <m/>
    <m/>
    <m/>
    <m/>
    <m/>
    <m/>
    <m/>
    <m/>
    <m/>
    <m/>
    <m/>
    <m/>
    <m/>
    <m/>
    <m/>
    <m/>
    <m/>
    <m/>
    <m/>
  </r>
  <r>
    <n v="256"/>
    <m/>
    <s v="2025-26"/>
    <x v="8"/>
    <n v="9"/>
    <s v="Construction of Vejodari to Mangela Road (NP) Ch.0/000 to 2/250 Ta. Talaja, Dist. Bhavnagar"/>
    <m/>
    <s v="Talaja"/>
    <s v="Talaja"/>
    <s v="Road"/>
    <m/>
    <n v="199602"/>
    <n v="1"/>
    <d v="2025-07-03T00:00:00"/>
    <d v="2025-07-14T00:00:00"/>
    <d v="2025-07-15T00:00:00"/>
    <d v="2025-11-11T00:00:00"/>
    <n v="13636075.76"/>
    <s v="Yes"/>
    <m/>
    <m/>
    <s v="Equals"/>
    <s v="Zero Rupees Only"/>
    <s v="Division"/>
    <m/>
    <n v="0"/>
    <m/>
    <n v="0"/>
    <n v="0"/>
    <n v="0"/>
    <m/>
    <m/>
    <m/>
    <m/>
    <m/>
    <m/>
    <n v="0"/>
    <d v="1903-03-15T00:00:00"/>
    <n v="0"/>
    <n v="0"/>
    <d v="1900-02-03T00:00:00"/>
    <d v="1903-01-14T00:00:00"/>
    <m/>
    <m/>
    <m/>
    <m/>
    <m/>
    <m/>
    <m/>
    <m/>
    <m/>
    <m/>
    <m/>
    <m/>
    <m/>
    <m/>
    <m/>
    <m/>
    <m/>
    <m/>
    <m/>
    <m/>
    <m/>
    <m/>
  </r>
  <r>
    <n v="257"/>
    <m/>
    <s v="2025-26"/>
    <x v="8"/>
    <n v="10"/>
    <s v="Construction of Ratanvav To Paravadi Road (NP) Km.0/000 to 3/500 Ta.Gariyadhar , Dist.; Bhavnagar"/>
    <m/>
    <s v="Gariyadhar"/>
    <s v="Palitana"/>
    <s v="Road"/>
    <m/>
    <n v="199603"/>
    <n v="1"/>
    <d v="2025-07-03T00:00:00"/>
    <d v="2025-07-14T00:00:00"/>
    <d v="2025-07-15T00:00:00"/>
    <d v="2025-11-11T00:00:00"/>
    <n v="41947449.920000002"/>
    <m/>
    <n v="33864176.32"/>
    <n v="-19.27"/>
    <s v="Below"/>
    <s v="Three Crore Thirty Eight Lakh Sixty Four Thousand One Hundred Seventy Six Rupees and Thirty Two Paise Only"/>
    <s v="Government"/>
    <m/>
    <n v="33864176.32"/>
    <s v="SHIV DHARA ENTERPRISE"/>
    <n v="0"/>
    <s v="Shop No. 131/B, First Floor, Shiva Belssing-2, Opp. BMC Office, Bhavnagar"/>
    <n v="9925888787"/>
    <d v="2025-07-25T00:00:00"/>
    <s v="5054 MMGSY NORMAL 2025-26"/>
    <s v="Road and Building Department, Ganghinagar"/>
    <s v="RBD/TRF/e-file/16/2025/4870/Section D1"/>
    <d v="2025-09-01T00:00:00"/>
    <n v="10"/>
    <n v="1694000"/>
    <d v="2029-10-24T00:00:00"/>
    <n v="121200"/>
    <n v="778000"/>
    <d v="2026-09-15T00:00:00"/>
    <d v="2029-08-25T00:00:00"/>
    <n v="1354"/>
    <d v="2025-09-22T00:00:00"/>
    <m/>
    <m/>
    <m/>
    <m/>
    <m/>
    <m/>
    <m/>
    <m/>
    <m/>
    <m/>
    <m/>
    <m/>
    <m/>
    <d v="2025-10-15T00:00:00"/>
    <m/>
    <m/>
    <m/>
    <m/>
    <m/>
    <m/>
  </r>
  <r>
    <n v="258"/>
    <m/>
    <s v="2025-26"/>
    <x v="8"/>
    <n v="11"/>
    <s v="Construction of Ratol To Chuna Road (Remaining Length) (NP) Km.0/000 to 1/400 Ta.Mahuva , Dist.; Bhavnagar"/>
    <m/>
    <s v="Mahuva"/>
    <s v="Mahuva"/>
    <s v="Road"/>
    <m/>
    <n v="199604"/>
    <n v="1"/>
    <d v="2025-07-03T00:00:00"/>
    <d v="2025-07-14T00:00:00"/>
    <d v="2025-07-15T00:00:00"/>
    <d v="2025-11-11T00:00:00"/>
    <n v="10473002.869999999"/>
    <m/>
    <n v="11075200.539999999"/>
    <n v="5.75"/>
    <s v="Above"/>
    <s v="One Crore Ten Lakh Seventy Five Thousand Two Hundred Rupees and Fifty Four Paise Only"/>
    <s v="Circle"/>
    <m/>
    <n v="11075200.539999999"/>
    <s v="SHIV DHARA ENTERPRISE"/>
    <n v="0"/>
    <s v="Shop No. 131/B, First Floor, Shiva Belssing-2, Opp. BMC Office, Bhavnagar"/>
    <n v="9925888787"/>
    <d v="2025-07-25T00:00:00"/>
    <s v="5054 MMGSY NORMAL 2024-25"/>
    <s v="Superintending Engineer, Panchayat Road and Building Circle-2, Rajkot"/>
    <s v="RPC-2/Tender/Bhavbagar/212"/>
    <d v="2025-08-08T00:00:00"/>
    <n v="6"/>
    <n v="554000"/>
    <d v="2029-06-12T00:00:00"/>
    <n v="27200"/>
    <n v="0"/>
    <d v="2026-05-04T00:00:00"/>
    <d v="2029-04-13T00:00:00"/>
    <n v="1254"/>
    <d v="2025-09-03T00:00:00"/>
    <m/>
    <m/>
    <m/>
    <m/>
    <m/>
    <m/>
    <m/>
    <m/>
    <m/>
    <m/>
    <m/>
    <m/>
    <m/>
    <d v="2025-10-01T00:00:00"/>
    <m/>
    <m/>
    <m/>
    <m/>
    <m/>
    <m/>
  </r>
  <r>
    <n v="259"/>
    <m/>
    <s v="2025-26"/>
    <x v="8"/>
    <n v="12"/>
    <s v="Construction of Panchtobra Gangajaliya to Malvali Road to Ratanvav Surnivas Road (NP) Km.0/000 to 2/200 Ta. Gariyadhar , Dist.; Bhavnagar"/>
    <m/>
    <s v="Gariyadhar"/>
    <s v="Palitana"/>
    <s v="Road"/>
    <m/>
    <n v="199605"/>
    <n v="1"/>
    <d v="2025-07-03T00:00:00"/>
    <d v="2025-07-14T00:00:00"/>
    <d v="2025-07-15T00:00:00"/>
    <d v="2025-11-11T00:00:00"/>
    <n v="27666802.899999999"/>
    <m/>
    <n v="21884441.09"/>
    <n v="-20.9"/>
    <s v="Below"/>
    <s v="Two Crore Eighteen Lakh Eighty Four Thousand Four Hundred Forty One Rupees and Nine Paise Only"/>
    <s v="Government"/>
    <m/>
    <n v="21884441.09"/>
    <s v="Suraj Corporation"/>
    <n v="0"/>
    <s v="SH-404, Amazing Star, Opp. Vishvamitri Society, Varachha, Surat - 395006"/>
    <n v="0"/>
    <d v="2025-07-25T00:00:00"/>
    <s v="5054 MMGSY NORMAL 2024-25"/>
    <s v="Road and Building Department, Ganghinagar"/>
    <s v="RBD/TRF/e-file/16/2025/4866/Section D1"/>
    <d v="2025-08-18T00:00:00"/>
    <n v="10"/>
    <n v="1095000"/>
    <d v="2029-10-24T00:00:00"/>
    <n v="98000"/>
    <n v="905000"/>
    <d v="2026-09-15T00:00:00"/>
    <d v="2029-08-25T00:00:00"/>
    <n v="1260"/>
    <d v="2025-09-04T00:00:00"/>
    <m/>
    <m/>
    <m/>
    <m/>
    <m/>
    <m/>
    <m/>
    <m/>
    <m/>
    <m/>
    <m/>
    <m/>
    <m/>
    <d v="2025-10-15T00:00:00"/>
    <m/>
    <m/>
    <m/>
    <m/>
    <m/>
    <m/>
  </r>
  <r>
    <n v="260"/>
    <m/>
    <s v="2025-26"/>
    <x v="8"/>
    <n v="13"/>
    <s v="Construction of Slab Drain on Krushnapara Village Joining Highway Road At Ch.0/020 Ta.Shihor , Dist.; Bhavnagar"/>
    <m/>
    <s v="Shihor"/>
    <s v="Shihor"/>
    <s v="Road"/>
    <m/>
    <n v="199608"/>
    <n v="1"/>
    <d v="2025-07-03T00:00:00"/>
    <d v="2025-07-14T00:00:00"/>
    <d v="2025-07-15T00:00:00"/>
    <d v="2025-11-11T00:00:00"/>
    <n v="7466411.8799999999"/>
    <m/>
    <n v="5811855.0099999998"/>
    <n v="-22.16"/>
    <s v="Below"/>
    <s v="Fifty Eight Lakh Eleven Thousand Eight Hundred Fifty Five Rupees and One Paise Only"/>
    <s v="Circle"/>
    <m/>
    <n v="5811855.0099999998"/>
    <s v="MAHI INFRASTRUCTURE"/>
    <n v="0"/>
    <s v="At Gadhula, Ta. Shihor, Dist. Bhavnagar - 364230"/>
    <n v="9979347794"/>
    <d v="2025-07-25T00:00:00"/>
    <s v="5054 MMGSY NORMAL"/>
    <s v="Superintending Engineer, Panchayat Road and Building Circle-2, Rajkot"/>
    <s v="RPC-2/Tender/Bhavbagar/213"/>
    <d v="2025-08-08T00:00:00"/>
    <n v="6"/>
    <n v="291000"/>
    <d v="2027-07-07T00:00:00"/>
    <n v="27700"/>
    <n v="273000"/>
    <d v="2026-05-18T00:00:00"/>
    <d v="2027-05-08T00:00:00"/>
    <n v="1220"/>
    <d v="2025-08-29T00:00:00"/>
    <s v="2025-26"/>
    <n v="190"/>
    <d v="2025-10-13T00:00:00"/>
    <s v="FDR"/>
    <s v="State Bank of India"/>
    <n v="44461392653"/>
    <n v="291000"/>
    <d v="2025-09-11T00:00:00"/>
    <s v="FDR"/>
    <s v="State Bank of India"/>
    <n v="44461391773"/>
    <n v="273000"/>
    <d v="2025-09-11T00:00:00"/>
    <d v="2025-10-15T00:00:00"/>
    <n v="1474"/>
    <d v="2025-10-13T00:00:00"/>
    <m/>
    <m/>
    <m/>
    <m/>
  </r>
  <r>
    <n v="261"/>
    <m/>
    <s v="2025-26"/>
    <x v="8"/>
    <n v="14"/>
    <s v="Construction to Roads of Bhavnagar District Package No. RPC-2/BVN/Normal/2022-23/P.06, Ta. Talaja"/>
    <s v="(1) Juni Chhapari Juna Sangana Road_x000a_(2) Pasvi Motaghana Road_x000a_(3) Pasvi Bhungar Road"/>
    <s v="Talaja"/>
    <s v="Talaja"/>
    <s v="Road"/>
    <m/>
    <m/>
    <n v="2"/>
    <d v="2025-07-03T00:00:00"/>
    <d v="2025-07-14T00:00:00"/>
    <d v="2025-07-15T00:00:00"/>
    <d v="2025-11-11T00:00:00"/>
    <n v="55033209.789999999"/>
    <s v="Yes"/>
    <m/>
    <m/>
    <s v="Equals"/>
    <s v="Zero Rupees Only"/>
    <s v="Division"/>
    <m/>
    <n v="0"/>
    <m/>
    <n v="0"/>
    <n v="0"/>
    <n v="0"/>
    <m/>
    <m/>
    <m/>
    <m/>
    <m/>
    <m/>
    <n v="0"/>
    <d v="2028-12-28T00:00:00"/>
    <n v="0"/>
    <n v="0"/>
    <d v="2025-11-19T00:00:00"/>
    <d v="2028-10-29T00:00:00"/>
    <m/>
    <m/>
    <m/>
    <m/>
    <m/>
    <m/>
    <m/>
    <m/>
    <m/>
    <m/>
    <m/>
    <m/>
    <m/>
    <m/>
    <m/>
    <d v="2025-10-15T00:00:00"/>
    <m/>
    <m/>
    <m/>
    <m/>
    <m/>
    <m/>
  </r>
  <r>
    <n v="262"/>
    <m/>
    <s v="2025-26"/>
    <x v="8"/>
    <n v="15"/>
    <s v="Construction of Ambla To Mahadevpara Road (NP) 0/00-3/200 Ta.Talaja Dist.; Bhavnagar."/>
    <m/>
    <s v="Talaja"/>
    <s v="Talaja"/>
    <s v="Road"/>
    <m/>
    <n v="199607"/>
    <n v="2"/>
    <d v="2025-07-03T00:00:00"/>
    <d v="2025-07-14T00:00:00"/>
    <d v="2025-07-15T00:00:00"/>
    <d v="2025-11-11T00:00:00"/>
    <n v="22338543.73"/>
    <m/>
    <n v="27029637.91"/>
    <n v="21"/>
    <s v="Above"/>
    <s v="Two Crore Seventy Lakh Twenty Nine Thousand Six Hundred Thirty Seven Rupees and Ninety One Paise Only"/>
    <s v="Government"/>
    <m/>
    <n v="27029637.91"/>
    <s v="KRISHNA CONSTRUCTION"/>
    <s v="BHADRESHSINH BHAGWATSING GOHIL"/>
    <s v="A/8, AKSHARDEEP COMPLEX, OPP. DEEPAK MEMORIAL HALL, SANSKAR MANDAL, BHAVNAGAR-364002"/>
    <n v="9925209999"/>
    <d v="2025-07-25T00:00:00"/>
    <s v="5054 MMGSY NORMAL"/>
    <s v="Road and Building Department, Ganghinagar"/>
    <s v="RBD/TRF/e-file/16/2025/4869/Section D1"/>
    <d v="2025-08-12T00:00:00"/>
    <n v="8"/>
    <n v="1352000"/>
    <d v="2029-08-25T00:00:00"/>
    <n v="66300"/>
    <n v="0"/>
    <d v="2026-07-17T00:00:00"/>
    <d v="2029-06-26T00:00:00"/>
    <n v="1255"/>
    <d v="2025-09-03T00:00:00"/>
    <m/>
    <m/>
    <m/>
    <m/>
    <m/>
    <m/>
    <m/>
    <m/>
    <m/>
    <m/>
    <m/>
    <m/>
    <m/>
    <d v="2025-10-15T00:00:00"/>
    <m/>
    <m/>
    <m/>
    <m/>
    <m/>
    <m/>
  </r>
  <r>
    <n v="263"/>
    <m/>
    <s v="2025-26"/>
    <x v="9"/>
    <n v="1"/>
    <s v="Work of Constructing, Strengthening and Resurfacing of various important roads as and when required or in emergency under bhavnagar district (Panchayat) (Annual Rate)"/>
    <m/>
    <m/>
    <e v="#N/A"/>
    <s v="Consultant"/>
    <m/>
    <n v="199490"/>
    <n v="1"/>
    <m/>
    <m/>
    <m/>
    <d v="1900-04-29T00:00:00"/>
    <n v="247012304.03"/>
    <s v="Yes"/>
    <m/>
    <m/>
    <s v="Equals"/>
    <s v="Zero Rupees Only"/>
    <s v="Division"/>
    <m/>
    <n v="0"/>
    <m/>
    <n v="0"/>
    <n v="0"/>
    <n v="0"/>
    <m/>
    <m/>
    <m/>
    <m/>
    <m/>
    <m/>
    <n v="0"/>
    <d v="1903-03-15T00:00:00"/>
    <n v="0"/>
    <n v="0"/>
    <d v="1900-02-03T00:00:00"/>
    <d v="1903-01-14T00:00:00"/>
    <m/>
    <m/>
    <m/>
    <m/>
    <m/>
    <m/>
    <m/>
    <m/>
    <m/>
    <m/>
    <m/>
    <m/>
    <m/>
    <m/>
    <m/>
    <m/>
    <m/>
    <m/>
    <m/>
    <m/>
    <m/>
    <m/>
  </r>
  <r>
    <n v="264"/>
    <m/>
    <s v="2025-26"/>
    <x v="9"/>
    <n v="2"/>
    <s v="Conctruction Work of New Cross Drainage, Repairing Cross Drainage, Structure and Bridge Repair work and other Misc. work various roads as and when  required or in emergency under bhavnagar district (Panchayat) (Annual Rate)"/>
    <m/>
    <m/>
    <e v="#N/A"/>
    <s v="Consultant"/>
    <m/>
    <n v="199492"/>
    <n v="1"/>
    <m/>
    <m/>
    <m/>
    <d v="1900-04-29T00:00:00"/>
    <n v="248929554.08000001"/>
    <s v="Yes"/>
    <m/>
    <m/>
    <s v="Equals"/>
    <s v="Zero Rupees Only"/>
    <s v="Division"/>
    <m/>
    <n v="0"/>
    <m/>
    <n v="0"/>
    <n v="0"/>
    <n v="0"/>
    <m/>
    <m/>
    <m/>
    <m/>
    <m/>
    <m/>
    <n v="0"/>
    <d v="1903-03-15T00:00:00"/>
    <n v="0"/>
    <n v="0"/>
    <d v="1900-02-03T00:00:00"/>
    <d v="1903-01-14T00:00:00"/>
    <m/>
    <m/>
    <m/>
    <m/>
    <m/>
    <m/>
    <m/>
    <m/>
    <m/>
    <m/>
    <m/>
    <m/>
    <m/>
    <m/>
    <m/>
    <m/>
    <m/>
    <m/>
    <m/>
    <m/>
    <m/>
    <m/>
  </r>
  <r>
    <n v="265"/>
    <m/>
    <s v="2025-26"/>
    <x v="10"/>
    <n v="1"/>
    <s v="Remaining works of Gram Panchayat office Building (Frame Structure) Gariyadhar Taluka Package No. 2017-18/18 (Shivendranagar, Moti Vavdi, Rupavati), Dist. Bhavnagar"/>
    <m/>
    <s v="Gariyadhar"/>
    <s v="Palitana"/>
    <s v="Building"/>
    <m/>
    <m/>
    <n v="9"/>
    <m/>
    <m/>
    <m/>
    <d v="1900-04-29T00:00:00"/>
    <m/>
    <s v="Yes"/>
    <m/>
    <m/>
    <s v="Equals"/>
    <s v="Zero Rupees Only"/>
    <s v="Division"/>
    <m/>
    <n v="0"/>
    <m/>
    <n v="0"/>
    <n v="0"/>
    <n v="0"/>
    <m/>
    <m/>
    <m/>
    <m/>
    <m/>
    <m/>
    <n v="0"/>
    <d v="1901-03-25T00:00:00"/>
    <n v="0"/>
    <n v="0"/>
    <d v="1900-02-03T00:00:00"/>
    <d v="1901-01-24T00:00:00"/>
    <m/>
    <m/>
    <m/>
    <m/>
    <m/>
    <m/>
    <m/>
    <m/>
    <m/>
    <m/>
    <m/>
    <m/>
    <m/>
    <m/>
    <m/>
    <m/>
    <m/>
    <m/>
    <m/>
    <m/>
    <m/>
    <m/>
  </r>
  <r>
    <n v="266"/>
    <m/>
    <s v="2025-26"/>
    <x v="10"/>
    <n v="2"/>
    <s v="Remaining works Construction of Gram Panchayat office Building (Frame Structure) at village Pansada Dist. Bhavnagar"/>
    <m/>
    <s v="Gariyadhar"/>
    <s v="Palitana"/>
    <s v="Building"/>
    <m/>
    <m/>
    <n v="9"/>
    <m/>
    <m/>
    <m/>
    <d v="1900-04-29T00:00:00"/>
    <m/>
    <s v="Yes"/>
    <m/>
    <m/>
    <s v="Equals"/>
    <s v="Zero Rupees Only"/>
    <s v="Division"/>
    <m/>
    <n v="0"/>
    <m/>
    <n v="0"/>
    <n v="0"/>
    <n v="0"/>
    <m/>
    <m/>
    <m/>
    <m/>
    <m/>
    <m/>
    <n v="0"/>
    <d v="1901-03-25T00:00:00"/>
    <n v="0"/>
    <n v="0"/>
    <d v="1900-02-03T00:00:00"/>
    <d v="1901-01-24T00:00:00"/>
    <m/>
    <m/>
    <m/>
    <m/>
    <m/>
    <m/>
    <m/>
    <m/>
    <m/>
    <m/>
    <m/>
    <m/>
    <m/>
    <m/>
    <m/>
    <m/>
    <m/>
    <m/>
    <m/>
    <m/>
    <m/>
    <m/>
  </r>
  <r>
    <n v="267"/>
    <m/>
    <s v="2025-26"/>
    <x v="10"/>
    <n v="3"/>
    <s v="Construction of School Building at Kalivav Primary School (One Class Room)  and Koliyak Kanya P.S. (Four Class Room) Ta. And Dist. Bhavnagar"/>
    <m/>
    <s v="Bhavnagar"/>
    <s v="Bhavnagar"/>
    <s v="Building"/>
    <m/>
    <m/>
    <n v="7"/>
    <m/>
    <m/>
    <m/>
    <d v="1900-04-29T00:00:00"/>
    <m/>
    <s v="Yes"/>
    <m/>
    <m/>
    <s v="Equals"/>
    <s v="Zero Rupees Only"/>
    <s v="Division"/>
    <m/>
    <n v="0"/>
    <m/>
    <n v="0"/>
    <n v="0"/>
    <n v="0"/>
    <m/>
    <m/>
    <m/>
    <m/>
    <m/>
    <m/>
    <n v="0"/>
    <d v="1901-03-25T00:00:00"/>
    <n v="0"/>
    <n v="0"/>
    <d v="1900-02-03T00:00:00"/>
    <d v="1901-01-24T00:00:00"/>
    <m/>
    <m/>
    <m/>
    <m/>
    <m/>
    <m/>
    <m/>
    <m/>
    <m/>
    <m/>
    <m/>
    <m/>
    <m/>
    <m/>
    <m/>
    <m/>
    <m/>
    <m/>
    <m/>
    <m/>
    <m/>
    <m/>
  </r>
  <r>
    <n v="268"/>
    <m/>
    <s v="2025-26"/>
    <x v="10"/>
    <n v="4"/>
    <s v="Construction of Nandghar (Anganvadi) Building at Undavi-1 (Bhavnagar) Ta. Bhavnagar Dist. Bhavnagar"/>
    <m/>
    <s v="Bhavnagar"/>
    <s v="Bhavnagar"/>
    <s v="Building"/>
    <s v="Anganvadi"/>
    <m/>
    <n v="3"/>
    <m/>
    <m/>
    <m/>
    <d v="1900-04-29T00:00:00"/>
    <m/>
    <s v="Yes"/>
    <m/>
    <m/>
    <s v="Equals"/>
    <s v="Zero Rupees Only"/>
    <s v="Division"/>
    <m/>
    <n v="0"/>
    <m/>
    <n v="0"/>
    <n v="0"/>
    <n v="0"/>
    <m/>
    <m/>
    <m/>
    <m/>
    <m/>
    <m/>
    <n v="0"/>
    <d v="1901-03-25T00:00:00"/>
    <n v="0"/>
    <n v="0"/>
    <d v="1900-02-03T00:00:00"/>
    <d v="1901-01-24T00:00:00"/>
    <m/>
    <m/>
    <m/>
    <m/>
    <m/>
    <m/>
    <m/>
    <m/>
    <m/>
    <m/>
    <m/>
    <m/>
    <m/>
    <m/>
    <m/>
    <m/>
    <m/>
    <m/>
    <m/>
    <m/>
    <m/>
    <m/>
  </r>
  <r>
    <n v="269"/>
    <m/>
    <s v="2025-26"/>
    <x v="10"/>
    <n v="5"/>
    <s v="Construction of Nandghar (Anganvadi) Building at Village Kumbhariy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0"/>
    <m/>
    <s v="2025-26"/>
    <x v="10"/>
    <n v="6"/>
    <s v="Construction of Nandghar (Anganvadi) Building at Village Mota Khuntavada-2,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1"/>
    <m/>
    <s v="2025-26"/>
    <x v="10"/>
    <n v="7"/>
    <s v="Construction of Nandghar (Anganvadi) Building at Village Titodiy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2"/>
    <m/>
    <s v="2025-26"/>
    <x v="10"/>
    <n v="8"/>
    <s v="Construction of Nandghar (Anganvadi) Building at Village Gundarani,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3"/>
    <m/>
    <s v="2025-26"/>
    <x v="10"/>
    <n v="9"/>
    <s v="Construction of Nandghar (Anganvadi) Building at Village Mota Malpar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4"/>
    <m/>
    <s v="2025-26"/>
    <x v="10"/>
    <n v="10"/>
    <s v="Construction of Nandghar (Anganvadi) Building at Village Bagdana-3 Tal. Mahuva Dist. Bhavnagar"/>
    <m/>
    <s v="Mahuva"/>
    <s v="Mahuva"/>
    <s v="Building"/>
    <s v="Anganvadi"/>
    <n v="199528"/>
    <n v="3"/>
    <m/>
    <d v="2025-07-10T00:00:00"/>
    <m/>
    <d v="2025-11-07T00:00:00"/>
    <n v="1024912.96"/>
    <m/>
    <n v="1024912.96"/>
    <n v="0"/>
    <s v="Equals"/>
    <s v="Ten Lakh Twenty Four Thousand Nine Hundred Twelve Rupees and Ninety Six Paise Only"/>
    <s v="Division"/>
    <m/>
    <n v="1024912.96"/>
    <s v="GOPNATHJI CONSTRUCTIONS PRIVATE LIMITED"/>
    <n v="0"/>
    <s v="185, Reliya Plot Vistar, Reliya, Tal. Talaja, Dist. Bhavnagar-364135"/>
    <n v="9737944545"/>
    <m/>
    <m/>
    <m/>
    <m/>
    <m/>
    <m/>
    <n v="52000"/>
    <d v="2026-12-25T00:00:00"/>
    <n v="2600"/>
    <n v="0"/>
    <d v="2025-11-05T00:00:00"/>
    <d v="2026-10-26T00:00:00"/>
    <n v="1282"/>
    <d v="2025-09-09T00:00:00"/>
    <m/>
    <m/>
    <m/>
    <m/>
    <m/>
    <m/>
    <m/>
    <m/>
    <m/>
    <m/>
    <m/>
    <m/>
    <m/>
    <d v="2025-10-01T00:00:00"/>
    <m/>
    <m/>
    <m/>
    <m/>
    <m/>
    <m/>
  </r>
  <r>
    <n v="275"/>
    <m/>
    <s v="2025-26"/>
    <x v="10"/>
    <n v="11"/>
    <s v="Construction of Nandghar (Anganvadi) Building at Village Mota Khuntavada-3,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6"/>
    <m/>
    <s v="2025-26"/>
    <x v="10"/>
    <n v="12"/>
    <s v="Construction of Nandghar (Anganvadi) Building at Village Vaghvadard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7"/>
    <m/>
    <s v="2025-26"/>
    <x v="10"/>
    <n v="13"/>
    <s v="Construction of Nandghar (Anganvadi) Building at Village Lusadi Tal. Mahuva Dist. Bhavnagar"/>
    <m/>
    <s v="Mahuva"/>
    <s v="Mahuva"/>
    <s v="Building"/>
    <s v="Anganvadi"/>
    <n v="199533"/>
    <n v="3"/>
    <m/>
    <d v="2025-07-10T00:00:00"/>
    <m/>
    <d v="2025-11-07T00:00:00"/>
    <n v="1024912.96"/>
    <m/>
    <n v="988528.55"/>
    <n v="-3.55"/>
    <s v="Below"/>
    <s v="Nine Lakh Eighty Eight Thousand Five Hundred Twenty Eight Rupees and Fifty Five Paise Only"/>
    <s v="Division"/>
    <m/>
    <n v="988528.55"/>
    <s v="BALAJI CONSTRUCTION"/>
    <s v="Siddharth Parbatbhai Bed"/>
    <s v="At Hemal, Ta. Jafarabad, Dist. Amreli - 365545"/>
    <n v="9586762457"/>
    <m/>
    <m/>
    <m/>
    <m/>
    <m/>
    <n v="3"/>
    <n v="50000"/>
    <d v="2027-03-04T00:00:00"/>
    <n v="2500"/>
    <n v="0"/>
    <d v="2026-01-13T00:00:00"/>
    <d v="2027-01-03T00:00:00"/>
    <n v="1206"/>
    <d v="2025-08-26T00:00:00"/>
    <s v="2025-26"/>
    <n v="145"/>
    <d v="2025-09-10T00:00:00"/>
    <s v="FDR"/>
    <s v="SAURASHTRA GRAMIN BANK"/>
    <n v="78049184775"/>
    <n v="50000"/>
    <d v="2025-09-03T00:00:00"/>
    <m/>
    <m/>
    <m/>
    <m/>
    <m/>
    <d v="2025-09-10T00:00:00"/>
    <n v="1288"/>
    <d v="2025-09-10T00:00:00"/>
    <m/>
    <m/>
    <m/>
    <m/>
  </r>
  <r>
    <n v="278"/>
    <m/>
    <s v="2025-26"/>
    <x v="10"/>
    <n v="14"/>
    <s v="Construction of Nandghar (Anganvadi) Building at Village Dudan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9"/>
    <m/>
    <s v="2025-26"/>
    <x v="11"/>
    <n v="1"/>
    <s v="Work of Constructing, Strengthening and Resurfacing of various important roads as and when required or in emergency under bhavnagar district (Panchayat) (Annual Rate)"/>
    <m/>
    <s v="Bhavnagar"/>
    <s v="Bhavnagar"/>
    <s v="Consultant"/>
    <m/>
    <n v="203561"/>
    <n v="2"/>
    <d v="2025-07-10T00:00:00"/>
    <d v="2025-07-18T00:00:00"/>
    <d v="2025-07-19T00:00:00"/>
    <d v="2025-11-15T00:00:00"/>
    <n v="247012304.43000001"/>
    <m/>
    <n v="258992401.19"/>
    <n v="4.8499999999999996"/>
    <s v="Above"/>
    <s v="Twenty Five Crore Eighty Nine Lakh Ninety Two Thousand Four Hundred One Rupees and Nineteen Paise Only"/>
    <s v="Government"/>
    <m/>
    <n v="258992401.19"/>
    <s v="HARI OM CONSTRUCTION CO."/>
    <n v="0"/>
    <s v="Opp. Nagar Palika Shoping Center, Swami Vivekanand Park, Devli Road, Kodinar, Dist. Gir Somnath - 362720"/>
    <n v="9898222122"/>
    <d v="2025-08-06T00:00:00"/>
    <m/>
    <s v="Road and Building Department, Ganghinagar"/>
    <s v="RBD/TRF/e-file/16/2025/5166/Section D1"/>
    <d v="2025-09-10T00:00:00"/>
    <n v="12"/>
    <n v="12950000"/>
    <d v="1904-03-09T00:00:00"/>
    <n v="634600"/>
    <n v="0"/>
    <d v="1901-01-29T00:00:00"/>
    <d v="1904-01-09T00:00:00"/>
    <n v="1400"/>
    <d v="2025-09-29T00:00:00"/>
    <m/>
    <m/>
    <m/>
    <m/>
    <m/>
    <m/>
    <m/>
    <m/>
    <m/>
    <m/>
    <m/>
    <m/>
    <m/>
    <m/>
    <m/>
    <m/>
    <m/>
    <m/>
    <m/>
    <m/>
  </r>
  <r>
    <n v="280"/>
    <m/>
    <s v="2025-26"/>
    <x v="11"/>
    <n v="2"/>
    <s v="Conctruction Work of New Cross Drainage, Repairing Cross Drainage, Structure and Bridge Repair work and other Misc. work various roads as and when  required or in emergency under bhavnagar district (Panchayat) (Annual Rate)"/>
    <m/>
    <s v="Bhavnagar"/>
    <s v="Bhavnagar"/>
    <s v="Consultant"/>
    <m/>
    <n v="203610"/>
    <n v="2"/>
    <d v="2025-07-10T00:00:00"/>
    <d v="2025-07-18T00:00:00"/>
    <d v="2025-07-19T00:00:00"/>
    <d v="2025-11-15T00:00:00"/>
    <n v="248929554.08000001"/>
    <m/>
    <n v="334063461.57999998"/>
    <n v="34.200000000000003"/>
    <s v="Above"/>
    <s v="Thirty Three Crore Forty Lakh Sixty Three Thousand Four Hundred Sixty One Rupees and Fifty Eight Paise Only"/>
    <s v="Government"/>
    <m/>
    <n v="334063461.57999998"/>
    <s v="JAYDEEP CONSTRUCTION CO"/>
    <s v="Not Found"/>
    <s v="Not Found"/>
    <s v="Not Found"/>
    <d v="2025-08-06T00:00:00"/>
    <m/>
    <m/>
    <m/>
    <s v="Rejected"/>
    <m/>
    <n v="16704000"/>
    <d v="1903-03-15T00:00:00"/>
    <n v="818500"/>
    <n v="0"/>
    <d v="1900-02-03T00:00:00"/>
    <d v="1903-01-14T00:00:00"/>
    <m/>
    <m/>
    <m/>
    <m/>
    <m/>
    <m/>
    <m/>
    <m/>
    <m/>
    <m/>
    <m/>
    <m/>
    <m/>
    <m/>
    <m/>
    <m/>
    <m/>
    <m/>
    <m/>
    <m/>
    <m/>
    <m/>
  </r>
  <r>
    <n v="281"/>
    <m/>
    <s v="2025-26"/>
    <x v="12"/>
    <n v="1"/>
    <s v="Empanelment of Service Providing from consultants for Tender Uploading, Tender Opening and prepare Tender Approval Proposal under R &amp; B (Panchayat) Division, Bhavnagar"/>
    <m/>
    <s v="Bhavnagar"/>
    <s v="Bhavnagar"/>
    <s v="Consultant"/>
    <m/>
    <m/>
    <n v="1"/>
    <m/>
    <m/>
    <m/>
    <d v="1900-04-29T00:00:00"/>
    <m/>
    <s v="Yes"/>
    <m/>
    <m/>
    <s v="Equals"/>
    <s v="Zero Rupees Only"/>
    <s v="Division"/>
    <m/>
    <n v="0"/>
    <m/>
    <n v="0"/>
    <n v="0"/>
    <n v="0"/>
    <m/>
    <m/>
    <m/>
    <m/>
    <m/>
    <m/>
    <n v="0"/>
    <d v="1901-03-25T00:00:00"/>
    <n v="0"/>
    <n v="0"/>
    <d v="1900-02-03T00:00:00"/>
    <d v="1901-01-24T00:00:00"/>
    <m/>
    <m/>
    <m/>
    <m/>
    <m/>
    <m/>
    <m/>
    <m/>
    <m/>
    <m/>
    <m/>
    <m/>
    <m/>
    <m/>
    <m/>
    <m/>
    <m/>
    <m/>
    <m/>
    <m/>
    <m/>
    <m/>
  </r>
  <r>
    <n v="282"/>
    <m/>
    <s v="2025-26"/>
    <x v="13"/>
    <n v="1"/>
    <s v="Construction of Gram Panchayat office (Frame structure) at Village Ranivada Tal. Mahuva Dist. Bhavnagar "/>
    <m/>
    <s v="Mahuva"/>
    <s v="Mahuva"/>
    <s v="Building"/>
    <s v="Gram Panchayat"/>
    <n v="211655"/>
    <m/>
    <d v="2025-08-03T00:00:00"/>
    <d v="2025-08-11T00:00:00"/>
    <d v="2025-08-12T00:00:00"/>
    <d v="2025-12-09T00:00:00"/>
    <n v="2079935.08"/>
    <m/>
    <n v="1960338.81"/>
    <n v="-5.75"/>
    <s v="Below"/>
    <s v="Nineteen Lakh Sixty Thousand Three Hundred Thirty Eight Rupees and Eighty One Paise Only"/>
    <s v="Division"/>
    <m/>
    <n v="1960338.81"/>
    <s v="SHIVAM CONSTRUCTION"/>
    <s v="Chhelana Vipul Hadabhai"/>
    <s v="At Survey No. 4 P, Shiv Hotel, Rohisha Chowkadi, Mahuva, Dist. Bhavnagar"/>
    <n v="7405505555"/>
    <m/>
    <s v="CDP-5"/>
    <m/>
    <m/>
    <m/>
    <n v="4"/>
    <n v="99000"/>
    <d v="2027-05-08T00:00:00"/>
    <n v="4900"/>
    <n v="0"/>
    <d v="2026-03-19T00:00:00"/>
    <d v="2027-03-09T00:00:00"/>
    <n v="1370"/>
    <d v="2025-09-22T00:00:00"/>
    <s v="2025-26"/>
    <n v="183"/>
    <d v="2025-10-13T00:00:00"/>
    <s v="FDR"/>
    <s v="Bank of India"/>
    <s v="320556110000296"/>
    <n v="99000"/>
    <d v="2025-10-07T00:00:00"/>
    <m/>
    <m/>
    <m/>
    <m/>
    <m/>
    <d v="2025-10-15T00:00:00"/>
    <n v="1457"/>
    <d v="2025-10-13T00:00:00"/>
    <m/>
    <m/>
    <m/>
    <m/>
  </r>
  <r>
    <n v="283"/>
    <m/>
    <s v="2025-26"/>
    <x v="13"/>
    <n v="2"/>
    <s v="Construction of Gram Panchayat office (Frame structure) at Village Gadhada Tal. Mahuva Dist. Bhavnagar"/>
    <m/>
    <s v="Mahuva"/>
    <s v="Mahuva"/>
    <s v="Building"/>
    <s v="Gram Panchayat"/>
    <n v="211703"/>
    <m/>
    <d v="2025-08-03T00:00:00"/>
    <d v="2025-08-11T00:00:00"/>
    <d v="2025-08-12T00:00:00"/>
    <d v="2025-12-09T00:00:00"/>
    <n v="2079935.08"/>
    <m/>
    <n v="2033136.54"/>
    <n v="-2.25"/>
    <s v="Below"/>
    <s v="Twenty Lakh Thirty Three Thousand One Hundred Thirty Six Rupees and Fifty Four Paise Only"/>
    <s v="Division"/>
    <m/>
    <n v="2033136.54"/>
    <s v="SHIVAM CONSTRUCTION"/>
    <s v="Chhelana Vipul Hadabhai"/>
    <s v="At Survey No. 4 P, Shiv Hotel, Rohisha Chowkadi, Mahuva, Dist. Bhavnagar"/>
    <n v="7405505555"/>
    <m/>
    <s v="CDP-5"/>
    <m/>
    <m/>
    <m/>
    <n v="4"/>
    <n v="102000"/>
    <d v="2027-05-08T00:00:00"/>
    <n v="5000"/>
    <n v="0"/>
    <d v="2026-03-19T00:00:00"/>
    <d v="2027-03-09T00:00:00"/>
    <n v="1364"/>
    <d v="2025-09-22T00:00:00"/>
    <s v="2025-26"/>
    <n v="179"/>
    <d v="2025-10-13T00:00:00"/>
    <s v="FDR"/>
    <s v="Bank of India"/>
    <s v="320556110000299"/>
    <n v="102000"/>
    <d v="2025-10-07T00:00:00"/>
    <m/>
    <m/>
    <m/>
    <m/>
    <m/>
    <d v="2025-10-15T00:00:00"/>
    <n v="1458"/>
    <d v="2025-10-13T00:00:00"/>
    <m/>
    <m/>
    <m/>
    <m/>
  </r>
  <r>
    <n v="284"/>
    <m/>
    <s v="2025-26"/>
    <x v="13"/>
    <n v="3"/>
    <s v="Construction of Gram Panchayat office (Frame structure) at Village Juna Jaliya Tal. Shihor Dist. Bhavnagar"/>
    <m/>
    <s v="Shihor"/>
    <s v="Shihor"/>
    <s v="Building"/>
    <s v="Gram Panchayat"/>
    <n v="211769"/>
    <m/>
    <d v="2025-08-03T00:00:00"/>
    <d v="2025-08-11T00:00:00"/>
    <d v="2025-08-12T00:00:00"/>
    <d v="2025-12-09T00:00:00"/>
    <n v="2027056.59"/>
    <m/>
    <n v="1924082.12"/>
    <n v="-5.08"/>
    <s v="Below"/>
    <s v="Nineteen Lakh Twenty Four Thousand Eighty Two Rupees and Twelve Paise Only"/>
    <s v="Division"/>
    <m/>
    <n v="1924082.12"/>
    <s v="PARTH K MEHTA"/>
    <s v="PARTH Kiritkumar MEHTA"/>
    <s v="Plot No. 1578/I, New Champa Tenament, Divadi Road, Rupani Circle, Bhavnagar - 364002"/>
    <n v="7990934709"/>
    <m/>
    <s v="CDP-5"/>
    <m/>
    <m/>
    <m/>
    <n v="4"/>
    <n v="97000"/>
    <d v="2027-04-24T00:00:00"/>
    <n v="4800"/>
    <n v="0"/>
    <d v="2026-03-05T00:00:00"/>
    <d v="2027-02-23T00:00:00"/>
    <n v="1318"/>
    <d v="2025-09-15T00:00:00"/>
    <m/>
    <m/>
    <m/>
    <m/>
    <m/>
    <m/>
    <m/>
    <m/>
    <m/>
    <m/>
    <m/>
    <m/>
    <m/>
    <d v="2025-10-01T00:00:00"/>
    <m/>
    <m/>
    <m/>
    <m/>
    <m/>
    <m/>
  </r>
  <r>
    <n v="285"/>
    <m/>
    <s v="2025-26"/>
    <x v="13"/>
    <n v="4"/>
    <s v="Construction of Gram Panchayat office (Frame structure) at Village Jasvantpur Taluko: Bhavnagar Dist. Bhavnagar"/>
    <m/>
    <s v="Bhavnagar"/>
    <s v="Bhavnagar"/>
    <s v="Building"/>
    <s v="Gram Panchayat"/>
    <n v="211774"/>
    <m/>
    <d v="2025-08-03T00:00:00"/>
    <d v="2025-08-11T00:00:00"/>
    <d v="2025-08-12T00:00:00"/>
    <d v="2025-12-09T00:00:00"/>
    <n v="2079935.08"/>
    <m/>
    <n v="2079935.08"/>
    <n v="0"/>
    <s v="Equals"/>
    <s v="Twenty Lakh Seventy Nine Thousand Nine Hundred Thirty Five Rupees and Eight Paise Only"/>
    <s v="Division"/>
    <m/>
    <n v="2079935.08"/>
    <s v="SHREEJI STONE INDUSTRIES"/>
    <n v="0"/>
    <s v="33, Virbhadra Shopping Center, Nr. Nilambaug Circle, Bhavnagar - 364002"/>
    <n v="9825325757"/>
    <m/>
    <m/>
    <m/>
    <m/>
    <m/>
    <n v="4"/>
    <n v="104000"/>
    <d v="2027-04-24T00:00:00"/>
    <n v="5100"/>
    <n v="0"/>
    <d v="2026-03-05T00:00:00"/>
    <d v="2027-02-23T00:00:00"/>
    <n v="1511"/>
    <d v="2025-11-10T00:00:00"/>
    <m/>
    <m/>
    <m/>
    <m/>
    <m/>
    <m/>
    <m/>
    <m/>
    <m/>
    <m/>
    <m/>
    <m/>
    <m/>
    <d v="2025-10-01T00:00:00"/>
    <m/>
    <m/>
    <m/>
    <m/>
    <m/>
    <m/>
  </r>
  <r>
    <n v="286"/>
    <m/>
    <s v="2025-26"/>
    <x v="13"/>
    <n v="5"/>
    <s v="Construction of Gram Panchayat office (Frame structure) at Village Bhojpara Taluka: Bhavnagar Dist. Bhavnagar"/>
    <m/>
    <s v="Bhavnagar"/>
    <s v="Bhavnagar"/>
    <s v="Building"/>
    <s v="Gram Panchayat"/>
    <n v="211776"/>
    <m/>
    <d v="2025-08-03T00:00:00"/>
    <d v="2025-08-11T00:00:00"/>
    <d v="2025-08-12T00:00:00"/>
    <d v="2025-12-09T00:00:00"/>
    <n v="2079935.08"/>
    <m/>
    <n v="2048320.07"/>
    <n v="-1.52"/>
    <s v="Below"/>
    <s v="Twenty Lakh Forty Eight Thousand Three Hundred Twenty Rupees and Seven Paise Only"/>
    <s v="Division"/>
    <m/>
    <n v="2048320.07"/>
    <s v="BABUBHAI HAKABHAI GOHIL"/>
    <n v="0"/>
    <s v="Dr. Ambedkar Society, Jamvali Road, Palitana, Dist Bhavnagar"/>
    <n v="9106563480"/>
    <m/>
    <m/>
    <m/>
    <m/>
    <m/>
    <n v="4"/>
    <n v="103000"/>
    <d v="2027-04-24T00:00:00"/>
    <n v="5100"/>
    <n v="0"/>
    <d v="2026-03-05T00:00:00"/>
    <d v="2027-02-23T00:00:00"/>
    <n v="1308"/>
    <d v="2025-09-15T00:00:00"/>
    <m/>
    <m/>
    <m/>
    <m/>
    <m/>
    <m/>
    <m/>
    <m/>
    <m/>
    <m/>
    <m/>
    <m/>
    <m/>
    <d v="2025-10-01T00:00:00"/>
    <m/>
    <m/>
    <m/>
    <m/>
    <m/>
    <m/>
  </r>
  <r>
    <n v="287"/>
    <m/>
    <s v="2025-26"/>
    <x v="13"/>
    <n v="6"/>
    <s v="Construction of Gram Panchayat office (Frame structure) at Village Paliyad Taluka: Bhavnagar Dist. Bhavnagar"/>
    <m/>
    <s v="Bhavnagar"/>
    <s v="Bhavnagar"/>
    <s v="Building"/>
    <s v="Gram Panchayat"/>
    <n v="211780"/>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288"/>
    <m/>
    <s v="2025-26"/>
    <x v="13"/>
    <n v="7"/>
    <s v="Construction of Gram Panchayat office (Frame structure) at Village Rajgadh Taluka: Bhavnagar Dist. Bhavnagar"/>
    <m/>
    <s v="Bhavnagar"/>
    <s v="Bhavnagar"/>
    <s v="Building"/>
    <s v="Gram Panchayat"/>
    <n v="211781"/>
    <m/>
    <d v="2025-08-03T00:00:00"/>
    <d v="2025-08-11T00:00:00"/>
    <d v="2025-08-12T00:00:00"/>
    <d v="2025-12-09T00:00:00"/>
    <n v="2079935.08"/>
    <m/>
    <n v="2037712.4"/>
    <n v="-2.0299999999999998"/>
    <s v="Below"/>
    <s v="Twenty Lakh Thirty Seven Thousand Seven Hundred Twelve Rupees and Four Paise Only"/>
    <s v="Division"/>
    <m/>
    <n v="2037712.4"/>
    <s v="RUDRA CONSTRUCTION"/>
    <s v="(1) Harshad Kalubhai Dungrani_x000a_(2) Lalita Harshad Dungrani"/>
    <s v="G 402, Abhilasha Sky, Gopal Chowk, Nikol, Ahmedabad - 382350"/>
    <n v="9727220227"/>
    <m/>
    <m/>
    <m/>
    <m/>
    <m/>
    <n v="4"/>
    <n v="102000"/>
    <d v="2027-04-24T00:00:00"/>
    <n v="5000"/>
    <n v="0"/>
    <d v="2026-03-05T00:00:00"/>
    <d v="2027-02-23T00:00:00"/>
    <n v="1333"/>
    <d v="2025-09-15T00:00:00"/>
    <m/>
    <m/>
    <m/>
    <m/>
    <m/>
    <m/>
    <m/>
    <m/>
    <m/>
    <m/>
    <m/>
    <m/>
    <m/>
    <d v="2025-10-01T00:00:00"/>
    <m/>
    <m/>
    <m/>
    <m/>
    <m/>
    <m/>
  </r>
  <r>
    <n v="289"/>
    <m/>
    <s v="2025-26"/>
    <x v="13"/>
    <n v="8"/>
    <s v="Construction of Gram Panchayat office (Frame structure) at Village Adhelai Tal. Bhavnagar Dist. Bhavnagar"/>
    <m/>
    <s v="Bhavnagar"/>
    <s v="Bhavnagar"/>
    <s v="Building"/>
    <s v="Gram Panchayat"/>
    <n v="211782"/>
    <m/>
    <d v="2025-08-03T00:00:00"/>
    <d v="2025-08-11T00:00:00"/>
    <d v="2025-08-12T00:00:00"/>
    <d v="2025-12-09T00:00:00"/>
    <n v="2079935.08"/>
    <m/>
    <n v="2027936.7"/>
    <n v="-2.5"/>
    <s v="Below"/>
    <s v="Twenty Lakh Twenty Seven Thousand Nine Hundred Thirty Six Rupees and Seven Paise Only"/>
    <s v="Division"/>
    <m/>
    <n v="2027936.7"/>
    <s v="RUDRA CONSTRUCTION"/>
    <s v="(1) Harshad Kalubhai Dungrani_x000a_(2) Lalita Harshad Dungrani"/>
    <s v="G 402, Abhilasha Sky, Gopal Chowk, Nikol, Ahmedabad - 382350"/>
    <n v="9727220227"/>
    <m/>
    <m/>
    <m/>
    <m/>
    <m/>
    <n v="4"/>
    <n v="102000"/>
    <d v="2027-04-24T00:00:00"/>
    <n v="5000"/>
    <n v="0"/>
    <d v="2026-03-05T00:00:00"/>
    <d v="2027-02-23T00:00:00"/>
    <n v="1328"/>
    <d v="2025-09-15T00:00:00"/>
    <m/>
    <m/>
    <m/>
    <m/>
    <m/>
    <m/>
    <m/>
    <m/>
    <m/>
    <m/>
    <m/>
    <m/>
    <m/>
    <d v="2025-10-01T00:00:00"/>
    <m/>
    <m/>
    <m/>
    <m/>
    <m/>
    <m/>
  </r>
  <r>
    <n v="290"/>
    <m/>
    <s v="2025-26"/>
    <x v="13"/>
    <n v="9"/>
    <s v="Construction of Gram Panchayat office (Frame structure) at Village Chomal Taluka: Gariyadhar Dist. Bhavnagar"/>
    <m/>
    <s v="Gariyadhar"/>
    <s v="Palitana"/>
    <s v="Building"/>
    <s v="Gram Panchayat"/>
    <n v="211783"/>
    <m/>
    <d v="2025-08-03T00:00:00"/>
    <d v="2025-08-11T00:00:00"/>
    <d v="2025-08-12T00:00:00"/>
    <d v="2025-12-09T00:00:00"/>
    <n v="2079935.08"/>
    <m/>
    <n v="1934339.62"/>
    <n v="-7"/>
    <s v="Below"/>
    <s v="Nineteen Lakh Thirty Four Thousand Three Hundred Thirty Nine Rupees and Sixty Two Paise Only"/>
    <s v="Division"/>
    <m/>
    <n v="1934339.62"/>
    <s v="GOHIL NARENDRASINH P"/>
    <s v="Narendrasinh Parbatsinh Gohil"/>
    <s v="At Village Rajapara (Thadach), Ta. Palitana, Dist. Bhavnagar - 364270"/>
    <n v="9998577523"/>
    <m/>
    <s v="CDP-5"/>
    <m/>
    <m/>
    <m/>
    <n v="4"/>
    <n v="97000"/>
    <d v="2027-06-03T00:00:00"/>
    <n v="4800"/>
    <n v="0"/>
    <d v="2026-04-14T00:00:00"/>
    <d v="2027-04-04T00:00:00"/>
    <n v="1311"/>
    <d v="2025-09-15T00:00:00"/>
    <s v="2025-26"/>
    <n v="200"/>
    <d v="2025-11-08T00:00:00"/>
    <s v="FDR"/>
    <s v="Gujarat Gramin Bank"/>
    <s v="22670300000032"/>
    <n v="97000"/>
    <d v="2025-10-28T00:00:00"/>
    <m/>
    <m/>
    <m/>
    <m/>
    <m/>
    <d v="2025-11-10T00:00:00"/>
    <n v="1505"/>
    <d v="2025-11-08T00:00:00"/>
    <m/>
    <m/>
    <m/>
    <m/>
  </r>
  <r>
    <n v="291"/>
    <m/>
    <s v="2025-26"/>
    <x v="13"/>
    <n v="10"/>
    <s v="Construction of Gram Panchayat office (Frame structure) at Village Jaliya Taluka: Gariyadhar Dist. Bhavnagar"/>
    <m/>
    <s v="Gariyadhar"/>
    <s v="Palitana"/>
    <s v="Building"/>
    <s v="Gram Panchayat"/>
    <n v="211785"/>
    <m/>
    <d v="2025-08-03T00:00:00"/>
    <d v="2025-08-11T00:00:00"/>
    <d v="2025-08-12T00:00:00"/>
    <d v="2025-12-09T00:00:00"/>
    <n v="2079935.08"/>
    <m/>
    <n v="2016913.05"/>
    <n v="-3.03"/>
    <s v="Below"/>
    <s v="Twenty Lakh Sixteen Thousand Nine Hundred Thirteen Rupees and Five Paise Only"/>
    <s v="Division"/>
    <m/>
    <n v="2016913.05"/>
    <s v="BABUBHAI HAKABHAI GOHIL"/>
    <n v="0"/>
    <s v="Dr. Ambedkar Society, Jamvali Road, Palitana, Dist Bhavnagar"/>
    <n v="9106563480"/>
    <m/>
    <m/>
    <m/>
    <m/>
    <m/>
    <n v="4"/>
    <n v="101000"/>
    <d v="2027-04-24T00:00:00"/>
    <n v="5000"/>
    <n v="0"/>
    <d v="2026-03-05T00:00:00"/>
    <d v="2027-02-23T00:00:00"/>
    <n v="1310"/>
    <d v="2025-09-15T00:00:00"/>
    <m/>
    <m/>
    <m/>
    <m/>
    <m/>
    <m/>
    <m/>
    <m/>
    <m/>
    <m/>
    <m/>
    <m/>
    <m/>
    <d v="2025-10-01T00:00:00"/>
    <m/>
    <m/>
    <m/>
    <m/>
    <m/>
    <m/>
  </r>
  <r>
    <n v="292"/>
    <m/>
    <s v="2025-26"/>
    <x v="13"/>
    <n v="11"/>
    <s v="Construction of Gram Panchayat office (Frame structure) at Village Nana Charodiya Taluka: Gariyadhar Dist. Bhavnagar"/>
    <m/>
    <s v="Gariyadhar"/>
    <s v="Palitana"/>
    <s v="Building"/>
    <s v="Gram Panchayat"/>
    <n v="211787"/>
    <m/>
    <d v="2025-08-03T00:00:00"/>
    <d v="2025-08-11T00:00:00"/>
    <d v="2025-08-12T00:00:00"/>
    <d v="2025-12-09T00:00:00"/>
    <n v="2079935.08"/>
    <m/>
    <n v="2000065.57"/>
    <n v="-3.84"/>
    <s v="Below"/>
    <s v="Twenty Lakh Sixty Five Rupees and Fifty Seven Paise Only"/>
    <s v="Division"/>
    <m/>
    <n v="2000065.57"/>
    <s v="RUDRA CONSTRUCTION COMPANY"/>
    <n v="0"/>
    <s v="Plot No. 9, Gayatri Society, Ramabaug, Anantwadi, Bhavnagar - 364002"/>
    <n v="0"/>
    <m/>
    <m/>
    <m/>
    <m/>
    <m/>
    <n v="4"/>
    <n v="101000"/>
    <d v="2027-04-24T00:00:00"/>
    <n v="5000"/>
    <n v="0"/>
    <d v="2026-03-05T00:00:00"/>
    <d v="2027-02-23T00:00:00"/>
    <n v="1369"/>
    <d v="2025-09-22T00:00:00"/>
    <m/>
    <m/>
    <m/>
    <m/>
    <m/>
    <m/>
    <m/>
    <m/>
    <m/>
    <m/>
    <m/>
    <m/>
    <m/>
    <d v="2025-10-01T00:00:00"/>
    <m/>
    <m/>
    <m/>
    <m/>
    <m/>
    <m/>
  </r>
  <r>
    <n v="293"/>
    <m/>
    <s v="2025-26"/>
    <x v="13"/>
    <n v="12"/>
    <s v="Construction of Gram Panchayat office (Frame structure) at Village Anandpur-Pipalva Taluka: Gariyadhar Dist. Bhavnagar"/>
    <m/>
    <s v="Gariyadhar"/>
    <s v="Palitana"/>
    <s v="Building"/>
    <s v="Gram Panchayat"/>
    <n v="211790"/>
    <m/>
    <d v="2025-08-03T00:00:00"/>
    <d v="2025-08-11T00:00:00"/>
    <d v="2025-08-12T00:00:00"/>
    <d v="2025-12-09T00:00:00"/>
    <n v="2079935.08"/>
    <m/>
    <n v="2026896.74"/>
    <n v="-2.5499999999999998"/>
    <s v="Below"/>
    <s v="Twenty Lakh Twenty Six Thousand Eight Hundred Ninety Six Rupees and Seventy Four Paise Only"/>
    <s v="Division"/>
    <m/>
    <n v="2026896.74"/>
    <s v="SANDIP DINESHBHAI VANZARA"/>
    <s v="SANDIP DINESHBHAI VANZARA"/>
    <s v="Opp. HP PUMP, Palitana Road, Gariyadhar"/>
    <n v="8866209297"/>
    <m/>
    <m/>
    <m/>
    <m/>
    <m/>
    <n v="4"/>
    <n v="102000"/>
    <d v="2027-04-24T00:00:00"/>
    <n v="5000"/>
    <n v="0"/>
    <d v="2026-03-05T00:00:00"/>
    <d v="2027-02-23T00:00:00"/>
    <n v="1324"/>
    <d v="2025-09-15T00:00:00"/>
    <m/>
    <m/>
    <m/>
    <m/>
    <m/>
    <m/>
    <m/>
    <m/>
    <m/>
    <m/>
    <m/>
    <m/>
    <m/>
    <d v="2025-10-01T00:00:00"/>
    <m/>
    <m/>
    <m/>
    <m/>
    <m/>
    <m/>
  </r>
  <r>
    <n v="294"/>
    <m/>
    <s v="2025-26"/>
    <x v="13"/>
    <n v="13"/>
    <s v="Construction of Gram Panchayat office (Frame structure) at Village Ranigam Taluka: Gariyadhar Dist. Bhavnagar"/>
    <m/>
    <s v="Gariyadhar"/>
    <s v="Palitana"/>
    <s v="Building"/>
    <s v="Gram Panchayat"/>
    <n v="211794"/>
    <m/>
    <d v="2025-08-03T00:00:00"/>
    <d v="2025-08-11T00:00:00"/>
    <d v="2025-08-12T00:00:00"/>
    <d v="2025-12-09T00:00:00"/>
    <n v="2079935.08"/>
    <m/>
    <n v="1903140.6"/>
    <n v="-8.5"/>
    <s v="Below"/>
    <s v="Nineteen Lakh Three Thousand One Hundred Forty Rupees and Six Paise Only"/>
    <s v="Division"/>
    <m/>
    <n v="1903140.6"/>
    <s v="RUDRA CONSTRUCTION COMPANY"/>
    <n v="0"/>
    <s v="Plot No. 9, Gayatri Society, Ramabaug, Anantwadi, Bhavnagar - 364002"/>
    <n v="0"/>
    <m/>
    <m/>
    <m/>
    <m/>
    <m/>
    <n v="4"/>
    <n v="96000"/>
    <d v="2027-04-24T00:00:00"/>
    <n v="4800"/>
    <n v="0"/>
    <d v="2026-03-05T00:00:00"/>
    <d v="2027-02-23T00:00:00"/>
    <n v="1361"/>
    <d v="2025-09-22T00:00:00"/>
    <m/>
    <m/>
    <m/>
    <m/>
    <m/>
    <m/>
    <m/>
    <m/>
    <m/>
    <m/>
    <m/>
    <m/>
    <m/>
    <d v="2025-10-01T00:00:00"/>
    <m/>
    <m/>
    <m/>
    <m/>
    <m/>
    <m/>
  </r>
  <r>
    <n v="295"/>
    <m/>
    <s v="2025-26"/>
    <x v="13"/>
    <n v="14"/>
    <s v="Construction of Gram Panchayat office (Frame structure) at Village Hoidad Taluka: Ghogha Dist. Bhavnagar"/>
    <m/>
    <s v="Ghogha"/>
    <s v="Bhavnagar"/>
    <s v="Building"/>
    <s v="Gram Panchayat"/>
    <n v="211795"/>
    <m/>
    <d v="2025-08-03T00:00:00"/>
    <d v="2025-08-11T00:00:00"/>
    <d v="2025-08-12T00:00:00"/>
    <d v="2025-12-09T00:00:00"/>
    <n v="2079935.08"/>
    <m/>
    <n v="2015249.1"/>
    <n v="-3.11"/>
    <s v="Below"/>
    <s v="Twenty Lakh Fifteen Thousand Two Hundred Forty Nine Rupees and One Paise Only"/>
    <s v="Division"/>
    <m/>
    <n v="2015249.1"/>
    <s v="Harekrishna Construction"/>
    <s v="Dineshbhai Harjibhai Parmar"/>
    <s v="C/732, Kesariya Hanuman Road, Kaliyabid, Bhavnagar-364001"/>
    <n v="0"/>
    <m/>
    <m/>
    <m/>
    <m/>
    <m/>
    <n v="4"/>
    <n v="101000"/>
    <d v="2027-04-24T00:00:00"/>
    <n v="5000"/>
    <n v="0"/>
    <d v="2026-03-05T00:00:00"/>
    <d v="2027-02-23T00:00:00"/>
    <n v="1319"/>
    <d v="2025-09-15T00:00:00"/>
    <m/>
    <m/>
    <m/>
    <m/>
    <m/>
    <m/>
    <m/>
    <m/>
    <m/>
    <m/>
    <m/>
    <m/>
    <m/>
    <d v="2025-10-01T00:00:00"/>
    <m/>
    <m/>
    <m/>
    <m/>
    <m/>
    <m/>
  </r>
  <r>
    <n v="296"/>
    <m/>
    <s v="2025-26"/>
    <x v="13"/>
    <n v="15"/>
    <s v="Construction of Gram Panchayat office (Frame structure) at Village Biladi Taluka: Mahuva Dist. Bhavnagar"/>
    <m/>
    <s v="Mahuva"/>
    <s v="Mahuva"/>
    <s v="Building"/>
    <s v="Gram Panchayat"/>
    <n v="211796"/>
    <m/>
    <d v="2025-08-03T00:00:00"/>
    <d v="2025-08-11T00:00:00"/>
    <d v="2025-08-12T00:00:00"/>
    <d v="2025-12-09T00:00:00"/>
    <n v="2079935.08"/>
    <m/>
    <n v="2012337.19"/>
    <n v="-3.25"/>
    <s v="Below"/>
    <s v="Twenty Lakh Twelve Thousand Three Hundred Thirty Seven Rupees and Nineteen Paise Only"/>
    <s v="Division"/>
    <m/>
    <n v="2012337.19"/>
    <s v="SHIVAM CONSTRUCTION"/>
    <s v="Chhelana Vipul Hadabhai"/>
    <s v="At Survey No. 4 P, Shiv Hotel, Rohisha Chowkadi, Mahuva, Dist. Bhavnagar"/>
    <n v="7405505555"/>
    <m/>
    <s v="CDP-5"/>
    <m/>
    <m/>
    <m/>
    <n v="4"/>
    <n v="101000"/>
    <d v="2027-05-08T00:00:00"/>
    <n v="5000"/>
    <n v="0"/>
    <d v="2026-03-19T00:00:00"/>
    <d v="2027-03-09T00:00:00"/>
    <n v="1365"/>
    <d v="2025-09-22T00:00:00"/>
    <s v="2025-26"/>
    <n v="178"/>
    <d v="2025-10-13T00:00:00"/>
    <s v="FDR"/>
    <s v="Bank of India"/>
    <s v="320556110000304"/>
    <n v="101000"/>
    <d v="2025-10-07T00:00:00"/>
    <m/>
    <m/>
    <m/>
    <m/>
    <m/>
    <d v="2025-10-15T00:00:00"/>
    <n v="1459"/>
    <d v="2025-10-13T00:00:00"/>
    <m/>
    <m/>
    <m/>
    <m/>
  </r>
  <r>
    <n v="297"/>
    <m/>
    <s v="2025-26"/>
    <x v="13"/>
    <n v="16"/>
    <s v="Construction of Gram Panchayat office (Frame structure) at Village Valavav Taluka: Mahuva Dist. Bhavnagar "/>
    <m/>
    <s v="Mahuva"/>
    <s v="Mahuva"/>
    <s v="Building"/>
    <s v="Gram Panchayat"/>
    <n v="211797"/>
    <m/>
    <d v="2025-08-03T00:00:00"/>
    <d v="2025-08-11T00:00:00"/>
    <d v="2025-08-12T00:00:00"/>
    <d v="2025-12-09T00:00:00"/>
    <n v="2079935.08"/>
    <m/>
    <n v="1960338.81"/>
    <n v="-5.75"/>
    <s v="Below"/>
    <s v="Nineteen Lakh Sixty Thousand Three Hundred Thirty Eight Rupees and Eighty One Paise Only"/>
    <s v="Division"/>
    <m/>
    <n v="1960338.81"/>
    <s v="SHIVAM CONSTRUCTION"/>
    <s v="Chhelana Vipul Hadabhai"/>
    <s v="At Survey No. 4 P, Shiv Hotel, Rohisha Chowkadi, Mahuva, Dist. Bhavnagar"/>
    <n v="7405505555"/>
    <m/>
    <s v="CDP-5"/>
    <m/>
    <m/>
    <m/>
    <n v="4"/>
    <n v="99000"/>
    <d v="2027-05-08T00:00:00"/>
    <n v="4900"/>
    <n v="0"/>
    <d v="2026-03-19T00:00:00"/>
    <d v="2027-03-09T00:00:00"/>
    <n v="1362"/>
    <d v="2025-09-22T00:00:00"/>
    <s v="2025-26"/>
    <n v="176"/>
    <d v="2025-10-13T00:00:00"/>
    <s v="FDR"/>
    <s v="Bank of India"/>
    <s v="320556110000303"/>
    <n v="99000"/>
    <d v="2025-10-07T00:00:00"/>
    <m/>
    <m/>
    <m/>
    <m/>
    <m/>
    <d v="2025-10-15T00:00:00"/>
    <n v="1460"/>
    <d v="2025-10-13T00:00:00"/>
    <m/>
    <m/>
    <m/>
    <m/>
  </r>
  <r>
    <n v="298"/>
    <m/>
    <s v="2025-26"/>
    <x v="13"/>
    <n v="17"/>
    <s v="Construction of Gram Panchayat office (Frame structure) at Village Taveda Taluka: Mahuva Dist. Bhavnagar"/>
    <m/>
    <s v="Mahuva"/>
    <s v="Mahuva"/>
    <s v="Building"/>
    <s v="Gram Panchayat"/>
    <n v="211798"/>
    <m/>
    <d v="2025-08-03T00:00:00"/>
    <d v="2025-08-11T00:00:00"/>
    <d v="2025-08-12T00:00:00"/>
    <d v="2025-12-09T00:00:00"/>
    <n v="2079935.08"/>
    <m/>
    <n v="2010673.24"/>
    <n v="-3.33"/>
    <s v="Below"/>
    <s v="Twenty Lakh Ten Thousand Six Hundred Seventy Three Rupees and Twenty Four Paise Only"/>
    <s v="Division"/>
    <m/>
    <n v="2010673.24"/>
    <s v="SHIV CONTRUCTION"/>
    <s v="ALIGBHAI LAKHUBHAI BARAL"/>
    <s v="At Bhandariya, Ta. Palitana, Dist. Bhavnagar"/>
    <n v="8780428967"/>
    <m/>
    <s v="CDP-5"/>
    <m/>
    <m/>
    <m/>
    <n v="4"/>
    <n v="101000"/>
    <d v="2027-05-08T00:00:00"/>
    <n v="5000"/>
    <n v="0"/>
    <d v="2026-03-19T00:00:00"/>
    <d v="2027-03-09T00:00:00"/>
    <n v="1309"/>
    <d v="2025-09-15T00:00:00"/>
    <s v="2025-26"/>
    <n v="187"/>
    <d v="2025-10-13T00:00:00"/>
    <s v="FDR"/>
    <s v="Gujarat Gramin Bank"/>
    <s v="22670300000004"/>
    <n v="101000"/>
    <d v="2025-10-06T00:00:00"/>
    <m/>
    <m/>
    <m/>
    <m/>
    <m/>
    <d v="2025-10-15T00:00:00"/>
    <n v="1471"/>
    <d v="2025-10-13T00:00:00"/>
    <m/>
    <m/>
    <m/>
    <m/>
  </r>
  <r>
    <n v="299"/>
    <m/>
    <s v="2025-26"/>
    <x v="13"/>
    <n v="18"/>
    <s v="Construction of Gram Panchayat office (Frame structure) at Village Lakhupura Taluka:Mahuva Dist. Bhavnagar"/>
    <m/>
    <s v="Mahuva"/>
    <s v="Mahuva"/>
    <s v="Building"/>
    <s v="Gram Panchayat"/>
    <n v="211800"/>
    <m/>
    <d v="2025-08-03T00:00:00"/>
    <d v="2025-08-11T00:00:00"/>
    <d v="2025-08-12T00:00:00"/>
    <d v="2025-12-09T00:00:00"/>
    <n v="2079935.08"/>
    <m/>
    <n v="2010673.24"/>
    <n v="-3.33"/>
    <s v="Below"/>
    <s v="Twenty Lakh Ten Thousand Six Hundred Seventy Three Rupees and Twenty Four Paise Only"/>
    <s v="Division"/>
    <m/>
    <n v="2010673.24"/>
    <s v="SHIV CONTRUCTION"/>
    <s v="ALIGBHAI LAKHUBHAI BARAL"/>
    <s v="At Bhandariya, Ta. Palitana, Dist. Bhavnagar"/>
    <n v="8780428967"/>
    <m/>
    <s v="CDP-5"/>
    <m/>
    <m/>
    <m/>
    <n v="4"/>
    <n v="101000"/>
    <d v="2027-05-08T00:00:00"/>
    <n v="5000"/>
    <n v="0"/>
    <d v="2026-03-19T00:00:00"/>
    <d v="2027-03-09T00:00:00"/>
    <n v="1327"/>
    <d v="2025-09-15T00:00:00"/>
    <s v="2025-26"/>
    <n v="184"/>
    <d v="2025-10-13T00:00:00"/>
    <s v="FDR"/>
    <s v="Gujarat Gramin Bank"/>
    <s v="22670300000003"/>
    <n v="101000"/>
    <d v="2025-10-06T00:00:00"/>
    <m/>
    <m/>
    <m/>
    <m/>
    <m/>
    <d v="2025-10-15T00:00:00"/>
    <n v="1468"/>
    <d v="2025-10-13T00:00:00"/>
    <m/>
    <m/>
    <m/>
    <m/>
  </r>
  <r>
    <n v="300"/>
    <m/>
    <s v="2025-26"/>
    <x v="13"/>
    <n v="19"/>
    <s v="Construction of Gram Panchayat office (Frame structure) at Village Vaghvadarda Taluka: Mahuva Dist. Bhavnagar"/>
    <m/>
    <s v="Mahuva"/>
    <s v="Mahuva"/>
    <s v="Building"/>
    <s v="Gram Panchayat"/>
    <n v="211801"/>
    <m/>
    <d v="2025-08-03T00:00:00"/>
    <d v="2025-08-11T00:00:00"/>
    <d v="2025-08-12T00:00:00"/>
    <d v="2025-12-09T00:00:00"/>
    <n v="2079935.08"/>
    <m/>
    <n v="1948899.17"/>
    <n v="-6.3"/>
    <s v="Below"/>
    <s v="Nineteen Lakh Forty Eight Thousand Eight Hundred Ninety Nine Rupees and Seventeen Paise Only"/>
    <s v="Division"/>
    <m/>
    <n v="1948899.17"/>
    <s v="Bhupatbhai B. Baraiya"/>
    <n v="0"/>
    <s v="Plot No. 233, Nu.N.Yo. No.3, Near Muni Nagar, Mahuva"/>
    <n v="9824837530"/>
    <m/>
    <m/>
    <m/>
    <m/>
    <m/>
    <n v="4"/>
    <n v="98000"/>
    <d v="2027-04-24T00:00:00"/>
    <n v="4900"/>
    <n v="0"/>
    <d v="2026-03-05T00:00:00"/>
    <d v="2027-02-23T00:00:00"/>
    <n v="1329"/>
    <d v="2025-09-15T00:00:00"/>
    <m/>
    <m/>
    <m/>
    <m/>
    <m/>
    <m/>
    <m/>
    <m/>
    <m/>
    <m/>
    <m/>
    <m/>
    <m/>
    <d v="2025-10-01T00:00:00"/>
    <m/>
    <m/>
    <m/>
    <m/>
    <m/>
    <m/>
  </r>
  <r>
    <n v="301"/>
    <m/>
    <s v="2025-26"/>
    <x v="13"/>
    <n v="20"/>
    <s v=" Construction of Gram Panchayat office (Frame structure) at Village Tared Taluka : Mahuva Dist. Bhavnagar"/>
    <m/>
    <s v="Mahuva"/>
    <s v="Mahuva"/>
    <s v="Building"/>
    <s v="Gram Panchayat"/>
    <n v="211802"/>
    <m/>
    <d v="2025-08-03T00:00:00"/>
    <d v="2025-08-11T00:00:00"/>
    <d v="2025-08-12T00:00:00"/>
    <d v="2025-12-09T00:00:00"/>
    <n v="2079935.08"/>
    <m/>
    <n v="2017537.03"/>
    <n v="-3"/>
    <s v="Below"/>
    <s v="Twenty Lakh Seventeen Thousand Five Hundred Thirty Seven Rupees and Three Paise Only"/>
    <s v="Division"/>
    <m/>
    <n v="2017537.03"/>
    <s v="SHIVAM CONSTRUCTION"/>
    <s v="Chhelana Vipul Hadabhai"/>
    <s v="At Survey No. 4 P, Shiv Hotel, Rohisha Chowkadi, Mahuva, Dist. Bhavnagar"/>
    <n v="7405505555"/>
    <m/>
    <s v="CDP-5"/>
    <m/>
    <m/>
    <m/>
    <n v="4"/>
    <n v="101000"/>
    <d v="2027-05-08T00:00:00"/>
    <n v="5000"/>
    <n v="0"/>
    <d v="2026-03-19T00:00:00"/>
    <d v="2027-03-09T00:00:00"/>
    <n v="1360"/>
    <d v="2025-09-22T00:00:00"/>
    <s v="2025-26"/>
    <n v="177"/>
    <d v="2025-10-13T00:00:00"/>
    <s v="FDR"/>
    <s v="Bank of India"/>
    <s v="320556110000295"/>
    <n v="101000"/>
    <d v="2025-10-07T00:00:00"/>
    <m/>
    <m/>
    <m/>
    <m/>
    <m/>
    <d v="2025-10-15T00:00:00"/>
    <n v="1461"/>
    <d v="2025-10-13T00:00:00"/>
    <m/>
    <m/>
    <m/>
    <m/>
  </r>
  <r>
    <n v="302"/>
    <m/>
    <s v="2025-26"/>
    <x v="13"/>
    <n v="21"/>
    <s v="Construction of Gram Panchayat office (Frame structure) at Village Chokva Taluka: Mahuva Dist. Bhavnagar"/>
    <m/>
    <s v="Mahuva"/>
    <s v="Mahuva"/>
    <s v="Building"/>
    <s v="Gram Panchayat"/>
    <n v="211803"/>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1"/>
    <d v="2025-09-15T00:00:00"/>
    <m/>
    <m/>
    <m/>
    <m/>
    <m/>
    <m/>
    <m/>
    <m/>
    <m/>
    <m/>
    <m/>
    <m/>
    <m/>
    <d v="2025-10-01T00:00:00"/>
    <m/>
    <m/>
    <m/>
    <m/>
    <m/>
    <m/>
  </r>
  <r>
    <n v="303"/>
    <m/>
    <s v="2025-26"/>
    <x v="13"/>
    <n v="22"/>
    <s v="Construction of Gram Panchayat office (Frame structure) at Village Nani-Moti Sodvadri Taluka: Mahuva Dist. Bhavnagar"/>
    <m/>
    <s v="Mahuva"/>
    <s v="Mahuva"/>
    <s v="Building"/>
    <s v="Gram Panchayat"/>
    <n v="211804"/>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0"/>
    <d v="2025-09-15T00:00:00"/>
    <m/>
    <m/>
    <m/>
    <m/>
    <m/>
    <m/>
    <m/>
    <m/>
    <m/>
    <m/>
    <m/>
    <m/>
    <m/>
    <d v="2025-10-01T00:00:00"/>
    <m/>
    <m/>
    <m/>
    <m/>
    <m/>
    <m/>
  </r>
  <r>
    <n v="304"/>
    <m/>
    <s v="2025-26"/>
    <x v="13"/>
    <n v="23"/>
    <s v="Construction of Gram Panchayat office (Frame structure) at Village Kakidi Taluka: Mahuva Dist. Bhavnagar"/>
    <m/>
    <s v="Mahuva"/>
    <s v="Mahuva"/>
    <s v="Building"/>
    <s v="Gram Panchayat"/>
    <n v="211805"/>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5"/>
    <d v="2025-09-15T00:00:00"/>
    <m/>
    <m/>
    <m/>
    <m/>
    <m/>
    <m/>
    <m/>
    <m/>
    <m/>
    <m/>
    <m/>
    <m/>
    <m/>
    <d v="2025-10-01T00:00:00"/>
    <m/>
    <m/>
    <m/>
    <m/>
    <m/>
    <m/>
  </r>
  <r>
    <n v="305"/>
    <m/>
    <s v="2025-26"/>
    <x v="13"/>
    <n v="24"/>
    <s v=" Construction of Gram Panchayat office (Frame structure) at Village Moti Vadal Taluka: Mahuva Dist. Bhavnagar"/>
    <m/>
    <s v="Mahuva"/>
    <s v="Mahuva"/>
    <s v="Building"/>
    <s v="Gram Panchayat"/>
    <n v="211806"/>
    <m/>
    <d v="2025-08-03T00:00:00"/>
    <d v="2025-08-11T00:00:00"/>
    <d v="2025-08-12T00:00:00"/>
    <d v="2025-12-09T00:00:00"/>
    <n v="2079935.08"/>
    <m/>
    <n v="2038336.38"/>
    <n v="-2"/>
    <s v="Below"/>
    <s v="Twenty Lakh Thirty Eight Thousand Three Hundred Thirty Six Rupees and Thirty Eight Paise Only"/>
    <s v="Division"/>
    <m/>
    <n v="2038336.38"/>
    <s v="SHIVAM CONSTRUCTION"/>
    <s v="Chhelana Vipul Hadabhai"/>
    <s v="At Survey No. 4 P, Shiv Hotel, Rohisha Chowkadi, Mahuva, Dist. Bhavnagar"/>
    <n v="7405505555"/>
    <m/>
    <s v="CDP-5"/>
    <m/>
    <m/>
    <m/>
    <n v="4"/>
    <n v="102000"/>
    <d v="2027-05-08T00:00:00"/>
    <n v="5000"/>
    <n v="0"/>
    <d v="2026-03-19T00:00:00"/>
    <d v="2027-03-09T00:00:00"/>
    <n v="1366"/>
    <d v="2025-09-22T00:00:00"/>
    <s v="2025-26"/>
    <n v="173"/>
    <d v="2025-10-13T00:00:00"/>
    <s v="FDR"/>
    <s v="Bank of India"/>
    <s v="320556110000298"/>
    <n v="102000"/>
    <d v="2025-10-07T00:00:00"/>
    <m/>
    <m/>
    <m/>
    <m/>
    <m/>
    <d v="2025-10-15T00:00:00"/>
    <n v="1462"/>
    <d v="2025-10-13T00:00:00"/>
    <m/>
    <m/>
    <m/>
    <m/>
  </r>
  <r>
    <n v="306"/>
    <m/>
    <s v="2025-26"/>
    <x v="13"/>
    <n v="25"/>
    <s v="Construction of Gram Panchayat office (Frame structure) at Village Visavadar Taluka: Mahuva Dist. Bhavnagar"/>
    <m/>
    <s v="Mahuva"/>
    <s v="Mahuva"/>
    <s v="Building"/>
    <s v="Gram Panchayat"/>
    <n v="211820"/>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6"/>
    <d v="2025-09-15T00:00:00"/>
    <m/>
    <m/>
    <m/>
    <m/>
    <m/>
    <m/>
    <m/>
    <m/>
    <m/>
    <m/>
    <m/>
    <m/>
    <m/>
    <d v="2025-10-01T00:00:00"/>
    <m/>
    <m/>
    <m/>
    <m/>
    <m/>
    <m/>
  </r>
  <r>
    <n v="307"/>
    <m/>
    <s v="2025-26"/>
    <x v="13"/>
    <n v="26"/>
    <s v="Construction of Gram Panchayat office (Frame structure) at Village Nikol Taluka: Mahuva Dist. Bhavnagar"/>
    <m/>
    <s v="Mahuva"/>
    <s v="Mahuva"/>
    <s v="Building"/>
    <s v="Gram Panchayat"/>
    <n v="211821"/>
    <m/>
    <d v="2025-08-03T00:00:00"/>
    <d v="2025-08-11T00:00:00"/>
    <d v="2025-08-12T00:00:00"/>
    <d v="2025-12-09T00:00:00"/>
    <n v="2079935.08"/>
    <m/>
    <n v="1955138.98"/>
    <n v="-6"/>
    <s v="Below"/>
    <s v="Nineteen Lakh Fifty Five Thousand One Hundred Thirty Eight Rupees and Ninety Eight Paise Only"/>
    <s v="Division"/>
    <m/>
    <n v="1955138.98"/>
    <s v="SHIVAM CONSTRUCTION"/>
    <s v="Chhelana Vipul Hadabhai"/>
    <s v="At Survey No. 4 P, Shiv Hotel, Rohisha Chowkadi, Mahuva, Dist. Bhavnagar"/>
    <n v="7405505555"/>
    <m/>
    <s v="CDP-5"/>
    <m/>
    <m/>
    <m/>
    <n v="4"/>
    <n v="98000"/>
    <d v="2027-05-08T00:00:00"/>
    <n v="4900"/>
    <n v="0"/>
    <d v="2026-03-19T00:00:00"/>
    <d v="2027-03-09T00:00:00"/>
    <n v="1371"/>
    <d v="2025-09-22T00:00:00"/>
    <s v="2025-26"/>
    <n v="172"/>
    <d v="2025-10-13T00:00:00"/>
    <s v="FDR"/>
    <s v="Bank of India"/>
    <s v="320556110000302"/>
    <n v="98000"/>
    <d v="2025-10-07T00:00:00"/>
    <m/>
    <m/>
    <m/>
    <m/>
    <m/>
    <d v="2025-10-15T00:00:00"/>
    <n v="1456"/>
    <d v="2025-10-13T00:00:00"/>
    <m/>
    <m/>
    <m/>
    <m/>
  </r>
  <r>
    <n v="308"/>
    <m/>
    <s v="2025-26"/>
    <x v="13"/>
    <n v="27"/>
    <s v="Construction of Gram Panchayat office (Frame structure) at Village Borla Taluka:Mahuva Dist. Bhavnagar"/>
    <m/>
    <s v="Mahuva"/>
    <s v="Mahuva"/>
    <s v="Building"/>
    <s v="Gram Panchayat"/>
    <n v="211822"/>
    <m/>
    <d v="2025-08-03T00:00:00"/>
    <d v="2025-08-11T00:00:00"/>
    <d v="2025-08-12T00:00:00"/>
    <d v="2025-12-09T00:00:00"/>
    <n v="2079935.08"/>
    <m/>
    <n v="1975938.33"/>
    <n v="-5"/>
    <s v="Below"/>
    <s v="Nineteen Lakh Seventy Five Thousand Nine Hundred Thirty Eight Rupees and Thirty Three Paise Only"/>
    <s v="Division"/>
    <m/>
    <n v="1975938.33"/>
    <s v="SHIVAM CONSTRUCTION"/>
    <s v="Chhelana Vipul Hadabhai"/>
    <s v="At Survey No. 4 P, Shiv Hotel, Rohisha Chowkadi, Mahuva, Dist. Bhavnagar"/>
    <n v="7405505555"/>
    <m/>
    <s v="CDP-5"/>
    <m/>
    <m/>
    <m/>
    <n v="4"/>
    <n v="99000"/>
    <d v="2027-05-08T00:00:00"/>
    <n v="4900"/>
    <n v="0"/>
    <d v="2026-03-19T00:00:00"/>
    <d v="2027-03-09T00:00:00"/>
    <n v="1372"/>
    <d v="2025-09-15T00:00:00"/>
    <s v="2025-26"/>
    <n v="175"/>
    <d v="2025-10-13T00:00:00"/>
    <s v="FDR"/>
    <s v="Bank of India"/>
    <s v="320556110000301"/>
    <n v="99000"/>
    <d v="2025-10-07T00:00:00"/>
    <m/>
    <m/>
    <m/>
    <m/>
    <m/>
    <d v="2025-10-15T00:00:00"/>
    <n v="1463"/>
    <d v="2025-10-13T00:00:00"/>
    <m/>
    <m/>
    <m/>
    <m/>
  </r>
  <r>
    <n v="309"/>
    <m/>
    <s v="2025-26"/>
    <x v="13"/>
    <n v="28"/>
    <s v="Construction of Gram Panchayat office (Frame structure) at Village Maliya Taluka:Mahuva Dist. Bhavnagar"/>
    <m/>
    <s v="Mahuva"/>
    <s v="Mahuva"/>
    <s v="Building"/>
    <s v="Gram Panchayat"/>
    <n v="211823"/>
    <m/>
    <d v="2025-08-03T00:00:00"/>
    <d v="2025-08-11T00:00:00"/>
    <d v="2025-08-12T00:00:00"/>
    <d v="2025-12-09T00:00:00"/>
    <n v="2079935.08"/>
    <m/>
    <n v="1934339.62"/>
    <n v="-7"/>
    <s v="Below"/>
    <s v="Nineteen Lakh Thirty Four Thousand Three Hundred Thirty Nine Rupees and Sixty Two Paise Only"/>
    <s v="Division"/>
    <m/>
    <n v="1934339.62"/>
    <s v="SHIVAM CONSTRUCTION"/>
    <s v="Chhelana Vipul Hadabhai"/>
    <s v="At Survey No. 4 P, Shiv Hotel, Rohisha Chowkadi, Mahuva, Dist. Bhavnagar"/>
    <n v="7405505555"/>
    <m/>
    <s v="CDP-5"/>
    <m/>
    <m/>
    <m/>
    <n v="4"/>
    <n v="97000"/>
    <d v="2027-05-08T00:00:00"/>
    <n v="4800"/>
    <n v="0"/>
    <d v="2026-03-19T00:00:00"/>
    <d v="2027-03-09T00:00:00"/>
    <n v="1368"/>
    <d v="2025-09-22T00:00:00"/>
    <s v="2025-26"/>
    <n v="174"/>
    <d v="2025-10-13T00:00:00"/>
    <s v="FDR"/>
    <s v="Bank of India"/>
    <s v="320556110000297"/>
    <n v="97000"/>
    <d v="2025-10-07T00:00:00"/>
    <m/>
    <m/>
    <m/>
    <m/>
    <m/>
    <d v="2025-10-15T00:00:00"/>
    <n v="1464"/>
    <d v="2025-10-13T00:00:00"/>
    <m/>
    <m/>
    <m/>
    <m/>
  </r>
  <r>
    <n v="310"/>
    <m/>
    <s v="2025-26"/>
    <x v="13"/>
    <n v="29"/>
    <s v="Construction of Gram Panchayat office (Frame structure) at Village Amrutwel Taluka: Mahuva Dist. Bhavnagar"/>
    <m/>
    <s v="Mahuva"/>
    <s v="Mahuva"/>
    <s v="Building"/>
    <s v="Gram Panchayat"/>
    <n v="211824"/>
    <m/>
    <d v="2025-08-03T00:00:00"/>
    <d v="2025-08-11T00:00:00"/>
    <d v="2025-08-12T00:00:00"/>
    <d v="2025-12-09T00:00:00"/>
    <n v="2079935.08"/>
    <m/>
    <n v="1934339.62"/>
    <n v="-7"/>
    <s v="Below"/>
    <s v="Nineteen Lakh Thirty Four Thousand Three Hundred Thirty Nine Rupees and Sixty Two Paise Only"/>
    <s v="Division"/>
    <m/>
    <n v="1934339.62"/>
    <s v="SHIVAM CONSTRUCTION"/>
    <s v="Chhelana Vipul Hadabhai"/>
    <s v="At Survey No. 4 P, Shiv Hotel, Rohisha Chowkadi, Mahuva, Dist. Bhavnagar"/>
    <n v="7405505555"/>
    <m/>
    <s v="CDP-5"/>
    <m/>
    <m/>
    <m/>
    <n v="4"/>
    <n v="97000"/>
    <d v="2027-05-08T00:00:00"/>
    <n v="4800"/>
    <n v="0"/>
    <d v="2026-03-19T00:00:00"/>
    <d v="2027-03-09T00:00:00"/>
    <n v="1363"/>
    <d v="2025-09-22T00:00:00"/>
    <s v="2025-26"/>
    <n v="180"/>
    <d v="2025-10-13T00:00:00"/>
    <s v="FDR"/>
    <s v="Bank of India"/>
    <s v="320556110000300"/>
    <n v="97000"/>
    <d v="2025-10-07T00:00:00"/>
    <m/>
    <m/>
    <m/>
    <m/>
    <m/>
    <d v="2025-10-15T00:00:00"/>
    <n v="1465"/>
    <d v="2025-10-13T00:00:00"/>
    <m/>
    <m/>
    <m/>
    <m/>
  </r>
  <r>
    <n v="311"/>
    <m/>
    <s v="2025-26"/>
    <x v="13"/>
    <n v="30"/>
    <s v="Construction of Gram Panchayat office (Frame structure) at Village Fachara Taluka: Palitana Dist. Bhavnagar"/>
    <m/>
    <s v="Palitana"/>
    <s v="Palitana"/>
    <s v="Building"/>
    <s v="Gram Panchayat"/>
    <n v="211825"/>
    <m/>
    <d v="2025-08-03T00:00:00"/>
    <d v="2025-08-11T00:00:00"/>
    <d v="2025-08-12T00:00:00"/>
    <d v="2025-12-09T00:00:00"/>
    <n v="2079935.08"/>
    <m/>
    <n v="1903140.6"/>
    <n v="-8.5"/>
    <s v="Below"/>
    <s v="Nineteen Lakh Three Thousand One Hundred Forty Rupees and Six Paise Only"/>
    <s v="Division"/>
    <m/>
    <n v="1903140.6"/>
    <s v="RUDRA CONSTRUCTION COMPANY"/>
    <n v="0"/>
    <s v="Plot No. 9, Gayatri Society, Ramabaug, Anantwadi, Bhavnagar - 364002"/>
    <n v="0"/>
    <m/>
    <m/>
    <m/>
    <m/>
    <m/>
    <n v="4"/>
    <n v="96000"/>
    <d v="2027-04-24T00:00:00"/>
    <n v="4800"/>
    <n v="0"/>
    <d v="2026-03-05T00:00:00"/>
    <d v="2027-02-23T00:00:00"/>
    <n v="1358"/>
    <d v="2025-09-22T00:00:00"/>
    <m/>
    <m/>
    <m/>
    <m/>
    <m/>
    <m/>
    <m/>
    <m/>
    <m/>
    <m/>
    <m/>
    <m/>
    <m/>
    <d v="2025-10-01T00:00:00"/>
    <m/>
    <m/>
    <m/>
    <m/>
    <m/>
    <m/>
  </r>
  <r>
    <n v="312"/>
    <m/>
    <s v="2025-26"/>
    <x v="13"/>
    <n v="31"/>
    <s v="Construction of Gram Panchayat office (Frame structure) at Village Dharuka Taluka: Umrala Dist. Bhavnagar"/>
    <m/>
    <s v="Umrala"/>
    <s v="Vallabhipur"/>
    <s v="Building"/>
    <s v="Gram Panchayat"/>
    <n v="211826"/>
    <m/>
    <d v="2025-08-03T00:00:00"/>
    <d v="2025-08-11T00:00:00"/>
    <d v="2025-08-12T00:00:00"/>
    <d v="2025-12-09T00:00:00"/>
    <n v="2079935.08"/>
    <m/>
    <n v="1902932.6"/>
    <n v="-8.51"/>
    <s v="Below"/>
    <s v="Nineteen Lakh Two Thousand Nine Hundred Thirty Two Rupees and Six Paise Only"/>
    <s v="Division"/>
    <m/>
    <n v="1902932.6"/>
    <s v="DEV CONSTRUCTION"/>
    <s v="D. H. Gohil"/>
    <s v="At. Vangadhra, Ta.Umrala, Dist. Bhavnagar"/>
    <n v="8780286268"/>
    <m/>
    <m/>
    <m/>
    <m/>
    <m/>
    <n v="4"/>
    <n v="96000"/>
    <d v="2027-04-24T00:00:00"/>
    <n v="4800"/>
    <n v="0"/>
    <d v="2026-03-05T00:00:00"/>
    <d v="2027-02-23T00:00:00"/>
    <n v="1322"/>
    <d v="2025-09-15T00:00:00"/>
    <m/>
    <m/>
    <m/>
    <m/>
    <m/>
    <m/>
    <m/>
    <m/>
    <m/>
    <m/>
    <m/>
    <m/>
    <m/>
    <d v="2025-10-01T00:00:00"/>
    <m/>
    <m/>
    <m/>
    <m/>
    <m/>
    <m/>
  </r>
  <r>
    <n v="313"/>
    <m/>
    <s v="2025-26"/>
    <x v="13"/>
    <n v="32"/>
    <s v=" Construction of Gram Panchayat office (Frame structure) at Village Karkoliya Taluka: Shihor Dist. Bhavnagar "/>
    <m/>
    <s v="Shihor"/>
    <s v="Shihor"/>
    <s v="Building"/>
    <s v="Gram Panchayat"/>
    <n v="211827"/>
    <m/>
    <d v="2025-08-03T00:00:00"/>
    <d v="2025-08-11T00:00:00"/>
    <d v="2025-08-12T00:00:00"/>
    <d v="2025-12-09T00:00:00"/>
    <n v="2079935.08"/>
    <m/>
    <n v="1955346.97"/>
    <n v="-5.99"/>
    <s v="Below"/>
    <s v="Nineteen Lakh Fifty Five Thousand Three Hundred Forty Six Rupees and Ninety Seven Paise Only"/>
    <s v="Division"/>
    <m/>
    <n v="1955346.97"/>
    <s v="VARAHI CONSTRUCTION"/>
    <s v="Majithiya Dhruvin Nareshbhai"/>
    <s v="82/1, Bajaran Society, Near Gayatri Temple, Chitra, Bhavnagar-364004"/>
    <n v="8200557028"/>
    <m/>
    <m/>
    <m/>
    <m/>
    <m/>
    <n v="4"/>
    <n v="98000"/>
    <d v="2027-04-24T00:00:00"/>
    <n v="4900"/>
    <n v="0"/>
    <d v="2026-03-05T00:00:00"/>
    <d v="2027-02-23T00:00:00"/>
    <n v="1316"/>
    <d v="2025-09-15T00:00:00"/>
    <m/>
    <m/>
    <m/>
    <m/>
    <m/>
    <m/>
    <m/>
    <m/>
    <m/>
    <m/>
    <m/>
    <m/>
    <m/>
    <d v="2025-10-01T00:00:00"/>
    <m/>
    <m/>
    <m/>
    <m/>
    <m/>
    <m/>
  </r>
  <r>
    <n v="314"/>
    <m/>
    <s v="2025-26"/>
    <x v="13"/>
    <n v="33"/>
    <s v=" Construction of Gram Panchayat office (Frame structure) at Village Navagam (Mo) Taluka: Shihor Dist. Bhavnagar "/>
    <m/>
    <s v="Shihor"/>
    <s v="Shihor"/>
    <s v="Building"/>
    <s v="Gram Panchayat"/>
    <n v="211828"/>
    <m/>
    <d v="2025-08-03T00:00:00"/>
    <d v="2025-08-11T00:00:00"/>
    <d v="2025-08-12T00:00:00"/>
    <d v="2025-12-09T00:00:00"/>
    <n v="2079935.08"/>
    <s v="Yes"/>
    <m/>
    <m/>
    <s v="Equals"/>
    <s v="Zero Rupees Only"/>
    <s v="Division"/>
    <m/>
    <n v="0"/>
    <m/>
    <n v="0"/>
    <n v="0"/>
    <n v="0"/>
    <m/>
    <m/>
    <m/>
    <m/>
    <m/>
    <m/>
    <n v="0"/>
    <d v="1901-03-25T00:00:00"/>
    <n v="0"/>
    <n v="0"/>
    <d v="1900-02-03T00:00:00"/>
    <d v="1901-01-24T00:00:00"/>
    <m/>
    <m/>
    <m/>
    <m/>
    <m/>
    <m/>
    <m/>
    <m/>
    <m/>
    <m/>
    <m/>
    <m/>
    <m/>
    <m/>
    <m/>
    <m/>
    <m/>
    <m/>
    <m/>
    <m/>
    <m/>
    <m/>
  </r>
  <r>
    <n v="315"/>
    <m/>
    <s v="2025-26"/>
    <x v="13"/>
    <n v="34"/>
    <s v="Construction of Gram Panchayat office (Frame structure) at Village Panchvada Taluka:Shihor Dist. Bhavnagar"/>
    <m/>
    <s v="Shihor"/>
    <s v="Shihor"/>
    <s v="Building"/>
    <s v="Gram Panchayat"/>
    <n v="211829"/>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12"/>
    <d v="2025-09-15T00:00:00"/>
    <m/>
    <m/>
    <m/>
    <m/>
    <m/>
    <m/>
    <m/>
    <m/>
    <m/>
    <m/>
    <m/>
    <m/>
    <m/>
    <d v="2025-10-01T00:00:00"/>
    <m/>
    <m/>
    <m/>
    <m/>
    <m/>
    <m/>
  </r>
  <r>
    <n v="316"/>
    <m/>
    <s v="2025-26"/>
    <x v="13"/>
    <n v="35"/>
    <s v="Construction of Gram Panchayat office (Frame structure) at Village Kantodiya Taluka: Shihor Dist. Bhavnagar"/>
    <m/>
    <s v="Shihor"/>
    <s v="Shihor"/>
    <s v="Building"/>
    <s v="Gram Panchayat"/>
    <n v="211830"/>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23"/>
    <d v="2025-09-15T00:00:00"/>
    <m/>
    <m/>
    <m/>
    <m/>
    <m/>
    <m/>
    <m/>
    <m/>
    <m/>
    <m/>
    <m/>
    <m/>
    <m/>
    <d v="2025-10-01T00:00:00"/>
    <m/>
    <m/>
    <m/>
    <m/>
    <m/>
    <m/>
  </r>
  <r>
    <n v="317"/>
    <m/>
    <s v="2025-26"/>
    <x v="13"/>
    <n v="36"/>
    <s v="Construction of Gram Panchayat office (Frame structure) at Village Nana Surka Taluka:Shihor Dist. Bhavnagar"/>
    <m/>
    <s v="Shihor"/>
    <s v="Shihor"/>
    <s v="Building"/>
    <s v="Gram Panchayat"/>
    <n v="211831"/>
    <m/>
    <d v="2025-08-03T00:00:00"/>
    <d v="2025-08-11T00:00:00"/>
    <d v="2025-08-12T00:00:00"/>
    <d v="2025-12-09T00:00:00"/>
    <n v="2079935.08"/>
    <m/>
    <n v="1985714.02"/>
    <n v="-4.53"/>
    <s v="Below"/>
    <s v="Nineteen Lakh Eighty Five Thousand Seven Hundred Fourteen Rupees and Two Paise Only"/>
    <s v="Division"/>
    <m/>
    <n v="1985714.02"/>
    <s v="HRUTURAJSINH JESUBHA GOHIL"/>
    <n v="0"/>
    <s v="At Tana, Tal. Shihor, Dist. Bhavnagar - 364260"/>
    <n v="9510343132"/>
    <m/>
    <s v="CDP-5"/>
    <m/>
    <m/>
    <m/>
    <n v="4"/>
    <n v="100000"/>
    <d v="2027-06-03T00:00:00"/>
    <n v="4900"/>
    <n v="0"/>
    <d v="2026-04-14T00:00:00"/>
    <d v="2027-04-04T00:00:00"/>
    <n v="1317"/>
    <d v="2025-09-15T00:00:00"/>
    <s v="2025-26"/>
    <n v="201"/>
    <d v="2025-11-08T00:00:00"/>
    <s v="FDR"/>
    <s v="Bank of Baroda"/>
    <s v="91640300004729"/>
    <n v="100000"/>
    <d v="2025-08-22T00:00:00"/>
    <m/>
    <m/>
    <m/>
    <m/>
    <m/>
    <d v="2025-11-10T00:00:00"/>
    <n v="1506"/>
    <d v="2025-11-08T00:00:00"/>
    <m/>
    <m/>
    <m/>
    <m/>
  </r>
  <r>
    <n v="318"/>
    <m/>
    <s v="2025-26"/>
    <x v="13"/>
    <n v="37"/>
    <s v="Construction of Gram Panchayat office (Frame structure) at Village Rajpara (Khodiyar) Taluka: Shihor Dist. Bhavnagar"/>
    <m/>
    <s v="Shihor"/>
    <s v="Shihor"/>
    <s v="Building"/>
    <s v="Gram Panchayat"/>
    <n v="211832"/>
    <m/>
    <d v="2025-08-03T00:00:00"/>
    <d v="2025-08-11T00:00:00"/>
    <d v="2025-08-12T00:00:00"/>
    <d v="2025-12-09T00:00:00"/>
    <n v="2079935.08"/>
    <m/>
    <n v="1933091.66"/>
    <n v="-7.06"/>
    <s v="Below"/>
    <s v="Nineteen Lakh Thirty Three Thousand Ninety One Rupees and Sixty Six Paise Only"/>
    <s v="Division"/>
    <m/>
    <n v="1933091.66"/>
    <s v="PARTH K MEHTA"/>
    <s v="PARTH Kiritkumar MEHTA"/>
    <s v="Plot No. 1578/I, New Champa Tenament, Divadi Road, Rupani Circle, Bhavnagar - 364002"/>
    <n v="7990934709"/>
    <m/>
    <s v="CDP-5"/>
    <m/>
    <m/>
    <m/>
    <n v="4"/>
    <n v="97000"/>
    <d v="2027-04-24T00:00:00"/>
    <n v="4800"/>
    <n v="0"/>
    <d v="2026-03-05T00:00:00"/>
    <d v="2027-02-23T00:00:00"/>
    <n v="1314"/>
    <d v="2025-09-15T00:00:00"/>
    <m/>
    <m/>
    <m/>
    <m/>
    <m/>
    <m/>
    <m/>
    <m/>
    <m/>
    <m/>
    <m/>
    <m/>
    <m/>
    <d v="2025-10-01T00:00:00"/>
    <m/>
    <m/>
    <m/>
    <m/>
    <m/>
    <m/>
  </r>
  <r>
    <n v="319"/>
    <m/>
    <s v="2025-26"/>
    <x v="13"/>
    <n v="38"/>
    <s v="Construction of Gram Panchayat office (Frame structure) at Village Sendarda Taluka: Shihor Dist. Bhavnagar"/>
    <m/>
    <s v="Shihor"/>
    <s v="Shihor"/>
    <s v="Building"/>
    <s v="Gram Panchayat"/>
    <n v="211834"/>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30"/>
    <d v="2025-09-15T00:00:00"/>
    <m/>
    <m/>
    <m/>
    <m/>
    <m/>
    <m/>
    <m/>
    <m/>
    <m/>
    <m/>
    <m/>
    <m/>
    <m/>
    <d v="2025-10-01T00:00:00"/>
    <m/>
    <m/>
    <m/>
    <m/>
    <m/>
    <m/>
  </r>
  <r>
    <n v="320"/>
    <m/>
    <s v="2025-26"/>
    <x v="13"/>
    <n v="39"/>
    <s v="Construction of Gram Panchayat office (Frame structure) at Village Vav Taluka: Shihor Dist. Bhavnagar"/>
    <m/>
    <s v="Shihor"/>
    <s v="Shihor"/>
    <s v="Building"/>
    <s v="Gram Panchayat"/>
    <n v="211837"/>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5-08T00:00:00"/>
    <n v="4900"/>
    <n v="0"/>
    <d v="2026-03-19T00:00:00"/>
    <d v="2027-03-09T00:00:00"/>
    <n v="1315"/>
    <d v="2025-09-15T00:00:00"/>
    <s v="2025-26"/>
    <n v="189"/>
    <d v="2025-10-13T00:00:00"/>
    <s v="FDR"/>
    <s v="State Bank of India"/>
    <n v="44526140342"/>
    <n v="98000"/>
    <d v="2025-10-04T00:00:00"/>
    <m/>
    <m/>
    <m/>
    <m/>
    <m/>
    <d v="2025-10-15T00:00:00"/>
    <n v="1473"/>
    <d v="2025-10-13T00:00:00"/>
    <m/>
    <m/>
    <m/>
    <m/>
  </r>
  <r>
    <n v="321"/>
    <m/>
    <s v="2025-26"/>
    <x v="13"/>
    <n v="40"/>
    <s v="Construction of Gram Panchayat office (Frame structure) at Village Mundakidhar Taluka: Jesar Dist. Bhavnagar"/>
    <m/>
    <s v="Jesar"/>
    <s v="Mahuva"/>
    <s v="Building"/>
    <s v="Gram Panchayat"/>
    <n v="211841"/>
    <m/>
    <d v="2025-08-03T00:00:00"/>
    <d v="2025-08-11T00:00:00"/>
    <d v="2025-08-12T00:00:00"/>
    <d v="2025-12-09T00:00:00"/>
    <n v="2079935.08"/>
    <m/>
    <n v="1954514.99"/>
    <n v="-6.03"/>
    <s v="Below"/>
    <s v="Nineteen Lakh Fifty Four Thousand Five Hundred Fourteen Rupees and Ninety Nine Paise Only"/>
    <s v="Division"/>
    <m/>
    <n v="1954514.99"/>
    <s v="RAJABHAI NAGJIBHAI ZALA "/>
    <n v="0"/>
    <s v="11, Brahman Sheri, At. Jesar, Dist. Bhavnagar"/>
    <n v="9825149802"/>
    <m/>
    <m/>
    <m/>
    <m/>
    <m/>
    <n v="4"/>
    <n v="98000"/>
    <d v="2027-04-24T00:00:00"/>
    <n v="4900"/>
    <n v="0"/>
    <d v="2026-03-05T00:00:00"/>
    <d v="2027-02-23T00:00:00"/>
    <n v="1357"/>
    <d v="2025-09-22T00:00:00"/>
    <m/>
    <m/>
    <m/>
    <m/>
    <m/>
    <m/>
    <m/>
    <m/>
    <m/>
    <m/>
    <m/>
    <m/>
    <m/>
    <d v="2025-10-01T00:00:00"/>
    <m/>
    <m/>
    <m/>
    <m/>
    <m/>
    <m/>
  </r>
  <r>
    <n v="322"/>
    <m/>
    <s v="2025-26"/>
    <x v="13"/>
    <n v="41"/>
    <s v="Construction of Primary School Room at Jaliya (AM) Ta. Palitana Dist:Bhavnagar"/>
    <m/>
    <s v="Palitana"/>
    <s v="Palitana"/>
    <s v="Building"/>
    <s v="School Room"/>
    <n v="211842"/>
    <n v="2"/>
    <d v="2025-08-03T00:00:00"/>
    <d v="2025-08-11T00:00:00"/>
    <d v="2025-08-12T00:00:00"/>
    <d v="2025-12-09T00:00:00"/>
    <n v="2420954.2000000002"/>
    <m/>
    <n v="2197742.2200000002"/>
    <n v="-9.2200000000000006"/>
    <s v="Below"/>
    <s v="Twenty One Lakh Ninety Seven Thousand Seven Hundred Forty Two Rupees and Twenty Two Paise Only"/>
    <s v="Division"/>
    <m/>
    <n v="2197742.2200000002"/>
    <s v="V M ENTERPRISE"/>
    <n v="0"/>
    <s v="At Modhuka, Ta. Vinchhiya, Dist. Rajkot"/>
    <n v="9723355852"/>
    <m/>
    <s v="MP Grant - Shri Masukhbhai Mandaviya Fund - 2023-24"/>
    <m/>
    <m/>
    <m/>
    <n v="4"/>
    <n v="110000"/>
    <d v="2027-03-19T00:00:00"/>
    <n v="5400"/>
    <n v="0"/>
    <d v="2026-01-28T00:00:00"/>
    <d v="2027-01-18T00:00:00"/>
    <n v="1181"/>
    <d v="2025-08-21T00:00:00"/>
    <s v="2025-26"/>
    <n v="111"/>
    <d v="2025-08-26T00:00:00"/>
    <s v="FDR"/>
    <s v="Punjab National Bank"/>
    <s v="964500PU00000397"/>
    <n v="110000"/>
    <d v="2025-08-22T00:00:00"/>
    <m/>
    <m/>
    <m/>
    <m/>
    <m/>
    <d v="2025-08-26T00:00:00"/>
    <n v="1203"/>
    <d v="2025-08-26T00:00:00"/>
    <m/>
    <m/>
    <m/>
    <m/>
  </r>
  <r>
    <n v="323"/>
    <m/>
    <s v="2025-26"/>
    <x v="13"/>
    <n v="42"/>
    <s v="Construction of Primary School Room at Keriya Ta. Umrala Dist:Bhavnagar"/>
    <m/>
    <s v="Umrala"/>
    <s v="Vallabhipur"/>
    <s v="Building"/>
    <s v="School Room"/>
    <n v="211843"/>
    <n v="2"/>
    <d v="2025-08-03T00:00:00"/>
    <d v="2025-08-11T00:00:00"/>
    <d v="2025-08-12T00:00:00"/>
    <d v="2025-12-09T00:00:00"/>
    <n v="1634615.63"/>
    <m/>
    <n v="1525750.23"/>
    <n v="-6.66"/>
    <s v="Below"/>
    <s v="Fifteen Lakh Twenty Five Thousand Seven Hundred Fifty Rupees and Twenty Three Paise Only"/>
    <s v="Division"/>
    <m/>
    <n v="1525750.23"/>
    <s v="SOMNATH ENTERPRISE"/>
    <s v="C. H. Gohil"/>
    <s v="Ground Floor, Shop No.2, House No.151, Near Chabutara, Dadva Road, Dhola, Ta.Umrala, Dist.Bhavnagar"/>
    <n v="9377666263"/>
    <m/>
    <s v="MP Grant - Shri Masukhbhai Mandaviya Fund - 2023-24"/>
    <m/>
    <m/>
    <m/>
    <n v="4"/>
    <n v="77000"/>
    <d v="2027-04-24T00:00:00"/>
    <n v="3800"/>
    <n v="0"/>
    <d v="2026-03-05T00:00:00"/>
    <d v="2027-02-23T00:00:00"/>
    <n v="1183"/>
    <d v="2025-08-21T00:00:00"/>
    <s v="2025-26"/>
    <n v="167"/>
    <d v="2025-10-01T00:00:00"/>
    <s v="FDR"/>
    <s v="State Bank of India"/>
    <n v="44480750901"/>
    <n v="77000"/>
    <d v="2025-09-18T00:00:00"/>
    <m/>
    <m/>
    <m/>
    <m/>
    <m/>
    <d v="2025-10-01T00:00:00"/>
    <n v="1408"/>
    <d v="2025-10-01T00:00:00"/>
    <m/>
    <m/>
    <m/>
    <m/>
  </r>
  <r>
    <n v="324"/>
    <m/>
    <s v="2025-26"/>
    <x v="13"/>
    <n v="43"/>
    <s v="Construction of Primary School Room at Chitravav Ta. Umrala Dist:Bhavnagar"/>
    <m/>
    <s v="Umrala"/>
    <s v="Vallabhipur"/>
    <s v="Building"/>
    <s v="School Room"/>
    <n v="211846"/>
    <n v="2"/>
    <d v="2025-08-03T00:00:00"/>
    <d v="2025-08-11T00:00:00"/>
    <d v="2025-08-12T00:00:00"/>
    <d v="2025-12-09T00:00:00"/>
    <n v="1634615.63"/>
    <m/>
    <n v="1523952.15"/>
    <n v="-6.77"/>
    <s v="Below"/>
    <s v="Fifteen Lakh Twenty Three Thousand Nine Hundred Fifty Two Rupees and Fifteen Paise Only"/>
    <s v="Division"/>
    <m/>
    <n v="1523952.15"/>
    <s v="V M ENTERPRISE"/>
    <n v="0"/>
    <s v="At Modhuka, Ta. Vinchhiya, Dist. Rajkot"/>
    <n v="9723355852"/>
    <m/>
    <s v="MP Grant - Shri Masukhbhai Mandaviya Fund - 2023-24"/>
    <m/>
    <m/>
    <m/>
    <n v="4"/>
    <n v="77000"/>
    <d v="2027-03-19T00:00:00"/>
    <n v="3800"/>
    <n v="0"/>
    <d v="2026-01-28T00:00:00"/>
    <d v="2027-01-18T00:00:00"/>
    <n v="1182"/>
    <d v="2025-08-21T00:00:00"/>
    <s v="2025-26"/>
    <n v="112"/>
    <d v="2025-08-26T00:00:00"/>
    <s v="FDR"/>
    <s v="Punjab National Bank"/>
    <s v="964500PU00000388"/>
    <n v="77000"/>
    <d v="2025-08-22T00:00:00"/>
    <m/>
    <m/>
    <m/>
    <m/>
    <m/>
    <d v="2025-08-26T00:00:00"/>
    <n v="1204"/>
    <d v="2025-08-26T00:00:00"/>
    <m/>
    <m/>
    <m/>
    <m/>
  </r>
  <r>
    <n v="325"/>
    <m/>
    <s v="2025-26"/>
    <x v="13"/>
    <n v="44"/>
    <s v="Remaining works of Gram Panchayat office Building (Frame Structure) Gariyadhar Taluka Package No. 2017-18/18 (Shivendranagar, Moti Vavdi, Rupavati), Dist. Bhavnagar"/>
    <m/>
    <s v="Gariyadhar"/>
    <s v="Palitana"/>
    <s v="Building"/>
    <m/>
    <n v="211848"/>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26"/>
    <m/>
    <s v="2025-26"/>
    <x v="13"/>
    <n v="45"/>
    <s v="Remaining works Construction of Gram Panchayat office Building (Frame Structure) at village Pansada Dist. Bhavnagar"/>
    <m/>
    <s v="Gariyadhar"/>
    <s v="Palitana"/>
    <s v="Building"/>
    <s v="Gram Panchayat"/>
    <n v="211850"/>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27"/>
    <m/>
    <s v="2025-26"/>
    <x v="13"/>
    <n v="46"/>
    <s v="Construction of School Building at Kalivav Primary School (One Class Room)  and Koliyak Kanya P.S. (Four Class Room) Ta. And Dist. Bhavnagar"/>
    <m/>
    <s v="Bhavnagar"/>
    <s v="Bhavnagar"/>
    <s v="Building"/>
    <m/>
    <n v="211853"/>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28"/>
    <m/>
    <s v="2025-26"/>
    <x v="13"/>
    <n v="47"/>
    <s v="Construction of Nandghar (Anganvadi) Building at Village Boradi-4 Tal. Mahuva Dist. Bhavnagar"/>
    <m/>
    <s v="Mahuva"/>
    <s v="Mahuva"/>
    <s v="Building"/>
    <s v="Anganvadi"/>
    <n v="211854"/>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29"/>
    <m/>
    <s v="2025-26"/>
    <x v="13"/>
    <n v="48"/>
    <s v="Construction of Nandghar (Anganvadi) Building at Village Kumbhariya Tal. Mahuva Dist. Bhavnagar"/>
    <m/>
    <s v="Mahuva"/>
    <s v="Mahuva"/>
    <s v="Building"/>
    <s v="Anganvadi"/>
    <n v="211857"/>
    <m/>
    <d v="2025-08-03T00:00:00"/>
    <d v="2025-08-11T00:00:00"/>
    <d v="2025-08-12T00:00:00"/>
    <d v="2025-12-09T00:00:00"/>
    <n v="1024912.96"/>
    <m/>
    <n v="1012101.55"/>
    <n v="-1.25"/>
    <s v="Below"/>
    <s v="Ten Lakh Twelve Thousand One Hundred One Rupees and Fifty Five Paise Only"/>
    <s v="Division"/>
    <m/>
    <n v="1012101.55"/>
    <s v="Bhupatbhai B. Baraiya"/>
    <n v="0"/>
    <s v="Plot No. 233, Nu.N.Yo. No.3, Near Muni Nagar, Mahuva"/>
    <n v="9824837530"/>
    <m/>
    <m/>
    <m/>
    <m/>
    <m/>
    <n v="3"/>
    <n v="51000"/>
    <d v="2027-03-25T00:00:00"/>
    <n v="2500"/>
    <n v="0"/>
    <d v="2026-02-03T00:00:00"/>
    <d v="2027-01-24T00:00:00"/>
    <n v="1331"/>
    <d v="2025-09-15T00:00:00"/>
    <m/>
    <m/>
    <m/>
    <m/>
    <m/>
    <m/>
    <m/>
    <m/>
    <m/>
    <m/>
    <m/>
    <m/>
    <m/>
    <d v="2025-10-01T00:00:00"/>
    <m/>
    <m/>
    <m/>
    <m/>
    <m/>
    <m/>
  </r>
  <r>
    <n v="330"/>
    <m/>
    <s v="2025-26"/>
    <x v="13"/>
    <n v="49"/>
    <s v="Construction of Nandghar (Anganvadi) Building at Village Mota Khuntavada-2, Ta. Mahuva Dist. Bhavnagar"/>
    <m/>
    <s v="Mahuva"/>
    <s v="Mahuva"/>
    <s v="Building"/>
    <s v="Anganvadi"/>
    <n v="211859"/>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31"/>
    <m/>
    <s v="2025-26"/>
    <x v="13"/>
    <n v="50"/>
    <s v=" Construction of Nandghar (Anganvadi) Building at Village Titodiya Tal. Mahuva Dist. Bhavnagar"/>
    <m/>
    <s v="Mahuva"/>
    <s v="Mahuva"/>
    <s v="Building"/>
    <s v="Anganvadi"/>
    <n v="211861"/>
    <m/>
    <d v="2025-08-03T00:00:00"/>
    <d v="2025-08-11T00:00:00"/>
    <d v="2025-08-12T00:00:00"/>
    <d v="2025-12-09T00:00:00"/>
    <n v="1024912.96"/>
    <m/>
    <n v="1098706.69"/>
    <n v="7.2"/>
    <s v="Above"/>
    <s v="Ten Lakh Ninety Eight Thousand Seven Hundred Six Rupees and Sixty Nine Paise Only"/>
    <s v="Division"/>
    <m/>
    <n v="1098706.69"/>
    <s v="C.M.CONSTRUCTION"/>
    <s v="C. K. Vaniya"/>
    <s v="Dhuliya Pir Vali Sheri, At Sedarda, Ta. Mahuva, Dist. Bhavnagar - 364280"/>
    <n v="9978990613"/>
    <m/>
    <m/>
    <m/>
    <m/>
    <m/>
    <n v="3"/>
    <n v="55000"/>
    <d v="2027-03-25T00:00:00"/>
    <n v="2700"/>
    <n v="0"/>
    <d v="2026-02-03T00:00:00"/>
    <d v="2027-01-24T00:00:00"/>
    <m/>
    <d v="2025-09-15T00:00:00"/>
    <m/>
    <m/>
    <m/>
    <m/>
    <m/>
    <m/>
    <m/>
    <m/>
    <m/>
    <m/>
    <m/>
    <m/>
    <m/>
    <d v="2025-10-01T00:00:00"/>
    <m/>
    <m/>
    <m/>
    <m/>
    <m/>
    <m/>
  </r>
  <r>
    <n v="332"/>
    <m/>
    <s v="2025-26"/>
    <x v="13"/>
    <n v="51"/>
    <s v="Construction of Nandghar (Anganvadi) Building at Village Gundarani Tal. Mahuva Dist. Bhavnagar"/>
    <m/>
    <s v="Mahuva"/>
    <s v="Mahuva"/>
    <s v="Building"/>
    <s v="Anganvadi"/>
    <n v="211875"/>
    <m/>
    <d v="2025-08-03T00:00:00"/>
    <d v="2025-08-11T00:00:00"/>
    <d v="2025-08-12T00:00:00"/>
    <d v="2025-12-09T00:00:00"/>
    <n v="1024912.96"/>
    <m/>
    <n v="991398.31"/>
    <n v="-3.27"/>
    <s v="Below"/>
    <s v="Nine Lakh Ninety One Thousand Three Hundred Ninety Eight Rupees and Thirty One Paise Only"/>
    <s v="Division"/>
    <m/>
    <n v="991398.31"/>
    <s v="Bhupatbhai B. Baraiya"/>
    <n v="0"/>
    <s v="Plot No. 233, Nu.N.Yo. No.3, Near Muni Nagar, Mahuva"/>
    <n v="9824837530"/>
    <m/>
    <m/>
    <m/>
    <m/>
    <m/>
    <n v="3"/>
    <n v="50000"/>
    <d v="2027-03-25T00:00:00"/>
    <n v="2500"/>
    <n v="0"/>
    <d v="2026-02-03T00:00:00"/>
    <d v="2027-01-24T00:00:00"/>
    <n v="1332"/>
    <d v="2025-09-15T00:00:00"/>
    <m/>
    <m/>
    <m/>
    <m/>
    <m/>
    <m/>
    <m/>
    <m/>
    <m/>
    <m/>
    <m/>
    <m/>
    <m/>
    <d v="2025-10-01T00:00:00"/>
    <m/>
    <m/>
    <m/>
    <m/>
    <m/>
    <m/>
  </r>
  <r>
    <n v="333"/>
    <m/>
    <s v="2025-26"/>
    <x v="13"/>
    <n v="52"/>
    <s v="Construction of Nandghar (Anganvadi) Building at Village Mota Malpara, Ta. Mahuva Dist. Bhavnagar"/>
    <m/>
    <s v="Mahuva"/>
    <s v="Mahuva"/>
    <s v="Building"/>
    <s v="Anganvadi"/>
    <n v="211876"/>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34"/>
    <m/>
    <s v="2025-26"/>
    <x v="13"/>
    <n v="53"/>
    <s v="Construction of Nandghar (Anganvadi) Building at Village Mota Khuntvada-3 Tal. Mahuva Dist. Bhavnagar"/>
    <m/>
    <s v="Mahuva"/>
    <s v="Mahuva"/>
    <s v="Building"/>
    <s v="Anganvadi"/>
    <n v="211877"/>
    <m/>
    <d v="2025-08-03T00:00:00"/>
    <d v="2025-08-11T00:00:00"/>
    <d v="2025-08-12T00:00:00"/>
    <d v="2025-12-09T00:00:00"/>
    <n v="1024912.96"/>
    <m/>
    <n v="1301639.46"/>
    <n v="27"/>
    <s v="Above"/>
    <s v="Thirteen Lakh One Thousand Six Hundred Thirty Nine Rupees and Forty Six Paise Only"/>
    <s v="Division"/>
    <m/>
    <n v="1301639.46"/>
    <s v="C.M.CONSTRUCTION"/>
    <s v="C. K. Vaniya"/>
    <s v="Dhuliya Pir Vali Sheri, At Sedarda, Ta. Mahuva, Dist. Bhavnagar - 364280"/>
    <n v="9978990613"/>
    <m/>
    <m/>
    <m/>
    <m/>
    <m/>
    <n v="3"/>
    <n v="66000"/>
    <d v="2027-03-25T00:00:00"/>
    <n v="3300"/>
    <n v="0"/>
    <d v="2026-02-03T00:00:00"/>
    <d v="2027-01-24T00:00:00"/>
    <m/>
    <d v="2025-09-15T00:00:00"/>
    <m/>
    <m/>
    <m/>
    <m/>
    <m/>
    <m/>
    <m/>
    <m/>
    <m/>
    <m/>
    <m/>
    <m/>
    <m/>
    <d v="2025-10-01T00:00:00"/>
    <m/>
    <m/>
    <m/>
    <m/>
    <m/>
    <m/>
  </r>
  <r>
    <n v="335"/>
    <m/>
    <s v="2025-26"/>
    <x v="13"/>
    <n v="54"/>
    <s v="Construction of Nandghar (Anganvadi) Building at Village Vaghavadarda Tal. Mahuva Dist. Bhavnagar"/>
    <m/>
    <s v="Mahuva"/>
    <s v="Mahuva"/>
    <s v="Building"/>
    <s v="Anganvadi"/>
    <n v="211878"/>
    <m/>
    <d v="2025-08-03T00:00:00"/>
    <d v="2025-08-11T00:00:00"/>
    <d v="2025-08-12T00:00:00"/>
    <d v="2025-12-09T00:00:00"/>
    <n v="1024912.96"/>
    <m/>
    <n v="1012409.02"/>
    <n v="-1.22"/>
    <s v="Below"/>
    <s v="Ten Lakh Twelve Thousand Four Hundred Nine Rupees and Two Paise Only"/>
    <s v="Division"/>
    <m/>
    <n v="1012409.02"/>
    <s v="V M ENTERPRISE"/>
    <n v="0"/>
    <s v="At Modhuka, Ta. Vinchhiya, Dist. Rajkot"/>
    <n v="9723355852"/>
    <m/>
    <m/>
    <m/>
    <m/>
    <m/>
    <n v="3"/>
    <n v="51000"/>
    <d v="2027-03-25T00:00:00"/>
    <n v="2500"/>
    <n v="0"/>
    <d v="2026-02-03T00:00:00"/>
    <d v="2027-01-24T00:00:00"/>
    <n v="1313"/>
    <d v="2025-09-15T00:00:00"/>
    <m/>
    <m/>
    <m/>
    <m/>
    <m/>
    <m/>
    <m/>
    <m/>
    <m/>
    <m/>
    <m/>
    <m/>
    <m/>
    <d v="2025-10-01T00:00:00"/>
    <m/>
    <m/>
    <m/>
    <m/>
    <m/>
    <m/>
  </r>
  <r>
    <n v="336"/>
    <m/>
    <s v="2025-26"/>
    <x v="13"/>
    <n v="55"/>
    <s v="Construction of Nandghar (Anganvadi) Building at Village Dudana Tal. Mahuva Dist. Bhavnagar"/>
    <m/>
    <s v="Mahuva"/>
    <s v="Mahuva"/>
    <s v="Building"/>
    <s v="Anganvadi"/>
    <n v="211879"/>
    <m/>
    <d v="2025-08-03T00:00:00"/>
    <d v="2025-08-11T00:00:00"/>
    <d v="2025-08-12T00:00:00"/>
    <d v="2025-12-09T00:00:00"/>
    <n v="1024912.96"/>
    <m/>
    <n v="990783.36"/>
    <n v="-3.33"/>
    <s v="Below"/>
    <s v="Nine Lakh Ninety Thousand Seven Hundred Eighty Three Rupees and Thirty Six Paise Only"/>
    <s v="Division"/>
    <m/>
    <n v="990783.36"/>
    <s v="SHIV CONTRUCTION"/>
    <s v="ALIGBHAI LAKHUBHAI BARAL"/>
    <s v="At Bhandariya, Ta. Palitana, Dist. Bhavnagar"/>
    <n v="8780428967"/>
    <m/>
    <m/>
    <m/>
    <m/>
    <m/>
    <n v="3"/>
    <n v="50000"/>
    <d v="2027-04-08T00:00:00"/>
    <n v="2500"/>
    <n v="0"/>
    <d v="2026-02-17T00:00:00"/>
    <d v="2027-02-07T00:00:00"/>
    <n v="1307"/>
    <d v="2025-09-15T00:00:00"/>
    <s v="2025-26"/>
    <n v="186"/>
    <d v="2025-10-13T00:00:00"/>
    <s v="FDR"/>
    <s v="Gujarat Gramin Bank"/>
    <s v="22670300000005"/>
    <n v="50000"/>
    <d v="2025-10-06T00:00:00"/>
    <m/>
    <m/>
    <m/>
    <m/>
    <m/>
    <d v="2025-10-15T00:00:00"/>
    <n v="1470"/>
    <d v="2025-10-13T00:00:00"/>
    <m/>
    <m/>
    <m/>
    <m/>
  </r>
  <r>
    <n v="337"/>
    <m/>
    <s v="2025-26"/>
    <x v="14"/>
    <n v="1"/>
    <s v="Construction of Gram Panchayat office ( for Population from 5000- 10000) at Village Ambla Tal. Shihor Dist. Bhavnagar"/>
    <m/>
    <s v="Shihor"/>
    <s v="Shihor"/>
    <s v="Building"/>
    <s v="Gram Panchayat"/>
    <n v="213142"/>
    <m/>
    <d v="2025-08-06T00:00:00"/>
    <d v="2025-08-18T00:00:00"/>
    <d v="2025-08-19T00:00:00"/>
    <d v="2025-12-16T00:00:00"/>
    <n v="2880130.57"/>
    <m/>
    <n v="2618326.7000000002"/>
    <n v="-9.09"/>
    <s v="Below"/>
    <s v="Twenty Six Lakh Eighteen Thousand Three Hundred Twenty Six Rupees and Seven Paise Only"/>
    <s v="Division"/>
    <m/>
    <n v="2618326.7000000002"/>
    <s v="VARAHI CONSTRUCTION"/>
    <s v="Majithiya Dhruvin Nareshbhai"/>
    <s v="82/1, Bajaran Society, Near Gayatri Temple, Chitra, Bhavnagar-364004"/>
    <n v="8200557028"/>
    <m/>
    <s v="DMF"/>
    <m/>
    <m/>
    <m/>
    <n v="4"/>
    <n v="131000"/>
    <d v="2027-04-24T00:00:00"/>
    <n v="6500"/>
    <n v="0"/>
    <d v="2026-03-05T00:00:00"/>
    <d v="2027-02-23T00:00:00"/>
    <n v="1338"/>
    <d v="2025-09-15T00:00:00"/>
    <m/>
    <m/>
    <m/>
    <m/>
    <m/>
    <m/>
    <m/>
    <m/>
    <m/>
    <m/>
    <m/>
    <m/>
    <m/>
    <d v="2025-10-01T00:00:00"/>
    <m/>
    <m/>
    <m/>
    <m/>
    <m/>
    <m/>
  </r>
  <r>
    <n v="338"/>
    <m/>
    <s v="2025-26"/>
    <x v="14"/>
    <n v="2"/>
    <s v="Construction of Community hall at Shirvaniya Area Village Parwala Tal. Umrala Dist. :- Bhavnagar"/>
    <m/>
    <s v="Umrala"/>
    <s v="Vallabhipur"/>
    <s v="Building"/>
    <s v="Community hall"/>
    <n v="213143"/>
    <m/>
    <d v="2025-08-06T00:00:00"/>
    <d v="2025-08-18T00:00:00"/>
    <d v="2025-08-19T00:00:00"/>
    <d v="2025-12-16T00:00:00"/>
    <n v="577431.24"/>
    <m/>
    <n v="523672.39"/>
    <n v="-9.31"/>
    <s v="Below"/>
    <s v="Five Lakh Twenty Three Thousand Six Hundred Seventy Two Rupees and Thirty Nine Paise Only"/>
    <s v="Division"/>
    <m/>
    <n v="523672.39"/>
    <s v="SHIVGADH BUILDERS"/>
    <s v="Amardipsinh M. Gohil"/>
    <s v="C 1014, Opp. SBI Bank, Kaliyabid, Bhavnagar"/>
    <n v="9426959999"/>
    <m/>
    <s v="MP Grant"/>
    <m/>
    <m/>
    <m/>
    <n v="3"/>
    <n v="27000"/>
    <d v="2027-05-04T00:00:00"/>
    <n v="1400"/>
    <n v="0"/>
    <d v="2026-03-15T00:00:00"/>
    <d v="2027-03-05T00:00:00"/>
    <n v="1412"/>
    <d v="2025-10-03T00:00:00"/>
    <s v="2025-26"/>
    <n v="196"/>
    <d v="2025-11-03T00:00:00"/>
    <s v="FDR"/>
    <s v="State Bank of India"/>
    <n v="44555676058"/>
    <n v="27000"/>
    <d v="2025-10-14T00:00:00"/>
    <m/>
    <m/>
    <m/>
    <m/>
    <m/>
    <d v="2025-11-10T00:00:00"/>
    <n v="1498"/>
    <d v="2025-11-03T00:00:00"/>
    <m/>
    <m/>
    <m/>
    <m/>
  </r>
  <r>
    <n v="339"/>
    <m/>
    <s v="2025-26"/>
    <x v="14"/>
    <n v="3"/>
    <s v="Construction of Community Hall at Aanandpar Village Tal.Gariyadhar Dist. Bhavnagar"/>
    <m/>
    <s v="Gariyadhar"/>
    <s v="Palitana"/>
    <s v="Building"/>
    <s v="Community hall"/>
    <n v="213144"/>
    <m/>
    <d v="2025-08-06T00:00:00"/>
    <d v="2025-08-18T00:00:00"/>
    <d v="2025-08-19T00:00:00"/>
    <d v="2025-12-16T00:00:00"/>
    <n v="828966.94"/>
    <m/>
    <n v="866270.45"/>
    <n v="4.5"/>
    <s v="Above"/>
    <s v="Eight Lakh Sixty Six Thousand Two Hundred Seventy Rupees and Forty Five Paise Only"/>
    <s v="Division"/>
    <m/>
    <n v="866270.45"/>
    <s v="KAIRAV CONSTRUCTION"/>
    <s v="JATINKUMAR RAMESHBHAI GOYANI"/>
    <s v="SHOP NO. 3, GROUND FLOOR, PARVADI GAM, GARIYADHAR SANOSARA ROAD, PARAVADI, TA. GARIYADHAR, DIST. BHAVNAGAR-364505"/>
    <n v="9016319324"/>
    <m/>
    <m/>
    <m/>
    <m/>
    <m/>
    <n v="3"/>
    <n v="44000"/>
    <d v="1901-06-23T00:00:00"/>
    <n v="2200"/>
    <n v="0"/>
    <d v="1900-05-04T00:00:00"/>
    <d v="1901-04-24T00:00:00"/>
    <m/>
    <m/>
    <m/>
    <m/>
    <m/>
    <m/>
    <m/>
    <m/>
    <m/>
    <m/>
    <m/>
    <m/>
    <m/>
    <m/>
    <m/>
    <m/>
    <m/>
    <m/>
    <m/>
    <m/>
    <m/>
    <m/>
  </r>
  <r>
    <n v="340"/>
    <m/>
    <s v="2025-26"/>
    <x v="14"/>
    <n v="4"/>
    <s v="Construction of Nandghar (Anganvadi) Building at Tarakpaladi Tal. Shihor Dist. Bhavnagar"/>
    <m/>
    <s v="Shihor"/>
    <s v="Shihor"/>
    <s v="Building"/>
    <s v="Anganvadi"/>
    <n v="213145"/>
    <m/>
    <d v="2025-08-06T00:00:00"/>
    <d v="2025-08-18T00:00:00"/>
    <d v="2025-08-19T00:00:00"/>
    <d v="2025-12-16T00:00:00"/>
    <n v="1024912.96"/>
    <m/>
    <n v="843400.87"/>
    <n v="-17.71"/>
    <s v="Below"/>
    <s v="Eight Lakh Forty Three Thousand Four Hundred Rupees and Eighty Seven Paise Only"/>
    <s v="Division"/>
    <m/>
    <n v="843400.87"/>
    <s v="RAJ SECURITY SERVICES"/>
    <n v="0"/>
    <s v="F/107, Eva Surabhi Complex, Opp. Aksharvadi Temple, Waghavadi Road, Bhavnagar - 364001"/>
    <n v="7984929295"/>
    <m/>
    <m/>
    <m/>
    <m/>
    <m/>
    <n v="3"/>
    <n v="43000"/>
    <d v="2027-04-08T00:00:00"/>
    <n v="2900"/>
    <n v="16000"/>
    <d v="2026-02-17T00:00:00"/>
    <d v="2027-02-07T00:00:00"/>
    <n v="1355"/>
    <d v="2025-09-22T00:00:00"/>
    <s v="2025-26"/>
    <n v="191"/>
    <d v="2025-10-13T00:00:00"/>
    <s v="FDR"/>
    <s v="State Bank of India"/>
    <n v="44527007513"/>
    <n v="43000"/>
    <d v="2025-10-04T00:00:00"/>
    <s v="FDR"/>
    <s v="State Bank of India"/>
    <n v="44527009054"/>
    <n v="16000"/>
    <d v="2025-10-04T00:00:00"/>
    <d v="2025-10-15T00:00:00"/>
    <n v="1475"/>
    <d v="2025-10-13T00:00:00"/>
    <m/>
    <m/>
    <m/>
    <m/>
  </r>
  <r>
    <n v="341"/>
    <m/>
    <s v="2025-26"/>
    <x v="14"/>
    <n v="5"/>
    <s v="Construction of CD Work on the Road from Vadal village in Palitana taluka to Kotiya village in Mahuva taluka Ta.:- Palitana, Dist.:- Bhavnagar"/>
    <m/>
    <s v="Palitana"/>
    <s v="Palitana"/>
    <s v="Road"/>
    <m/>
    <n v="213149"/>
    <m/>
    <d v="2025-08-06T00:00:00"/>
    <d v="2025-08-18T00:00:00"/>
    <d v="2025-08-19T00:00:00"/>
    <d v="2025-12-16T00:00:00"/>
    <n v="1257594.95"/>
    <m/>
    <n v="990859.06"/>
    <n v="-21.21"/>
    <s v="Below"/>
    <s v="Nine Lakh Ninety Thousand Eight Hundred Fifty Nine Rupees and Six Paise Only"/>
    <s v="Division"/>
    <m/>
    <n v="990859.06"/>
    <s v="SHIV CONTRUCTION"/>
    <s v="ALIGBHAI LAKHUBHAI BARAL"/>
    <s v="At Bhandariya, Ta. Palitana, Dist. Bhavnagar"/>
    <n v="8780428967"/>
    <m/>
    <s v="15% Vivekadhin"/>
    <m/>
    <m/>
    <m/>
    <n v="1"/>
    <n v="50000"/>
    <d v="2027-02-07T00:00:00"/>
    <n v="4600"/>
    <n v="43000"/>
    <d v="2025-12-19T00:00:00"/>
    <d v="2026-12-09T00:00:00"/>
    <n v="1335"/>
    <d v="2025-09-15T00:00:00"/>
    <s v="2025-26"/>
    <n v="185"/>
    <d v="2025-10-13T00:00:00"/>
    <s v="FDR"/>
    <s v="Gujarat Gramin Bank"/>
    <s v="22670300000001"/>
    <n v="50000"/>
    <d v="2025-10-06T00:00:00"/>
    <s v="FDR"/>
    <s v="Gujarat Gramin Bank"/>
    <s v="22670300000002"/>
    <n v="43000"/>
    <d v="2025-10-06T00:00:00"/>
    <d v="2025-10-15T00:00:00"/>
    <n v="1469"/>
    <d v="2025-10-13T00:00:00"/>
    <m/>
    <m/>
    <m/>
    <m/>
  </r>
  <r>
    <n v="342"/>
    <m/>
    <s v="2025-26"/>
    <x v="14"/>
    <n v="6"/>
    <s v="Providing wire fencing At Songadh rest house compus At. Shihor Dist. Bhavnagar"/>
    <m/>
    <s v="Shihor"/>
    <s v="Shihor"/>
    <s v="Repair Building"/>
    <s v="Rest House"/>
    <n v="213305"/>
    <m/>
    <d v="2025-08-06T00:00:00"/>
    <d v="2025-08-18T00:00:00"/>
    <d v="2025-08-19T00:00:00"/>
    <d v="2025-12-16T00:00:00"/>
    <n v="202031.85"/>
    <m/>
    <n v="183101.47"/>
    <n v="-9.3699999999999992"/>
    <s v="Below"/>
    <s v="One Lakh Eighty Three Thousand One Hundred One Rupees and Forty Seven Paise Only"/>
    <s v="Division"/>
    <m/>
    <n v="183101.47"/>
    <s v="KAIRAV CONSTRUCTION"/>
    <s v="JATINKUMAR RAMESHBHAI GOYANI"/>
    <s v="SHOP NO. 3, GROUND FLOOR, PARVADI GAM, GARIYADHAR SANOSARA ROAD, PARAVADI, TA. GARIYADHAR, DIST. BHAVNAGAR-364505"/>
    <n v="9016319324"/>
    <m/>
    <m/>
    <m/>
    <m/>
    <m/>
    <n v="1"/>
    <n v="10000"/>
    <d v="2027-01-24T00:00:00"/>
    <n v="500"/>
    <n v="0"/>
    <d v="2025-12-05T00:00:00"/>
    <d v="2026-11-25T00:00:00"/>
    <n v="1336"/>
    <d v="2025-09-15T00:00:00"/>
    <m/>
    <m/>
    <m/>
    <m/>
    <m/>
    <m/>
    <m/>
    <m/>
    <m/>
    <m/>
    <m/>
    <m/>
    <m/>
    <d v="2025-10-01T00:00:00"/>
    <m/>
    <m/>
    <m/>
    <m/>
    <m/>
    <m/>
  </r>
  <r>
    <n v="343"/>
    <m/>
    <s v="2025-26"/>
    <x v="14"/>
    <n v="7"/>
    <s v="Construction of CD Works on Thoradi villlage to High school Road (NP) Ta. Bhavnagar Dist. Bhavnagar"/>
    <m/>
    <s v="Bhavnagar"/>
    <s v="Bhavnagar"/>
    <s v="Road"/>
    <m/>
    <n v="213308"/>
    <m/>
    <d v="2025-08-06T00:00:00"/>
    <d v="2025-08-18T00:00:00"/>
    <d v="2025-08-19T00:00:00"/>
    <d v="2025-12-16T00:00:00"/>
    <n v="2473582.67"/>
    <m/>
    <n v="1709740.34"/>
    <n v="-30.88"/>
    <s v="Below"/>
    <s v="Seventeen Lakh Nine Thousand Seven Hundred Forty Rupees and Thirty Four Paise Only"/>
    <s v="Division"/>
    <m/>
    <n v="1709740.34"/>
    <s v="JAY PUNJESHWAR CONSTRUCTION"/>
    <s v="Sanjaysinh Rajendrasinh Gohil"/>
    <s v="184, Darbar Street, Wadi Area, Navagam (Nana) Ta. Ghogha. Dist. Bhavnagar"/>
    <n v="9624751929"/>
    <m/>
    <m/>
    <m/>
    <m/>
    <m/>
    <n v="1"/>
    <n v="86000"/>
    <d v="2027-01-24T00:00:00"/>
    <n v="11900"/>
    <n v="155000"/>
    <d v="2025-12-05T00:00:00"/>
    <d v="2026-11-25T00:00:00"/>
    <n v="1337"/>
    <d v="2025-09-15T00:00:00"/>
    <m/>
    <m/>
    <m/>
    <m/>
    <m/>
    <m/>
    <m/>
    <m/>
    <m/>
    <m/>
    <m/>
    <m/>
    <m/>
    <d v="2025-10-01T00:00:00"/>
    <m/>
    <m/>
    <m/>
    <m/>
    <m/>
    <m/>
  </r>
  <r>
    <n v="344"/>
    <m/>
    <s v="2025-26"/>
    <x v="14"/>
    <n v="8"/>
    <s v="Construction of Bus Stand of Ambla Tal. Sihor Dist. Bhavnagar"/>
    <m/>
    <s v="Shihor"/>
    <s v="Shihor"/>
    <s v="Building"/>
    <s v="Bus Stand"/>
    <n v="213311"/>
    <m/>
    <d v="2025-08-06T00:00:00"/>
    <d v="2025-08-18T00:00:00"/>
    <d v="2025-08-19T00:00:00"/>
    <d v="2025-12-16T00:00:00"/>
    <n v="836769.5"/>
    <m/>
    <n v="768740.14"/>
    <n v="-8.1300000000000008"/>
    <s v="Below"/>
    <s v="Seven Lakh Sixty Eight Thousand Seven Hundred Forty Rupees and Fourteen Paise Only"/>
    <s v="Division"/>
    <m/>
    <n v="768740.14"/>
    <s v="SHIVGADH BUILDERS"/>
    <s v="Amardipsinh M. Gohil"/>
    <s v="C 1014, Opp. SBI Bank, Kaliyabid, Bhavnagar"/>
    <n v="9426959999"/>
    <m/>
    <s v="MP Grant"/>
    <m/>
    <m/>
    <m/>
    <n v="2"/>
    <n v="39000"/>
    <d v="2027-04-04T00:00:00"/>
    <n v="2000"/>
    <n v="0"/>
    <d v="2026-02-13T00:00:00"/>
    <d v="2027-02-03T00:00:00"/>
    <n v="1417"/>
    <d v="2025-10-03T00:00:00"/>
    <s v="2025-26"/>
    <n v="195"/>
    <d v="2025-11-03T00:00:00"/>
    <s v="FDR"/>
    <s v="State Bank of India"/>
    <n v="44564950237"/>
    <n v="39000"/>
    <d v="2025-10-17T00:00:00"/>
    <m/>
    <m/>
    <m/>
    <m/>
    <m/>
    <d v="2025-11-10T00:00:00"/>
    <n v="1497"/>
    <d v="2025-11-03T00:00:00"/>
    <m/>
    <m/>
    <m/>
    <m/>
  </r>
  <r>
    <n v="345"/>
    <m/>
    <s v="2025-26"/>
    <x v="14"/>
    <n v="9"/>
    <s v="Repairing of Vallabhipur Deputy executive engineer Quarter at Vallabhipur Taluka Dist:- Bhavnagar"/>
    <m/>
    <s v="Vallabhipur"/>
    <s v="Vallabhipur"/>
    <s v="Building"/>
    <s v="Quarters"/>
    <n v="213314"/>
    <m/>
    <d v="2025-08-06T00:00:00"/>
    <d v="2025-08-18T00:00:00"/>
    <d v="2025-08-19T00:00:00"/>
    <d v="2025-12-16T00:00:00"/>
    <n v="684906.78"/>
    <m/>
    <n v="659085.79"/>
    <n v="-3.77"/>
    <s v="Below"/>
    <s v="Six Lakh Fifty Nine Thousand Eighty Five Rupees and Seventy Nine Paise Only"/>
    <s v="Division"/>
    <m/>
    <n v="659085.79"/>
    <s v="SHRI KRISHNA CONSTRUCTION"/>
    <n v="0"/>
    <s v="House No.757, Nr. Ramdevpir Mandir Temple, Dihor, Talaja, Bhavnagar-364150"/>
    <n v="0"/>
    <m/>
    <m/>
    <m/>
    <m/>
    <m/>
    <n v="3"/>
    <n v="33000"/>
    <d v="2027-03-25T00:00:00"/>
    <n v="1700"/>
    <n v="0"/>
    <d v="2026-02-03T00:00:00"/>
    <d v="2027-01-24T00:00:00"/>
    <n v="1334"/>
    <d v="2025-09-15T00:00:00"/>
    <m/>
    <m/>
    <m/>
    <m/>
    <m/>
    <m/>
    <m/>
    <m/>
    <m/>
    <m/>
    <m/>
    <m/>
    <m/>
    <d v="2025-10-01T00:00:00"/>
    <m/>
    <m/>
    <m/>
    <m/>
    <m/>
    <m/>
  </r>
  <r>
    <n v="346"/>
    <m/>
    <s v="2025-26"/>
    <x v="14"/>
    <n v="10"/>
    <s v="Construction of CD Work on At Bagad River the Road from Ralgon village in Talaja taluka to Kotiya village in Mahuva taluka Road (NP) Ta.:- Talaja, Dist.:- Bhavnagar"/>
    <m/>
    <s v="Talaja"/>
    <s v="Talaja"/>
    <s v="Road"/>
    <m/>
    <n v="213315"/>
    <m/>
    <d v="2025-08-06T00:00:00"/>
    <d v="2025-08-18T00:00:00"/>
    <d v="2025-08-19T00:00:00"/>
    <d v="2025-12-16T00:00:00"/>
    <n v="1253372.56"/>
    <m/>
    <n v="866331.11"/>
    <n v="-30.88"/>
    <s v="Below"/>
    <s v="Eight Lakh Sixty Six Thousand Three Hundred Thirty One Rupees and Eleven Paise Only"/>
    <s v="Division"/>
    <m/>
    <n v="866331.11"/>
    <s v="JAY PUNJESHWAR CONSTRUCTION"/>
    <s v="Sanjaysinh Rajendrasinh Gohil"/>
    <s v="184, Darbar Street, Wadi Area, Navagam (Nana) Ta. Ghogha. Dist. Bhavnagar"/>
    <n v="9624751929"/>
    <m/>
    <m/>
    <m/>
    <m/>
    <m/>
    <n v="1"/>
    <n v="44000"/>
    <d v="2027-01-24T00:00:00"/>
    <n v="6100"/>
    <n v="79000"/>
    <d v="2025-12-05T00:00:00"/>
    <d v="2026-11-25T00:00:00"/>
    <n v="1339"/>
    <d v="2025-09-15T00:00:00"/>
    <m/>
    <m/>
    <m/>
    <m/>
    <m/>
    <m/>
    <m/>
    <m/>
    <m/>
    <m/>
    <m/>
    <m/>
    <m/>
    <d v="2025-10-01T00:00:00"/>
    <m/>
    <m/>
    <m/>
    <m/>
    <m/>
    <m/>
  </r>
  <r>
    <n v="347"/>
    <m/>
    <s v="2025-26"/>
    <x v="14"/>
    <n v="11"/>
    <s v="Construction of C.C. Road Tirupati temple Road Joining to Ambla-Kumbhan Road Ta.:- Shihor, Dist.:- Bhavnagar"/>
    <m/>
    <s v="Shihor"/>
    <s v="Shihor"/>
    <s v="Road"/>
    <m/>
    <n v="213317"/>
    <m/>
    <d v="2025-08-06T00:00:00"/>
    <d v="2025-08-18T00:00:00"/>
    <d v="2025-08-19T00:00:00"/>
    <d v="2025-12-16T00:00:00"/>
    <n v="669356.71"/>
    <m/>
    <n v="476046.49"/>
    <n v="-28.88"/>
    <s v="Below"/>
    <s v="Four Lakh Seventy Six Thousand Forty Six Rupees and Forty Nine Paise Only"/>
    <s v="Division"/>
    <m/>
    <n v="476046.49"/>
    <s v="SHIVGADH BUILDERS"/>
    <s v="Amardipsinh M. Gohil"/>
    <s v="C 1014, Opp. SBI Bank, Kaliyabid, Bhavnagar"/>
    <n v="9426959999"/>
    <m/>
    <s v="15% Vivekadhin"/>
    <m/>
    <m/>
    <m/>
    <n v="1"/>
    <n v="24000"/>
    <d v="2027-03-05T00:00:00"/>
    <n v="3100"/>
    <n v="38000"/>
    <d v="2026-01-14T00:00:00"/>
    <d v="2027-01-04T00:00:00"/>
    <n v="1356"/>
    <d v="2025-09-22T00:00:00"/>
    <s v="2025-26"/>
    <n v="194"/>
    <d v="2025-11-03T00:00:00"/>
    <s v="FDR"/>
    <s v="State Bank of India"/>
    <n v="44537744624"/>
    <n v="24000"/>
    <d v="2025-10-08T00:00:00"/>
    <s v="FDR"/>
    <s v="State Bank of India"/>
    <n v="44564969511"/>
    <n v="38000"/>
    <d v="2025-10-17T00:00:00"/>
    <d v="2025-11-10T00:00:00"/>
    <n v="1496"/>
    <d v="2025-11-03T00:00:00"/>
    <m/>
    <m/>
    <m/>
    <m/>
  </r>
  <r>
    <n v="348"/>
    <m/>
    <s v="2025-26"/>
    <x v="14"/>
    <n v="12"/>
    <s v="Construction of Taluka Panchayat Building at Mahuva, Dist. Bhavnagar"/>
    <m/>
    <s v="Mahuva"/>
    <s v="Mahuva"/>
    <s v="Building"/>
    <s v="Taluka Panchayat"/>
    <n v="213371"/>
    <m/>
    <d v="2025-08-06T00:00:00"/>
    <d v="2025-08-18T00:00:00"/>
    <d v="2025-08-19T00:00:00"/>
    <d v="2025-12-16T00:00:00"/>
    <m/>
    <s v="Yes"/>
    <m/>
    <m/>
    <s v="Equals"/>
    <s v="Zero Rupees Only"/>
    <s v="Division"/>
    <m/>
    <n v="0"/>
    <m/>
    <n v="0"/>
    <n v="0"/>
    <n v="0"/>
    <m/>
    <m/>
    <m/>
    <m/>
    <m/>
    <m/>
    <n v="0"/>
    <d v="1901-03-25T00:00:00"/>
    <n v="0"/>
    <n v="0"/>
    <d v="1900-02-03T00:00:00"/>
    <d v="1901-01-24T00:00:00"/>
    <m/>
    <m/>
    <m/>
    <m/>
    <m/>
    <m/>
    <m/>
    <m/>
    <m/>
    <m/>
    <m/>
    <m/>
    <m/>
    <m/>
    <m/>
    <m/>
    <m/>
    <m/>
    <m/>
    <m/>
    <m/>
    <m/>
  </r>
  <r>
    <n v="349"/>
    <m/>
    <s v="2025-26"/>
    <x v="14"/>
    <n v="13"/>
    <s v="Construction of Kerala to Mangela Road (NP) Ch.0/000 to 4/000 (Sec.0/000-3/200) Ta.Talaja , Dist.; Bhavnagar. (Under MMGSY-Normal-2024-25) "/>
    <m/>
    <s v="Talaja"/>
    <s v="Talaja"/>
    <s v="Road"/>
    <m/>
    <n v="213388"/>
    <m/>
    <d v="2025-08-06T00:00:00"/>
    <d v="2025-08-18T00:00:00"/>
    <d v="2025-08-19T00:00:00"/>
    <d v="2025-12-16T00:00:00"/>
    <n v="21756202.609999999"/>
    <m/>
    <n v="21031721.059999999"/>
    <n v="-3.33"/>
    <s v="Below"/>
    <s v="Two Crore Ten Lakh Thirty One Thousand Seven Hundred Twenty One Rupees and Six Paise Only"/>
    <s v="Government"/>
    <m/>
    <n v="21031721.059999999"/>
    <s v="KRISHNA CONSTRUCTION"/>
    <s v="BHADRESHSINH BHAGWATSING GOHIL"/>
    <s v="A/8, AKSHARDEEP COMPLEX, OPP. DEEPAK MEMORIAL HALL, SANSKAR MANDAL, BHAVNAGAR-364002"/>
    <n v="9925209999"/>
    <m/>
    <m/>
    <m/>
    <m/>
    <m/>
    <m/>
    <n v="1052000"/>
    <d v="1903-03-15T00:00:00"/>
    <n v="51600"/>
    <n v="0"/>
    <d v="1900-02-03T00:00:00"/>
    <d v="1903-01-14T00:00:00"/>
    <m/>
    <m/>
    <m/>
    <m/>
    <m/>
    <m/>
    <m/>
    <m/>
    <m/>
    <m/>
    <m/>
    <m/>
    <m/>
    <m/>
    <m/>
    <m/>
    <m/>
    <m/>
    <m/>
    <m/>
    <m/>
    <m/>
  </r>
  <r>
    <n v="350"/>
    <m/>
    <s v="2025-26"/>
    <x v="14"/>
    <n v="14"/>
    <s v=" Construction of Vejodari to Mangela Road (NP) Ch.0/000 to 2/250 Ta.Talaja , Dist.; Bhavnagar. (Under MMGSY-Normal2024-25)"/>
    <m/>
    <s v="Talaja"/>
    <s v="Talaja"/>
    <s v="Road"/>
    <m/>
    <n v="213397"/>
    <m/>
    <d v="2025-08-06T00:00:00"/>
    <d v="2025-08-18T00:00:00"/>
    <d v="2025-08-19T00:00:00"/>
    <d v="2025-12-16T00:00:00"/>
    <n v="13636075.76"/>
    <m/>
    <n v="13181994.439999999"/>
    <n v="-3.33"/>
    <s v="Below"/>
    <s v="One Crore Thirty One Lakh Eighty One Thousand Nine Hundred Ninety Four Rupees and Forty Four Paise Only"/>
    <s v="Circle"/>
    <m/>
    <n v="13181994.439999999"/>
    <s v="KRISHNA CONSTRUCTION"/>
    <s v="BHADRESHSINH BHAGWATSING GOHIL"/>
    <s v="A/8, AKSHARDEEP COMPLEX, OPP. DEEPAK MEMORIAL HALL, SANSKAR MANDAL, BHAVNAGAR-364002"/>
    <n v="9925209999"/>
    <m/>
    <s v="5054 MMGSY NORMAL"/>
    <s v="Superintending Engineer, Panchayat Road and Building Circle-2, Rajkot"/>
    <s v="RPC-2/Tender/Bhavbagar/259"/>
    <d v="2025-09-03T00:00:00"/>
    <n v="6"/>
    <n v="660000"/>
    <d v="2029-07-13T00:00:00"/>
    <n v="32400"/>
    <n v="0"/>
    <d v="2026-06-04T00:00:00"/>
    <d v="2029-05-14T00:00:00"/>
    <n v="1418"/>
    <d v="2025-10-03T00:00:00"/>
    <m/>
    <m/>
    <m/>
    <m/>
    <m/>
    <m/>
    <m/>
    <m/>
    <m/>
    <m/>
    <m/>
    <m/>
    <m/>
    <d v="2025-11-01T00:00:00"/>
    <m/>
    <m/>
    <m/>
    <m/>
    <m/>
    <m/>
  </r>
  <r>
    <n v="351"/>
    <m/>
    <s v="2025-26"/>
    <x v="15"/>
    <n v="1"/>
    <s v="Empanelment of service_x000a_Providing from consultants for Tender Uploading, Tender opening, and Prepare_x000a_Tender approval proposal under R&amp;B (Panchayat) Division, Bhavnagar"/>
    <m/>
    <s v="Bhavnagar"/>
    <s v="Bhavnagar"/>
    <m/>
    <m/>
    <m/>
    <m/>
    <m/>
    <m/>
    <m/>
    <d v="1900-04-29T00:00:00"/>
    <m/>
    <m/>
    <m/>
    <m/>
    <s v="Equals"/>
    <s v="Zero Rupees Only"/>
    <s v="Division"/>
    <m/>
    <n v="0"/>
    <m/>
    <n v="0"/>
    <n v="0"/>
    <n v="0"/>
    <m/>
    <m/>
    <m/>
    <m/>
    <m/>
    <m/>
    <n v="0"/>
    <d v="1901-03-25T00:00:00"/>
    <n v="0"/>
    <n v="0"/>
    <d v="1900-02-03T00:00:00"/>
    <d v="1901-01-24T00:00:00"/>
    <m/>
    <m/>
    <m/>
    <m/>
    <m/>
    <m/>
    <m/>
    <m/>
    <m/>
    <m/>
    <m/>
    <m/>
    <m/>
    <m/>
    <m/>
    <m/>
    <m/>
    <m/>
    <m/>
    <m/>
    <m/>
    <m/>
  </r>
  <r>
    <n v="352"/>
    <m/>
    <s v="2025-26"/>
    <x v="16"/>
    <n v="1"/>
    <s v="Construction of Taluka panchayat office Building At : Mahuva, Dist : Bhavnagar"/>
    <m/>
    <s v="Mahuva"/>
    <s v="Mahuva"/>
    <m/>
    <m/>
    <n v="221189"/>
    <n v="2"/>
    <d v="2025-09-03T00:00:00"/>
    <d v="2025-09-15T00:00:00"/>
    <d v="2025-09-16T00:00:00"/>
    <d v="2026-01-13T00:00:00"/>
    <n v="32612005.170000002"/>
    <m/>
    <n v="26901643.059999999"/>
    <n v="-17.510000000000002"/>
    <s v="Below"/>
    <s v="Two Crore Sixty Nine Lakh One Thousand Six Hundred Forty Three Rupees and Six Paise Only"/>
    <s v="Government"/>
    <m/>
    <n v="26901643.059999999"/>
    <s v="ANSH INFRASTRUCTURE"/>
    <n v="0"/>
    <s v="309, 3rd Floor, Asopalav Triangle, 40-50 Feet Road Corner, (Punitnagar) Near Khodal Chok, Opp. Satyam Hills, Mavdi- Rajkot - 364004"/>
    <n v="9824351508"/>
    <m/>
    <s v="CDP-3"/>
    <s v="Road and Building Department, Ganghinagar"/>
    <s v="RBD/TRF/e-file/16/2025/6192/Section D1"/>
    <d v="2025-10-08T00:00:00"/>
    <n v="11"/>
    <n v="1346000"/>
    <d v="2030-01-09T00:00:00"/>
    <n v="90000"/>
    <n v="490000"/>
    <d v="2026-12-01T00:00:00"/>
    <d v="2029-11-10T00:00:00"/>
    <n v="1513"/>
    <d v="2025-11-11T00:00:00"/>
    <m/>
    <m/>
    <m/>
    <m/>
    <m/>
    <m/>
    <m/>
    <m/>
    <m/>
    <m/>
    <m/>
    <m/>
    <m/>
    <d v="2025-12-01T00:00:00"/>
    <m/>
    <m/>
    <m/>
    <m/>
    <m/>
    <m/>
  </r>
  <r>
    <n v="353"/>
    <m/>
    <s v="2025-26"/>
    <x v="16"/>
    <n v="2"/>
    <s v="Widening &amp; Strengthening of Sathara to Unchakotda Road (MDR) Km.0/00-17/900_x000a_Ta. Mahuva Dist. Bhavnagar (Under MMGSY Yojna (Normal) Year 2024-25)"/>
    <m/>
    <m/>
    <e v="#N/A"/>
    <m/>
    <m/>
    <n v="221190"/>
    <n v="2"/>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54"/>
    <m/>
    <s v="2025-26"/>
    <x v="16"/>
    <n v="3"/>
    <s v="Construction of Minor Bridge on Tared to Belampar Road (ODR) At. Km.0/200 Ta.Mahuva , Dist.; Bhavnagar. (Under MMGSY-Normal-2025-26) "/>
    <m/>
    <s v="Mahuva"/>
    <s v="Mahuva"/>
    <m/>
    <m/>
    <n v="221192"/>
    <n v="1"/>
    <d v="2025-09-03T00:00:00"/>
    <d v="2025-09-15T00:00:00"/>
    <d v="2025-09-16T00:00:00"/>
    <d v="2026-01-13T00:00:00"/>
    <n v="11756762.73"/>
    <m/>
    <n v="9142058.6999999993"/>
    <n v="-22.24"/>
    <s v="Below"/>
    <s v="Ninety One Lakh Forty Two Thousand Fifty Eight Rupees and Seven Paise Only"/>
    <s v="Circle"/>
    <m/>
    <n v="9142058.6999999993"/>
    <s v="Shri Harikrishna Construction"/>
    <n v="0"/>
    <s v="C-165, Pramukh Chhaya Raw House Society, Puma Simada Road, Puna Gam, Surat"/>
    <n v="0"/>
    <d v="2025-09-24T00:00:00"/>
    <s v="5054 MMGSY NORMAL"/>
    <s v="Superintending Engineer, Panchayat Road and Building Circle-2, Rajkot"/>
    <s v="RPC-2/Tender/Bhavbagar/311"/>
    <d v="2025-10-03T00:00:00"/>
    <n v="6"/>
    <n v="458000"/>
    <d v="2029-08-12T00:00:00"/>
    <n v="43700"/>
    <n v="432000"/>
    <d v="2026-07-04T00:00:00"/>
    <d v="2029-06-13T00:00:00"/>
    <n v="1515"/>
    <d v="2025-11-11T00:00:00"/>
    <m/>
    <m/>
    <m/>
    <m/>
    <m/>
    <m/>
    <m/>
    <m/>
    <m/>
    <m/>
    <m/>
    <m/>
    <m/>
    <d v="2025-12-01T00:00:00"/>
    <m/>
    <m/>
    <m/>
    <m/>
    <m/>
    <m/>
  </r>
  <r>
    <n v="355"/>
    <m/>
    <s v="2025-26"/>
    <x v="16"/>
    <n v="4"/>
    <s v="Construction of Mota Khokhara to Bambhaniya Road (NP) Km.0/000 to 3/750 Ta.Ghogha, Dist.; Bhavnagar"/>
    <m/>
    <s v="Ghogha"/>
    <s v="Bhavnagar"/>
    <m/>
    <m/>
    <n v="221193"/>
    <n v="1"/>
    <d v="2025-09-03T00:00:00"/>
    <d v="2025-09-15T00:00:00"/>
    <d v="2025-09-16T00:00:00"/>
    <d v="2026-01-13T00:00:00"/>
    <n v="35814664.399999999"/>
    <m/>
    <n v="30023433.170000002"/>
    <n v="-16.170000000000002"/>
    <s v="Below"/>
    <s v="Three Crore Twenty Three Thousand Four Hundred Thirty Three Rupees and Seventeen Paise Only"/>
    <s v="Government"/>
    <m/>
    <n v="30023433.170000002"/>
    <s v="BHAVANI CONSTRUCTION COMPANY"/>
    <s v="RANJITBHAI BAHADURBHAI VALA"/>
    <s v="101, SHREEEJI ANAND CORNER, NEAR HDFC BANK, TOWER ROAD, PARA, Dist. BOTAD -364710"/>
    <n v="0"/>
    <d v="2025-09-24T00:00:00"/>
    <s v="5054 MMGSY NORMAL"/>
    <s v="Road and Building Department, Ganghinagar"/>
    <s v="RBD/TRF/e-file/16/2025/6197/Section D1"/>
    <d v="2025-10-08T00:00:00"/>
    <n v="10"/>
    <n v="1502000"/>
    <d v="2029-12-10T00:00:00"/>
    <n v="95300"/>
    <n v="442000"/>
    <d v="2026-11-01T00:00:00"/>
    <d v="2029-10-11T00:00:00"/>
    <n v="1519"/>
    <d v="2025-11-11T00:00:00"/>
    <m/>
    <m/>
    <m/>
    <m/>
    <m/>
    <m/>
    <m/>
    <m/>
    <m/>
    <m/>
    <m/>
    <m/>
    <m/>
    <d v="2025-12-01T00:00:00"/>
    <m/>
    <m/>
    <m/>
    <m/>
    <m/>
    <m/>
  </r>
  <r>
    <n v="356"/>
    <m/>
    <s v="2025-26"/>
    <x v="16"/>
    <n v="5"/>
    <s v="Construction of Bhankhal Road to Pithalpur Road (NP) Km.0/000 to 0/950 Ta.Ghogha , Dist.; Bhavnagar"/>
    <m/>
    <s v="Ghogha"/>
    <s v="Bhavnagar"/>
    <m/>
    <m/>
    <n v="221194"/>
    <n v="1"/>
    <d v="2025-09-03T00:00:00"/>
    <d v="2025-09-15T00:00:00"/>
    <d v="2025-09-16T00:00:00"/>
    <d v="2026-01-13T00:00:00"/>
    <n v="11516943.289999999"/>
    <m/>
    <n v="8274923.75"/>
    <n v="-28.15"/>
    <s v="Below"/>
    <s v="Eighty Two Lakh Seventy Four Thousand Nine Hundred Twenty Three Rupees and Seventy Five Paise Only"/>
    <s v="Circle"/>
    <m/>
    <n v="8274923.75"/>
    <s v="CHAUHAN LALJIBHAI ARJANBHAI"/>
    <n v="0"/>
    <s v="Plot No. 13/C, Sheri No. 9, Gurunagar, Behind Chitra Petrol, Bhavnagar 364003 "/>
    <n v="8980580857"/>
    <d v="2025-09-24T00:00:00"/>
    <s v="5054 MMGSY NORMAL"/>
    <s v="Superintending Engineer, Panchayat Road and Building Circle-2, Rajkot"/>
    <s v="RPC-2/Tender/Bhavbagar/312"/>
    <d v="2025-10-03T00:00:00"/>
    <n v="6"/>
    <n v="414000"/>
    <d v="2029-08-12T00:00:00"/>
    <n v="51100"/>
    <n v="628000"/>
    <d v="2026-07-04T00:00:00"/>
    <d v="2029-06-13T00:00:00"/>
    <n v="1521"/>
    <d v="2025-11-11T00:00:00"/>
    <m/>
    <m/>
    <m/>
    <m/>
    <m/>
    <m/>
    <m/>
    <m/>
    <m/>
    <m/>
    <m/>
    <m/>
    <m/>
    <d v="2025-12-01T00:00:00"/>
    <m/>
    <m/>
    <m/>
    <m/>
    <m/>
    <m/>
  </r>
  <r>
    <n v="357"/>
    <m/>
    <s v="2025-26"/>
    <x v="16"/>
    <n v="6"/>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58"/>
    <m/>
    <s v="2025-26"/>
    <x v="16"/>
    <n v="7"/>
    <s v="Resurfacing of Bila to Ugalvan Road (VR) Km.0/000 to 3/500 Ta.Jesar , Dist.; Bhavnagar"/>
    <m/>
    <s v="Jesar"/>
    <s v="Mahuva"/>
    <m/>
    <m/>
    <n v="221196"/>
    <n v="1"/>
    <d v="2025-09-03T00:00:00"/>
    <d v="2025-09-15T00:00:00"/>
    <d v="2025-09-16T00:00:00"/>
    <d v="2026-01-13T00:00:00"/>
    <n v="26285528.350000001"/>
    <m/>
    <n v="24866109.82"/>
    <n v="-5.4"/>
    <s v="Below"/>
    <s v="Two Crore Forty Eight Lakh Sixty Six Thousand One Hundred Nine Rupees and Eighty Two Paise Only"/>
    <s v="Government"/>
    <m/>
    <n v="24866109.82"/>
    <s v="SHRI SAINATH CONSTRUCTION_x000a_COMPANY"/>
    <n v="0"/>
    <s v="Shop No. 40/41, Madhav Complex, Shastrinagar, Bhavnagar"/>
    <n v="9913252525"/>
    <d v="2025-09-24T00:00:00"/>
    <s v="5054 MMGSY NORMAL"/>
    <s v="Road and Building Department, Ganghinagar"/>
    <s v="RBD/TRF/e-file/16/2025/6193/Section D1"/>
    <d v="2025-10-14T00:00:00"/>
    <n v="8"/>
    <n v="1244000"/>
    <d v="2029-10-11T00:00:00"/>
    <n v="61000"/>
    <n v="0"/>
    <d v="2026-09-02T00:00:00"/>
    <d v="2029-08-12T00:00:00"/>
    <n v="1520"/>
    <d v="2025-11-11T00:00:00"/>
    <m/>
    <m/>
    <m/>
    <m/>
    <m/>
    <m/>
    <m/>
    <m/>
    <m/>
    <m/>
    <m/>
    <m/>
    <m/>
    <d v="2025-12-01T00:00:00"/>
    <m/>
    <m/>
    <m/>
    <m/>
    <m/>
    <m/>
  </r>
  <r>
    <n v="359"/>
    <m/>
    <s v="2025-26"/>
    <x v="16"/>
    <n v="8"/>
    <s v="Resurfacing of Jesar Depla Ranigam Road (MDR) Km.0/000 to 9/750 Ta.Jesar, Dist.; Bhavnagar."/>
    <m/>
    <s v="Jesar"/>
    <s v="Mahuva"/>
    <m/>
    <m/>
    <n v="221660"/>
    <n v="1"/>
    <d v="2025-09-03T00:00:00"/>
    <d v="2025-09-15T00:00:00"/>
    <d v="2025-09-16T00:00:00"/>
    <d v="2026-01-13T00:00:00"/>
    <n v="72589353.980000004"/>
    <m/>
    <n v="65337677.520000003"/>
    <n v="-9.99"/>
    <s v="Below"/>
    <s v="Six Crore Fifty Three Lakh Thirty Seven Thousand Six Hundred Seventy Seven Rupees and Fifty Two Paise Only"/>
    <s v="Government"/>
    <m/>
    <n v="65337677.520000003"/>
    <s v="JAYDEEP CONSTRUCTION CO"/>
    <s v="Not Found"/>
    <s v="Not Found"/>
    <s v="Not Found"/>
    <m/>
    <m/>
    <m/>
    <m/>
    <m/>
    <m/>
    <n v="3267000"/>
    <d v="1903-03-15T00:00:00"/>
    <n v="160100"/>
    <n v="0"/>
    <d v="1900-02-03T00:00:00"/>
    <d v="1903-01-14T00:00:00"/>
    <m/>
    <m/>
    <m/>
    <m/>
    <m/>
    <m/>
    <m/>
    <m/>
    <m/>
    <m/>
    <m/>
    <m/>
    <m/>
    <m/>
    <m/>
    <m/>
    <m/>
    <m/>
    <m/>
    <m/>
    <m/>
    <m/>
  </r>
  <r>
    <n v="360"/>
    <m/>
    <s v="2025-26"/>
    <x v="16"/>
    <n v="9"/>
    <s v="Improvement of Devgana to Kharakadi Road (VRNP) Km.0/000-2/950 Ta.Shihor, Dist.; Bhavnagar"/>
    <m/>
    <s v="Shihor"/>
    <s v="Shihor"/>
    <m/>
    <m/>
    <n v="221197"/>
    <m/>
    <d v="2025-09-03T00:00:00"/>
    <d v="2025-09-15T00:00:00"/>
    <d v="2025-09-16T00:00:00"/>
    <d v="2026-01-13T00:00:00"/>
    <n v="20266356.100000001"/>
    <m/>
    <n v="17019685.850000001"/>
    <n v="-16.02"/>
    <s v="Below"/>
    <s v="One Crore Seventy Lakh Nineteen Thousand Six Hundred Eighty Five Rupees and Eighty Five Paise Only"/>
    <s v="Circle"/>
    <m/>
    <n v="17019685.850000001"/>
    <s v="BHAVANI CONSTRUCTION COMPANY"/>
    <s v="RANJITBHAI BAHADURBHAI VALA"/>
    <s v="101, SHREEEJI ANAND CORNER, NEAR HDFC BANK, TOWER ROAD, PARA, Dist. BOTAD -364710"/>
    <n v="0"/>
    <d v="2025-09-24T00:00:00"/>
    <s v="5054 MMGSY NORMAL"/>
    <s v="Road and Building Department, Ganghinagar"/>
    <s v="RBD/TRF/e-file/16/2025/6190/Section D1"/>
    <d v="2025-10-08T00:00:00"/>
    <n v="8"/>
    <n v="851000"/>
    <d v="2029-10-11T00:00:00"/>
    <n v="53800"/>
    <n v="245000"/>
    <d v="2026-09-02T00:00:00"/>
    <d v="2029-08-12T00:00:00"/>
    <n v="1518"/>
    <d v="2025-11-11T00:00:00"/>
    <m/>
    <m/>
    <m/>
    <m/>
    <m/>
    <m/>
    <m/>
    <m/>
    <m/>
    <m/>
    <m/>
    <m/>
    <m/>
    <d v="2025-12-01T00:00:00"/>
    <m/>
    <m/>
    <m/>
    <m/>
    <m/>
    <m/>
  </r>
  <r>
    <n v="361"/>
    <m/>
    <s v="2025-26"/>
    <x v="16"/>
    <n v="10"/>
    <s v="Improvement of Rupavati- Saringpur- Damrala- Paldi -Samdhiyala Road (MDR) Km.0/000-5/450 Ta.Gariyadhar, Dist.; Bhavnagar"/>
    <m/>
    <s v="Gariyadhar"/>
    <s v="Palitana"/>
    <m/>
    <m/>
    <n v="221199"/>
    <n v="1"/>
    <d v="2025-09-03T00:00:00"/>
    <d v="2025-09-15T00:00:00"/>
    <d v="2025-09-16T00:00:00"/>
    <d v="2026-01-13T00:00:00"/>
    <n v="34494645.359999999"/>
    <m/>
    <n v="32321482.699999999"/>
    <n v="-6.3"/>
    <s v="Below"/>
    <s v="Three Crore Twenty Three Lakh Twenty One Thousand Four Hundred Eighty Two Rupees and Seven Paise Only"/>
    <s v="Government"/>
    <m/>
    <n v="32321482.699999999"/>
    <s v="C M VAGHELA"/>
    <s v="CHATURBHAI MOHANBHAI VAGHELA"/>
    <s v="MOTI PANIYALI, Via. Po. SHETRUNJI, Ta. PALITANA, Dist. BHAVNAGAR-364270"/>
    <n v="9925448120"/>
    <d v="2025-09-24T00:00:00"/>
    <s v="3054 MMGSY NORMAL "/>
    <s v="Road and Building Department, Ganghinagar"/>
    <s v="RBD/TRF/e-file/16/2025/6191/Section D1"/>
    <d v="2025-10-08T00:00:00"/>
    <n v="10"/>
    <n v="1617000"/>
    <d v="2029-12-10T00:00:00"/>
    <n v="79300"/>
    <n v="0"/>
    <d v="2026-11-01T00:00:00"/>
    <d v="2029-10-11T00:00:00"/>
    <n v="1516"/>
    <d v="2025-11-11T00:00:00"/>
    <m/>
    <m/>
    <m/>
    <m/>
    <m/>
    <m/>
    <m/>
    <m/>
    <m/>
    <m/>
    <m/>
    <m/>
    <m/>
    <d v="2025-12-01T00:00:00"/>
    <m/>
    <m/>
    <m/>
    <m/>
    <m/>
    <m/>
  </r>
  <r>
    <n v="362"/>
    <m/>
    <s v="2025-26"/>
    <x v="16"/>
    <n v="11"/>
    <s v="Improvement of Luvarvav to Bhundarakha Road (VR) Km.0/000-3/300 Ta.Palitana, Dist.; Bhavnagar. "/>
    <m/>
    <s v="Palitana"/>
    <s v="Palitana"/>
    <m/>
    <m/>
    <n v="221201"/>
    <n v="1"/>
    <d v="2025-09-03T00:00:00"/>
    <d v="2025-09-15T00:00:00"/>
    <d v="2025-09-16T00:00:00"/>
    <d v="2026-01-13T00:00:00"/>
    <n v="26757447.239999998"/>
    <m/>
    <n v="22409362.059999999"/>
    <n v="-16.25"/>
    <s v="Below"/>
    <s v="Two Crore Twenty Four Lakh Nine Thousand Three Hundred Sixty Two Rupees and Six Paise Only"/>
    <s v="Government"/>
    <m/>
    <n v="22409362.059999999"/>
    <s v="BHAVANI CONSTRUCTION COMPANY"/>
    <s v="RANJITBHAI BAHADURBHAI VALA"/>
    <s v="101, SHREEEJI ANAND CORNER, NEAR HDFC BANK, TOWER ROAD, PARA, Dist. BOTAD -364710"/>
    <n v="0"/>
    <d v="2025-09-24T00:00:00"/>
    <s v="3054 MMGSY NORMAL "/>
    <s v="Road and Building Department, Ganghinagar"/>
    <s v="RBD/TRF/e-file/16/2025/6189/Section D1"/>
    <d v="2025-10-08T00:00:00"/>
    <n v="8"/>
    <n v="1121000"/>
    <d v="2029-10-11T00:00:00"/>
    <n v="71400"/>
    <n v="335000"/>
    <d v="2026-09-02T00:00:00"/>
    <d v="2029-08-12T00:00:00"/>
    <n v="1517"/>
    <d v="2025-11-11T00:00:00"/>
    <m/>
    <m/>
    <m/>
    <m/>
    <m/>
    <m/>
    <m/>
    <m/>
    <m/>
    <m/>
    <m/>
    <m/>
    <m/>
    <d v="2025-12-01T00:00:00"/>
    <m/>
    <m/>
    <m/>
    <m/>
    <m/>
    <m/>
  </r>
  <r>
    <n v="363"/>
    <m/>
    <s v="2025-26"/>
    <x v="16"/>
    <n v="12"/>
    <s v="Construction of Box Culvert on Mahuva Katpar Bhavani Road (MR) Ta.Mahuva , Dist.; Bhavnagar."/>
    <m/>
    <s v="Mahuva"/>
    <s v="Mahuva"/>
    <s v="Road"/>
    <m/>
    <n v="221203"/>
    <n v="1"/>
    <d v="2025-09-03T00:00:00"/>
    <d v="2025-09-15T00:00:00"/>
    <d v="2025-09-16T00:00:00"/>
    <d v="2026-01-13T00:00:00"/>
    <n v="4285849.25"/>
    <m/>
    <n v="3191243.35"/>
    <n v="-25.54"/>
    <s v="Below"/>
    <s v="Thirty One Lakh Ninety One Thousand Two Hundred Forty Three Rupees and Thirty Five Paise Only"/>
    <s v="Division"/>
    <m/>
    <n v="3191243.35"/>
    <s v="Shri Harikrishna Construction"/>
    <n v="0"/>
    <s v="C-165, Pramukh Chhaya Raw House Society, Puma Simada Road, Puna Gam, Surat"/>
    <n v="0"/>
    <m/>
    <m/>
    <m/>
    <m/>
    <m/>
    <n v="4"/>
    <n v="160000"/>
    <d v="2027-05-25T00:00:00"/>
    <n v="17700"/>
    <n v="200000"/>
    <d v="2026-04-05T00:00:00"/>
    <d v="2027-03-26T00:00:00"/>
    <n v="1415"/>
    <d v="2025-10-03T00:00:00"/>
    <m/>
    <m/>
    <m/>
    <m/>
    <m/>
    <m/>
    <m/>
    <m/>
    <m/>
    <m/>
    <m/>
    <m/>
    <m/>
    <d v="2025-11-01T00:00:00"/>
    <m/>
    <m/>
    <m/>
    <m/>
    <m/>
    <m/>
  </r>
  <r>
    <n v="364"/>
    <m/>
    <s v="2025-26"/>
    <x v="16"/>
    <n v="13"/>
    <s v="Construction of Gram Panchayat office (Frame structure) at Village Paliyad Taluka: Bhavnagar Dist. Bhavnagar"/>
    <m/>
    <s v="Bhavnagar"/>
    <s v="Bhavnagar"/>
    <s v="Building"/>
    <s v="Gram Panchayat"/>
    <n v="221205"/>
    <n v="3"/>
    <d v="2025-09-03T00:00:00"/>
    <d v="2025-09-15T00:00:00"/>
    <d v="2025-09-16T00:00:00"/>
    <d v="2026-01-13T00:00:00"/>
    <n v="2079935.08"/>
    <m/>
    <n v="2048528.06"/>
    <n v="-1.51"/>
    <s v="Below"/>
    <s v="Twenty Lakh Forty Eight Thousand Five Hundred Twenty Eight Rupees and Six Paise Only"/>
    <s v="Division"/>
    <m/>
    <n v="2048528.06"/>
    <s v="UDAYBHAI R. LUNSAR"/>
    <s v="UDAYBHAI RAMKUBHAI LUNSAR"/>
    <s v="Shop No. 5, First Floor, Nilkanth Arcade, Opp. Arjun Tokiz, Palitana Road, Gariyadhar- 364505"/>
    <n v="9824226646"/>
    <m/>
    <m/>
    <m/>
    <m/>
    <m/>
    <n v="4"/>
    <n v="103000"/>
    <d v="2027-05-25T00:00:00"/>
    <n v="5100"/>
    <n v="0"/>
    <d v="2026-04-05T00:00:00"/>
    <d v="2027-03-26T00:00:00"/>
    <n v="1416"/>
    <d v="2025-10-03T00:00:00"/>
    <m/>
    <m/>
    <m/>
    <m/>
    <m/>
    <m/>
    <m/>
    <m/>
    <m/>
    <m/>
    <m/>
    <m/>
    <m/>
    <d v="2025-11-01T00:00:00"/>
    <m/>
    <m/>
    <m/>
    <m/>
    <m/>
    <m/>
  </r>
  <r>
    <n v="365"/>
    <m/>
    <s v="2025-26"/>
    <x v="16"/>
    <n v="14"/>
    <s v=" Construction of Gram Panchayat office (Frame structure) at Village Navagam (Mo) Taluka: Shihor Dist. Bhavnagar"/>
    <m/>
    <s v="Shihor"/>
    <s v="Shihor"/>
    <s v="Building"/>
    <s v="Gram Panchayat"/>
    <n v="221207"/>
    <n v="3"/>
    <d v="2025-09-03T00:00:00"/>
    <d v="2025-09-15T00:00:00"/>
    <d v="2025-09-16T00:00:00"/>
    <d v="2026-01-13T00:00:00"/>
    <n v="2079935.08"/>
    <m/>
    <n v="1979682.21"/>
    <n v="-4.82"/>
    <s v="Below"/>
    <s v="Nineteen Lakh Seventy Nine Thousand Six Hundred Eighty Two Rupees and Twenty One Paise Only"/>
    <s v="Division"/>
    <m/>
    <n v="1979682.21"/>
    <s v="Sureshbhai R Chavda"/>
    <n v="0"/>
    <s v="Ashapura Garden Restaurant, Near Garibsha pir, Rajkot Road, Sihor, Dist. Bhavnagar"/>
    <n v="0"/>
    <m/>
    <m/>
    <m/>
    <m/>
    <m/>
    <n v="4"/>
    <n v="99000"/>
    <d v="2027-05-25T00:00:00"/>
    <n v="4900"/>
    <n v="0"/>
    <d v="2026-04-05T00:00:00"/>
    <d v="2027-03-26T00:00:00"/>
    <n v="1414"/>
    <d v="2025-10-03T00:00:00"/>
    <m/>
    <m/>
    <m/>
    <m/>
    <m/>
    <m/>
    <m/>
    <m/>
    <m/>
    <m/>
    <m/>
    <m/>
    <m/>
    <d v="2025-11-01T00:00:00"/>
    <m/>
    <m/>
    <m/>
    <m/>
    <m/>
    <m/>
  </r>
  <r>
    <n v="366"/>
    <m/>
    <s v="2025-26"/>
    <x v="16"/>
    <n v="15"/>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67"/>
    <m/>
    <s v="2025-26"/>
    <x v="16"/>
    <n v="16"/>
    <s v="Remaining work Construction of Gram Panchayat office building (Frame structure) At Village Pansada Dist. Bhavnagar_x000a_(Under CDP-2017-18)"/>
    <m/>
    <m/>
    <e v="#N/A"/>
    <m/>
    <m/>
    <n v="221232"/>
    <n v="11"/>
    <d v="2025-09-03T00:00:00"/>
    <d v="2025-09-15T00:00:00"/>
    <d v="2025-09-16T00:00:00"/>
    <d v="2026-01-13T00:00:00"/>
    <n v="907910.21"/>
    <m/>
    <n v="1458103.8"/>
    <n v="60.6"/>
    <s v="Above"/>
    <s v="Fourteen Lakh Fifty Eight Thousand One Hundred Three Rupees and Eight Paise Only"/>
    <s v="Division"/>
    <m/>
    <n v="1458103.8"/>
    <s v="SHREE GANGNATH_x000a_CONSTRUCTION"/>
    <s v="Not Found"/>
    <s v="Not Found"/>
    <s v="Not Found"/>
    <m/>
    <m/>
    <m/>
    <m/>
    <m/>
    <m/>
    <n v="73000"/>
    <d v="1901-03-25T00:00:00"/>
    <n v="3600"/>
    <n v="0"/>
    <d v="1900-02-03T00:00:00"/>
    <d v="1901-01-24T00:00:00"/>
    <m/>
    <m/>
    <m/>
    <m/>
    <m/>
    <m/>
    <m/>
    <m/>
    <m/>
    <m/>
    <m/>
    <m/>
    <m/>
    <m/>
    <m/>
    <m/>
    <m/>
    <m/>
    <m/>
    <m/>
    <m/>
    <m/>
  </r>
  <r>
    <n v="368"/>
    <m/>
    <s v="2025-26"/>
    <x v="16"/>
    <n v="17"/>
    <s v="Construction of School Building at Kalivav Primary School (One Class room) &amp; Koliyak Kanya P.S ( Four Class room) Ta: and Dist.Bhavnagar"/>
    <m/>
    <s v="Bhavnagar"/>
    <s v="Bhavnagar"/>
    <m/>
    <m/>
    <n v="221237"/>
    <m/>
    <d v="2025-09-03T00:00:00"/>
    <d v="2025-09-15T00:00:00"/>
    <d v="2025-09-16T00:00:00"/>
    <d v="2026-01-13T00:00:00"/>
    <n v="4253844.58"/>
    <m/>
    <n v="7971704.7400000002"/>
    <n v="87.4"/>
    <s v="Above"/>
    <s v="Seventy Nine Lakh Seventy One Thousand Seven Hundred Four Rupees and Seventy Four Paise Only"/>
    <s v="Circle"/>
    <m/>
    <n v="7971704.7400000002"/>
    <s v="ANSH INFRASTRUCTURE"/>
    <n v="0"/>
    <s v="309, 3rd Floor, Asopalav Triangle, 40-50 Feet Road Corner, (Punitnagar) Near Khodal Chok, Opp. Satyam Hills, Mavdi- Rajkot - 364004"/>
    <n v="9824351508"/>
    <m/>
    <m/>
    <m/>
    <m/>
    <m/>
    <m/>
    <n v="399000"/>
    <d v="1901-03-25T00:00:00"/>
    <n v="19600"/>
    <n v="0"/>
    <d v="1900-02-03T00:00:00"/>
    <d v="1901-01-24T00:00:00"/>
    <m/>
    <m/>
    <m/>
    <m/>
    <m/>
    <m/>
    <m/>
    <m/>
    <m/>
    <m/>
    <m/>
    <m/>
    <m/>
    <m/>
    <m/>
    <m/>
    <m/>
    <m/>
    <m/>
    <m/>
    <m/>
    <m/>
  </r>
  <r>
    <n v="369"/>
    <m/>
    <s v="2025-26"/>
    <x v="16"/>
    <n v="18"/>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0"/>
    <m/>
    <s v="2025-26"/>
    <x v="16"/>
    <n v="19"/>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1"/>
    <m/>
    <s v="2025-26"/>
    <x v="16"/>
    <n v="20"/>
    <s v="Construction of Nandghar (Anganvadi) Building at Village Mota Malpara Tal. Mahuva Dist. Bhavnagar"/>
    <m/>
    <s v="Mahuva"/>
    <s v="Mahuva"/>
    <s v="Building"/>
    <s v="Anganvadi"/>
    <n v="221249"/>
    <n v="5"/>
    <d v="2025-09-03T00:00:00"/>
    <d v="2025-09-15T00:00:00"/>
    <d v="2025-09-16T00:00:00"/>
    <d v="2026-01-13T00:00:00"/>
    <n v="1024912.96"/>
    <m/>
    <n v="961163.37"/>
    <n v="-6.22"/>
    <s v="Below"/>
    <s v="Nine Lakh Sixty One Thousand One Hundred Sixty Three Rupees and Thirty Seven Paise Only"/>
    <s v="Division"/>
    <m/>
    <n v="961163.37"/>
    <s v="R J BHAMMAR CONSTRUCTION"/>
    <n v="0"/>
    <s v="F-8, 1st Floor, Radhe City Center, Bapa Sitaram Chowk, Talaja, Dist. Bhavnagar_x000a_"/>
    <n v="7984290006"/>
    <m/>
    <m/>
    <m/>
    <m/>
    <m/>
    <n v="3"/>
    <n v="49000"/>
    <d v="2027-04-25T00:00:00"/>
    <n v="2500"/>
    <n v="0"/>
    <d v="2026-03-06T00:00:00"/>
    <d v="2027-02-24T00:00:00"/>
    <n v="1413"/>
    <d v="2025-10-03T00:00:00"/>
    <m/>
    <m/>
    <m/>
    <m/>
    <m/>
    <m/>
    <m/>
    <m/>
    <m/>
    <m/>
    <m/>
    <m/>
    <m/>
    <d v="2025-11-01T00:00:00"/>
    <m/>
    <m/>
    <m/>
    <m/>
    <m/>
    <m/>
  </r>
  <r>
    <n v="372"/>
    <m/>
    <s v="2025-26"/>
    <x v="16"/>
    <n v="21"/>
    <s v="Improvement of Ambla to Piparala Road (NP) Km.0 /000-3/250 Ta.Shihor, Dist.; Bhavnagar."/>
    <m/>
    <s v="Shihor"/>
    <s v="Shihor"/>
    <m/>
    <m/>
    <n v="221654"/>
    <n v="1"/>
    <d v="2025-09-03T00:00:00"/>
    <d v="2025-09-15T00:00:00"/>
    <d v="2025-09-16T00:00:00"/>
    <d v="2026-01-13T00:00:00"/>
    <n v="12537845.210000001"/>
    <m/>
    <n v="10843982.32"/>
    <n v="-13.51"/>
    <s v="Below"/>
    <s v="One Crore Eight Lakh Forty Three Thousand Nine Hundred Eighty Two Rupees and Thirty Two Paise Only"/>
    <s v="Circle"/>
    <m/>
    <n v="10843982.32"/>
    <s v="BHAVANI CONSTRUCTION COMPANY"/>
    <s v="RANJITBHAI BAHADURBHAI VALA"/>
    <s v="101, SHREEEJI ANAND CORNER, NEAR HDFC BANK, TOWER ROAD, PARA, Dist. BOTAD -364710"/>
    <n v="0"/>
    <d v="2025-09-24T00:00:00"/>
    <s v="5054 MMGSY NORMAL NORMAL"/>
    <s v="Superintending Engineer, Panchayat Road and Building Circle-2, Rajkot"/>
    <s v="RPC-2/Tender/Bhavbagar/259"/>
    <d v="2025-09-03T00:00:00"/>
    <n v="6"/>
    <n v="543000"/>
    <d v="2029-08-12T00:00:00"/>
    <n v="31000"/>
    <n v="89000"/>
    <d v="2026-07-04T00:00:00"/>
    <d v="2029-06-13T00:00:00"/>
    <n v="1514"/>
    <d v="2025-11-11T00:00:00"/>
    <m/>
    <m/>
    <m/>
    <m/>
    <m/>
    <m/>
    <m/>
    <m/>
    <m/>
    <m/>
    <m/>
    <m/>
    <m/>
    <d v="2025-12-01T00:00:00"/>
    <m/>
    <m/>
    <m/>
    <m/>
    <m/>
    <m/>
  </r>
  <r>
    <n v="373"/>
    <m/>
    <s v="2025-26"/>
    <x v="16"/>
    <n v="22"/>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4"/>
    <m/>
    <s v="2025-26"/>
    <x v="16"/>
    <n v="23"/>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5"/>
    <m/>
    <s v="2025-26"/>
    <x v="16"/>
    <n v="24"/>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6"/>
    <m/>
    <s v="2025-26"/>
    <x v="16"/>
    <n v="25"/>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7"/>
    <m/>
    <s v="2025-26"/>
    <x v="16"/>
    <n v="26"/>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8"/>
    <m/>
    <s v="2025-26"/>
    <x v="17"/>
    <m/>
    <m/>
    <m/>
    <m/>
    <e v="#N/A"/>
    <m/>
    <m/>
    <m/>
    <m/>
    <m/>
    <m/>
    <m/>
    <d v="1900-04-29T00:00:00"/>
    <m/>
    <m/>
    <m/>
    <m/>
    <s v="Equals"/>
    <s v="Zero Rupees Only"/>
    <s v="Division"/>
    <m/>
    <n v="0"/>
    <m/>
    <n v="0"/>
    <n v="0"/>
    <n v="0"/>
    <m/>
    <m/>
    <m/>
    <m/>
    <m/>
    <m/>
    <n v="0"/>
    <d v="1901-03-25T00:00:00"/>
    <n v="0"/>
    <n v="0"/>
    <d v="1900-02-03T00:00:00"/>
    <d v="1901-01-24T00:00:00"/>
    <m/>
    <m/>
    <m/>
    <m/>
    <m/>
    <m/>
    <m/>
    <m/>
    <m/>
    <m/>
    <m/>
    <m/>
    <m/>
    <m/>
    <m/>
    <m/>
    <m/>
    <m/>
    <m/>
    <m/>
    <m/>
    <m/>
  </r>
  <r>
    <n v="379"/>
    <m/>
    <s v="2025-26"/>
    <x v="17"/>
    <m/>
    <m/>
    <m/>
    <m/>
    <e v="#N/A"/>
    <m/>
    <m/>
    <m/>
    <m/>
    <m/>
    <m/>
    <m/>
    <d v="1900-04-29T00:00:00"/>
    <m/>
    <m/>
    <m/>
    <m/>
    <s v="Equals"/>
    <s v="Zero Rupees Only"/>
    <s v="Division"/>
    <m/>
    <n v="0"/>
    <m/>
    <n v="0"/>
    <n v="0"/>
    <n v="0"/>
    <m/>
    <m/>
    <m/>
    <m/>
    <m/>
    <m/>
    <n v="0"/>
    <d v="1901-03-25T00:00:00"/>
    <n v="0"/>
    <n v="0"/>
    <d v="1900-02-03T00:00:00"/>
    <d v="1901-01-24T00:00:00"/>
    <m/>
    <m/>
    <m/>
    <m/>
    <m/>
    <m/>
    <m/>
    <m/>
    <m/>
    <m/>
    <m/>
    <m/>
    <m/>
    <m/>
    <m/>
    <m/>
    <m/>
    <m/>
    <m/>
    <m/>
    <m/>
    <m/>
  </r>
  <r>
    <n v="380"/>
    <m/>
    <s v="2025-26"/>
    <x v="17"/>
    <m/>
    <m/>
    <m/>
    <m/>
    <e v="#N/A"/>
    <m/>
    <m/>
    <m/>
    <m/>
    <m/>
    <m/>
    <m/>
    <d v="1900-04-29T00:00:00"/>
    <m/>
    <m/>
    <m/>
    <m/>
    <s v="Equals"/>
    <s v="Zero Rupees Only"/>
    <s v="Division"/>
    <m/>
    <n v="0"/>
    <m/>
    <n v="0"/>
    <n v="0"/>
    <n v="0"/>
    <m/>
    <m/>
    <m/>
    <m/>
    <m/>
    <m/>
    <n v="0"/>
    <d v="1901-03-25T00:00:00"/>
    <n v="0"/>
    <n v="0"/>
    <d v="1900-02-03T00:00:00"/>
    <d v="1901-01-24T00:00:00"/>
    <m/>
    <m/>
    <m/>
    <m/>
    <m/>
    <m/>
    <m/>
    <m/>
    <m/>
    <m/>
    <m/>
    <m/>
    <m/>
    <m/>
    <m/>
    <m/>
    <m/>
    <m/>
    <m/>
    <m/>
    <m/>
    <m/>
  </r>
  <r>
    <n v="381"/>
    <m/>
    <s v="2025-26"/>
    <x v="17"/>
    <m/>
    <m/>
    <m/>
    <m/>
    <e v="#N/A"/>
    <m/>
    <m/>
    <m/>
    <m/>
    <m/>
    <m/>
    <m/>
    <d v="1900-04-29T00:00:00"/>
    <m/>
    <m/>
    <m/>
    <m/>
    <s v="Equals"/>
    <s v="Zero Rupees Only"/>
    <s v="Division"/>
    <m/>
    <n v="0"/>
    <m/>
    <n v="0"/>
    <n v="0"/>
    <n v="0"/>
    <m/>
    <m/>
    <m/>
    <m/>
    <m/>
    <m/>
    <n v="0"/>
    <d v="1901-03-25T00:00:00"/>
    <n v="0"/>
    <n v="0"/>
    <d v="1900-02-03T00:00:00"/>
    <d v="1901-01-24T00:00:00"/>
    <m/>
    <m/>
    <m/>
    <m/>
    <m/>
    <m/>
    <m/>
    <m/>
    <m/>
    <m/>
    <m/>
    <m/>
    <m/>
    <m/>
    <m/>
    <m/>
    <m/>
    <m/>
    <m/>
    <m/>
    <m/>
    <m/>
  </r>
  <r>
    <n v="382"/>
    <m/>
    <s v="2025-26"/>
    <x v="17"/>
    <m/>
    <m/>
    <m/>
    <m/>
    <e v="#N/A"/>
    <m/>
    <m/>
    <m/>
    <m/>
    <m/>
    <m/>
    <m/>
    <d v="1900-04-29T00:00:00"/>
    <m/>
    <m/>
    <m/>
    <m/>
    <s v="Equals"/>
    <s v="Zero Rupees Only"/>
    <s v="Division"/>
    <m/>
    <n v="0"/>
    <m/>
    <n v="0"/>
    <n v="0"/>
    <n v="0"/>
    <m/>
    <m/>
    <m/>
    <m/>
    <m/>
    <m/>
    <n v="0"/>
    <d v="1901-03-25T00:00:00"/>
    <n v="0"/>
    <n v="0"/>
    <d v="1900-02-03T00:00:00"/>
    <d v="1901-01-24T00:00:00"/>
    <m/>
    <m/>
    <m/>
    <m/>
    <m/>
    <m/>
    <m/>
    <m/>
    <m/>
    <m/>
    <m/>
    <m/>
    <m/>
    <m/>
    <m/>
    <m/>
    <m/>
    <m/>
    <m/>
    <m/>
    <m/>
    <m/>
  </r>
  <r>
    <n v="383"/>
    <m/>
    <s v="2025-26"/>
    <x v="17"/>
    <m/>
    <m/>
    <m/>
    <m/>
    <e v="#N/A"/>
    <m/>
    <m/>
    <m/>
    <m/>
    <m/>
    <m/>
    <m/>
    <d v="1900-04-29T00:00:00"/>
    <m/>
    <m/>
    <m/>
    <m/>
    <s v="Equals"/>
    <s v="Zero Rupees Only"/>
    <s v="Division"/>
    <m/>
    <n v="0"/>
    <m/>
    <n v="0"/>
    <n v="0"/>
    <n v="0"/>
    <m/>
    <m/>
    <m/>
    <m/>
    <m/>
    <m/>
    <n v="0"/>
    <d v="1901-03-25T00:00:00"/>
    <n v="0"/>
    <n v="0"/>
    <d v="1900-02-03T00:00:00"/>
    <d v="1901-01-24T00:00:00"/>
    <m/>
    <m/>
    <m/>
    <m/>
    <m/>
    <m/>
    <m/>
    <m/>
    <m/>
    <m/>
    <m/>
    <m/>
    <m/>
    <m/>
    <m/>
    <m/>
    <m/>
    <m/>
    <m/>
    <m/>
    <m/>
    <m/>
  </r>
  <r>
    <n v="384"/>
    <m/>
    <s v="2025-26"/>
    <x v="17"/>
    <m/>
    <m/>
    <m/>
    <m/>
    <e v="#N/A"/>
    <m/>
    <m/>
    <m/>
    <m/>
    <m/>
    <m/>
    <m/>
    <d v="1900-04-29T00:00:00"/>
    <m/>
    <m/>
    <m/>
    <m/>
    <s v="Equals"/>
    <s v="Zero Rupees Only"/>
    <s v="Division"/>
    <m/>
    <n v="0"/>
    <m/>
    <n v="0"/>
    <n v="0"/>
    <n v="0"/>
    <m/>
    <m/>
    <m/>
    <m/>
    <m/>
    <m/>
    <n v="0"/>
    <d v="1901-03-25T00:00:00"/>
    <n v="0"/>
    <n v="0"/>
    <d v="1900-02-03T00:00:00"/>
    <d v="1901-01-24T00:00:00"/>
    <m/>
    <m/>
    <m/>
    <m/>
    <m/>
    <m/>
    <m/>
    <m/>
    <m/>
    <m/>
    <m/>
    <m/>
    <m/>
    <m/>
    <m/>
    <m/>
    <m/>
    <m/>
    <m/>
    <m/>
    <m/>
    <m/>
  </r>
  <r>
    <n v="385"/>
    <m/>
    <s v="2025-26"/>
    <x v="17"/>
    <m/>
    <m/>
    <m/>
    <m/>
    <e v="#N/A"/>
    <m/>
    <m/>
    <m/>
    <m/>
    <m/>
    <m/>
    <m/>
    <d v="1900-04-29T00:00:00"/>
    <m/>
    <m/>
    <m/>
    <m/>
    <s v="Equals"/>
    <s v="Zero Rupees Only"/>
    <s v="Division"/>
    <m/>
    <n v="0"/>
    <m/>
    <n v="0"/>
    <n v="0"/>
    <n v="0"/>
    <m/>
    <m/>
    <m/>
    <m/>
    <m/>
    <m/>
    <n v="0"/>
    <d v="1901-03-25T00:00:00"/>
    <n v="0"/>
    <n v="0"/>
    <d v="1900-02-03T00:00:00"/>
    <d v="1901-01-24T00:00:00"/>
    <m/>
    <m/>
    <m/>
    <m/>
    <m/>
    <m/>
    <m/>
    <m/>
    <m/>
    <m/>
    <m/>
    <m/>
    <m/>
    <m/>
    <m/>
    <m/>
    <m/>
    <m/>
    <m/>
    <m/>
    <m/>
    <m/>
  </r>
  <r>
    <n v="386"/>
    <m/>
    <s v="2025-26"/>
    <x v="17"/>
    <m/>
    <m/>
    <m/>
    <m/>
    <e v="#N/A"/>
    <m/>
    <m/>
    <m/>
    <m/>
    <m/>
    <m/>
    <m/>
    <d v="1900-04-29T00:00:00"/>
    <m/>
    <m/>
    <m/>
    <m/>
    <s v="Equals"/>
    <s v="Zero Rupees Only"/>
    <s v="Division"/>
    <m/>
    <n v="0"/>
    <m/>
    <n v="0"/>
    <n v="0"/>
    <n v="0"/>
    <m/>
    <m/>
    <m/>
    <m/>
    <m/>
    <m/>
    <n v="0"/>
    <d v="1901-03-25T00:00:00"/>
    <n v="0"/>
    <n v="0"/>
    <d v="1900-02-03T00:00:00"/>
    <d v="1901-01-24T00:00:00"/>
    <m/>
    <m/>
    <m/>
    <m/>
    <m/>
    <m/>
    <m/>
    <m/>
    <m/>
    <m/>
    <m/>
    <m/>
    <m/>
    <m/>
    <m/>
    <m/>
    <m/>
    <m/>
    <m/>
    <m/>
    <m/>
    <m/>
  </r>
  <r>
    <n v="387"/>
    <m/>
    <s v="2025-26"/>
    <x v="17"/>
    <m/>
    <m/>
    <m/>
    <m/>
    <e v="#N/A"/>
    <m/>
    <m/>
    <m/>
    <m/>
    <m/>
    <m/>
    <m/>
    <d v="1900-04-29T00:00:00"/>
    <m/>
    <m/>
    <m/>
    <m/>
    <s v="Equals"/>
    <s v="Zero Rupees Only"/>
    <s v="Division"/>
    <m/>
    <n v="0"/>
    <m/>
    <n v="0"/>
    <n v="0"/>
    <n v="0"/>
    <m/>
    <m/>
    <m/>
    <m/>
    <m/>
    <m/>
    <n v="0"/>
    <d v="1901-03-25T00:00:00"/>
    <n v="0"/>
    <n v="0"/>
    <d v="1900-02-03T00:00:00"/>
    <d v="1901-01-24T00:00:00"/>
    <m/>
    <m/>
    <m/>
    <m/>
    <m/>
    <m/>
    <m/>
    <m/>
    <m/>
    <m/>
    <m/>
    <m/>
    <m/>
    <m/>
    <m/>
    <m/>
    <m/>
    <m/>
    <m/>
    <m/>
    <m/>
    <m/>
  </r>
  <r>
    <n v="388"/>
    <m/>
    <s v="2025-26"/>
    <x v="17"/>
    <m/>
    <m/>
    <m/>
    <m/>
    <e v="#N/A"/>
    <m/>
    <m/>
    <m/>
    <m/>
    <m/>
    <m/>
    <m/>
    <d v="1900-04-29T00:00:00"/>
    <m/>
    <m/>
    <m/>
    <m/>
    <s v="Equals"/>
    <s v="Zero Rupees Only"/>
    <s v="Division"/>
    <m/>
    <n v="0"/>
    <m/>
    <n v="0"/>
    <n v="0"/>
    <n v="0"/>
    <m/>
    <m/>
    <m/>
    <m/>
    <m/>
    <m/>
    <n v="0"/>
    <d v="1901-03-25T00:00:00"/>
    <n v="0"/>
    <n v="0"/>
    <d v="1900-02-03T00:00:00"/>
    <d v="1901-01-24T00:00:00"/>
    <m/>
    <m/>
    <m/>
    <m/>
    <m/>
    <m/>
    <m/>
    <m/>
    <m/>
    <m/>
    <m/>
    <m/>
    <m/>
    <m/>
    <m/>
    <m/>
    <m/>
    <m/>
    <m/>
    <m/>
    <m/>
    <m/>
  </r>
  <r>
    <n v="389"/>
    <m/>
    <s v="2025-26"/>
    <x v="17"/>
    <m/>
    <m/>
    <m/>
    <m/>
    <e v="#N/A"/>
    <m/>
    <m/>
    <m/>
    <m/>
    <m/>
    <m/>
    <m/>
    <d v="1900-04-29T00:00:00"/>
    <m/>
    <m/>
    <m/>
    <m/>
    <s v="Equals"/>
    <s v="Zero Rupees Only"/>
    <s v="Division"/>
    <m/>
    <n v="0"/>
    <m/>
    <n v="0"/>
    <n v="0"/>
    <n v="0"/>
    <m/>
    <m/>
    <m/>
    <m/>
    <m/>
    <m/>
    <n v="0"/>
    <d v="1901-03-25T00:00:00"/>
    <n v="0"/>
    <n v="0"/>
    <d v="1900-02-03T00:00:00"/>
    <d v="1901-01-24T00:00:00"/>
    <m/>
    <m/>
    <m/>
    <m/>
    <m/>
    <m/>
    <m/>
    <m/>
    <m/>
    <m/>
    <m/>
    <m/>
    <m/>
    <m/>
    <m/>
    <m/>
    <m/>
    <m/>
    <m/>
    <m/>
    <m/>
    <m/>
  </r>
  <r>
    <n v="390"/>
    <m/>
    <s v="2025-26"/>
    <x v="17"/>
    <m/>
    <m/>
    <m/>
    <m/>
    <e v="#N/A"/>
    <m/>
    <m/>
    <m/>
    <m/>
    <m/>
    <m/>
    <m/>
    <d v="1900-04-29T00:00:00"/>
    <m/>
    <m/>
    <m/>
    <m/>
    <s v="Equals"/>
    <s v="Zero Rupees Only"/>
    <s v="Division"/>
    <m/>
    <n v="0"/>
    <m/>
    <n v="0"/>
    <n v="0"/>
    <n v="0"/>
    <m/>
    <m/>
    <m/>
    <m/>
    <m/>
    <m/>
    <n v="0"/>
    <d v="1901-03-25T00:00:00"/>
    <n v="0"/>
    <n v="0"/>
    <d v="1900-02-03T00:00:00"/>
    <d v="1901-01-24T00:00:00"/>
    <m/>
    <m/>
    <m/>
    <m/>
    <m/>
    <m/>
    <m/>
    <m/>
    <m/>
    <m/>
    <m/>
    <m/>
    <m/>
    <m/>
    <m/>
    <m/>
    <m/>
    <m/>
    <m/>
    <m/>
    <m/>
    <m/>
  </r>
  <r>
    <n v="391"/>
    <m/>
    <s v="2025-26"/>
    <x v="17"/>
    <m/>
    <m/>
    <m/>
    <m/>
    <e v="#N/A"/>
    <m/>
    <m/>
    <m/>
    <m/>
    <m/>
    <m/>
    <m/>
    <d v="1900-04-29T00:00:00"/>
    <m/>
    <m/>
    <m/>
    <m/>
    <s v="Equals"/>
    <s v="Zero Rupees Only"/>
    <s v="Division"/>
    <m/>
    <n v="0"/>
    <m/>
    <n v="0"/>
    <n v="0"/>
    <n v="0"/>
    <m/>
    <m/>
    <m/>
    <m/>
    <m/>
    <m/>
    <n v="0"/>
    <d v="1901-03-25T00:00:00"/>
    <n v="0"/>
    <n v="0"/>
    <d v="1900-02-03T00:00:00"/>
    <d v="1901-01-24T00:00:00"/>
    <m/>
    <m/>
    <m/>
    <m/>
    <m/>
    <m/>
    <m/>
    <m/>
    <m/>
    <m/>
    <m/>
    <m/>
    <m/>
    <m/>
    <m/>
    <m/>
    <m/>
    <m/>
    <m/>
    <m/>
    <m/>
    <m/>
  </r>
  <r>
    <n v="392"/>
    <m/>
    <s v="2025-26"/>
    <x v="17"/>
    <m/>
    <m/>
    <m/>
    <m/>
    <e v="#N/A"/>
    <m/>
    <m/>
    <m/>
    <m/>
    <m/>
    <m/>
    <m/>
    <d v="1900-04-29T00:00:00"/>
    <m/>
    <m/>
    <m/>
    <m/>
    <s v="Equals"/>
    <s v="Zero Rupees Only"/>
    <s v="Division"/>
    <m/>
    <n v="0"/>
    <m/>
    <n v="0"/>
    <n v="0"/>
    <n v="0"/>
    <m/>
    <m/>
    <m/>
    <m/>
    <m/>
    <m/>
    <n v="0"/>
    <d v="1901-03-25T00:00:00"/>
    <n v="0"/>
    <n v="0"/>
    <d v="1900-02-03T00:00:00"/>
    <d v="1901-01-24T00:00:00"/>
    <m/>
    <m/>
    <m/>
    <m/>
    <m/>
    <m/>
    <m/>
    <m/>
    <m/>
    <m/>
    <m/>
    <m/>
    <m/>
    <m/>
    <m/>
    <m/>
    <m/>
    <m/>
    <m/>
    <m/>
    <m/>
    <m/>
  </r>
  <r>
    <m/>
    <m/>
    <m/>
    <x v="17"/>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3">
  <r>
    <n v="1"/>
    <s v=" "/>
    <s v="2025-26"/>
    <n v="1"/>
    <n v="1"/>
    <s v="Construction of Pati Chogath Road Km 0/0 to 2/100, Ta. Vallabhipur Dist. Bhavnagar"/>
    <m/>
    <s v="Vallabhipur"/>
    <s v="Vallabhipur"/>
    <s v="Road"/>
    <m/>
    <n v="172043"/>
    <n v="1"/>
    <d v="2025-04-03T00:00:00"/>
    <d v="2025-04-15T00:00:00"/>
    <d v="2025-04-16T00:00:00"/>
    <d v="2025-08-13T00:00:00"/>
    <n v="97007994.859999999"/>
    <m/>
    <n v="81486715.680000007"/>
    <n v="-16"/>
    <s v="Below"/>
    <s v="Eight Crore Fourteen Lakh Eighty Six Thousand Seven Hundred Fifteen Rupees and Sixty Eight Paise Only"/>
    <s v="Government"/>
    <m/>
    <n v="81486715.680000007"/>
    <x v="0"/>
    <s v="BHADRESHSINH BHAGWATSING GOHIL"/>
    <s v="A/8, AKSHARDEEP COMPLEX, OPP. DEEPAK MEMORIAL HALL, SANSKAR MANDAL, BHAVNAGAR-364002"/>
    <n v="9925209999"/>
    <d v="2025-06-13T00:00:00"/>
    <s v="BUJ 2024-25"/>
    <s v="Road and Building Department, Ganghinagar"/>
    <s v="RBD/TRF/e-file/16/2025/3843/Section D1"/>
    <d v="2025-07-02T00:00:00"/>
    <n v="12"/>
    <n v="4075000"/>
    <d v="2029-12-23T00:00:00"/>
    <n v="256800"/>
    <n v="1165000"/>
    <d v="2026-11-14T00:00:00"/>
    <d v="2029-10-24T00:00:00"/>
    <n v="1027"/>
    <d v="2025-07-25T00:00:00"/>
    <m/>
    <m/>
    <m/>
    <m/>
    <m/>
    <m/>
    <m/>
    <m/>
    <m/>
    <m/>
    <m/>
    <m/>
    <m/>
    <d v="2025-10-15T00:00:00"/>
    <m/>
    <m/>
    <m/>
    <m/>
    <m/>
    <m/>
    <m/>
    <m/>
    <m/>
  </r>
  <r>
    <n v="2"/>
    <m/>
    <s v="2025-26"/>
    <n v="1"/>
    <n v="2"/>
    <s v="Widening and Strengthening of Sathara to uncha Kotada road Km 0/0 to 17/900 Ta. Mahuva Dist. Bhavnagar"/>
    <m/>
    <s v="Mahuva"/>
    <s v="Mahuva"/>
    <s v="Road"/>
    <m/>
    <n v="172425"/>
    <n v="1"/>
    <d v="2025-04-03T00:00:00"/>
    <d v="2025-04-15T00:00:00"/>
    <d v="2025-04-16T00:00:00"/>
    <d v="2025-08-13T00:00:00"/>
    <n v="227072204.88999999"/>
    <s v="Yes"/>
    <n v="198665472.06"/>
    <n v="-12.51"/>
    <s v="Below"/>
    <s v="Nineteen Crore Eighty Six Lakh Sixty Five Thousand Four Hundred Seventy Two Rupees and Six Paise Only"/>
    <s v="Government"/>
    <m/>
    <n v="198665472.06"/>
    <x v="1"/>
    <s v="VANRAJSINH BOGHUBHA SARVAIYA"/>
    <s v="314, Third Floor, Surabhi Mall, Waghawadi Road, BHAVNAGAR-364001"/>
    <n v="9427511001"/>
    <d v="2025-06-09T00:00:00"/>
    <s v="5054 MMGSY NORMAL 2024-25"/>
    <m/>
    <m/>
    <s v="Rejected"/>
    <m/>
    <n v="9934000"/>
    <d v="1903-03-15T00:00:00"/>
    <n v="542700"/>
    <n v="1140000"/>
    <d v="1900-02-03T00:00:00"/>
    <d v="1903-01-14T00:00:00"/>
    <m/>
    <m/>
    <m/>
    <m/>
    <m/>
    <m/>
    <m/>
    <m/>
    <m/>
    <m/>
    <m/>
    <m/>
    <m/>
    <m/>
    <m/>
    <m/>
    <m/>
    <m/>
    <m/>
    <m/>
    <m/>
    <m/>
    <m/>
    <m/>
    <m/>
  </r>
  <r>
    <n v="3"/>
    <m/>
    <s v="2025-26"/>
    <n v="1"/>
    <n v="3"/>
    <s v="Resurfacing to Roads of Bhavnagar District Package No. RPC-2/BVN/MMGSY/Normal/2024-25/P.10 Taluka and Dist. Bhavnagar"/>
    <s v="(1) Chamaradi Paliyad Road_x000a_(2) Mithapur Approach Road"/>
    <s v="Bhavnagar"/>
    <s v="Bhavnagar"/>
    <s v="Road"/>
    <m/>
    <n v="171465"/>
    <n v="2"/>
    <d v="2025-04-03T00:00:00"/>
    <d v="2025-04-15T00:00:00"/>
    <d v="2025-04-16T00:00:00"/>
    <d v="2025-08-13T00:00:00"/>
    <n v="24276082.690000001"/>
    <m/>
    <n v="25004365.170000002"/>
    <n v="3"/>
    <s v="Above"/>
    <s v="Two Crore Fifty Lakh Four Thousand Three Hundred Sixty Five Rupees and Seventeen Paise Only"/>
    <s v="Government"/>
    <m/>
    <n v="25004365.170000002"/>
    <x v="0"/>
    <s v="BHADRESHSINH BHAGWATSING GOHIL"/>
    <s v="A/8, AKSHARDEEP COMPLEX, OPP. DEEPAK MEMORIAL HALL, SANSKAR MANDAL, BHAVNAGAR-364002"/>
    <n v="9925209999"/>
    <d v="2025-04-30T00:00:00"/>
    <s v="3054 MMGSY NORMAL 2024-25"/>
    <s v="Road and Building Department, Ganghinagar"/>
    <s v="RBD/TRF/e-file/16/2025/2865/Section D1"/>
    <d v="2025-05-21T00:00:00"/>
    <n v="9"/>
    <n v="1251000"/>
    <d v="2029-09-24T00:00:00"/>
    <n v="61300"/>
    <n v="0"/>
    <d v="2026-08-16T00:00:00"/>
    <d v="2029-07-26T00:00:00"/>
    <n v="771"/>
    <d v="2025-05-27T00:00:00"/>
    <s v="2025-26"/>
    <n v="68"/>
    <d v="2025-08-02T00:00:00"/>
    <s v="BG"/>
    <s v="HDFC Bank"/>
    <s v="101GT02252020003"/>
    <n v="1251000"/>
    <d v="2025-07-21T00:00:00"/>
    <m/>
    <m/>
    <m/>
    <m/>
    <m/>
    <d v="2025-10-15T00:00:00"/>
    <n v="1060"/>
    <d v="2025-08-02T00:00:00"/>
    <m/>
    <m/>
    <m/>
    <m/>
    <m/>
    <m/>
    <m/>
  </r>
  <r>
    <n v="4"/>
    <m/>
    <s v="2025-26"/>
    <n v="1"/>
    <n v="4"/>
    <s v="SR To Paldi Ganeshgadh Road (NP BT) Km.0/000 to 2/550 Ta.Gariyadhar, Dist. Bhavnagar"/>
    <m/>
    <s v="Gariyadhar"/>
    <s v="Palitana"/>
    <s v="Road"/>
    <m/>
    <n v="171505"/>
    <n v="2"/>
    <d v="2025-04-03T00:00:00"/>
    <d v="2025-04-15T00:00:00"/>
    <d v="2025-04-16T00:00:00"/>
    <d v="2025-08-13T00:00:00"/>
    <n v="5689274.8799999999"/>
    <m/>
    <n v="6232600.6299999999"/>
    <n v="9.5500000000000007"/>
    <s v="Above"/>
    <s v="Sixty Two Lakh Thirty Two Thousand Six Hundred Rupees and Sixty Three Paise Only"/>
    <s v="Circle"/>
    <m/>
    <n v="6232600.6299999999"/>
    <x v="2"/>
    <n v="0"/>
    <s v="AT JALALPUR, TA. GADHADA, DIST. BOTAD - 364740"/>
    <n v="8849179437"/>
    <d v="2025-04-30T00:00:00"/>
    <s v="3054 SR 2023-24"/>
    <s v="Superintending Engineer, Panchayat Road and Building Circle-2, Rajkot"/>
    <s v="RPC-2/Tender/Bhav/64"/>
    <d v="2025-05-14T00:00:00"/>
    <n v="4"/>
    <n v="312000"/>
    <d v="2027-01-22T00:00:00"/>
    <n v="15300"/>
    <n v="0"/>
    <d v="2025-12-03T00:00:00"/>
    <d v="2026-11-23T00:00:00"/>
    <n v="891"/>
    <d v="2025-06-24T00:00:00"/>
    <m/>
    <m/>
    <m/>
    <m/>
    <m/>
    <m/>
    <m/>
    <m/>
    <m/>
    <m/>
    <m/>
    <m/>
    <m/>
    <d v="2025-07-01T00:00:00"/>
    <m/>
    <m/>
    <m/>
    <m/>
    <m/>
    <m/>
    <m/>
    <m/>
    <m/>
  </r>
  <r>
    <n v="5"/>
    <m/>
    <s v="2025-26"/>
    <n v="1"/>
    <n v="5"/>
    <s v="Resurfacing to Roads of Bhavnagar District Package No. RPC-2/BVN/MMGSY/Normal/2024-25/P.08 Ta. Talaja , Dist. Bhavnagar"/>
    <s v="(1) Unchadi Vavadi Road_x000a_(2) Bhegali Datrad Road_x000a_(3) Shelavadar Vavadi Road_x000a_(4) Chudi Approach Road_x000a_(5) Datha Rojiya Road"/>
    <s v="Talaja"/>
    <s v="Talaja"/>
    <s v="Road"/>
    <m/>
    <n v="171514"/>
    <n v="1"/>
    <d v="2025-04-03T00:00:00"/>
    <d v="2025-04-15T00:00:00"/>
    <d v="2025-04-16T00:00:00"/>
    <d v="2025-08-13T00:00:00"/>
    <n v="25215998.109999999"/>
    <m/>
    <n v="23198718.260000002"/>
    <n v="-8"/>
    <s v="Below"/>
    <s v="Two Crore Thirty One Lakh Ninety Eight Thousand Seven Hundred Eighteen Rupees and Twenty Six Paise Only"/>
    <s v="Government"/>
    <m/>
    <n v="23198718.260000002"/>
    <x v="0"/>
    <s v="BHADRESHSINH BHAGWATSING GOHIL"/>
    <s v="A/8, AKSHARDEEP COMPLEX, OPP. DEEPAK MEMORIAL HALL, SANSKAR MANDAL, BHAVNAGAR-364002"/>
    <n v="9925209999"/>
    <d v="2025-04-30T00:00:00"/>
    <s v="3054 MMGSY NORMAL 2024-25"/>
    <s v="Road and Building Department, Ganghinagar"/>
    <s v="RBD/TRF/e-file/16/2025/2864/Section D1"/>
    <d v="2025-05-17T00:00:00"/>
    <n v="9"/>
    <n v="1160000"/>
    <d v="2029-09-24T00:00:00"/>
    <n v="56900"/>
    <n v="0"/>
    <d v="2026-08-16T00:00:00"/>
    <d v="2029-07-26T00:00:00"/>
    <n v="370"/>
    <d v="2025-05-27T00:00:00"/>
    <s v="2025-26"/>
    <n v="70"/>
    <d v="2025-08-08T00:00:00"/>
    <s v="BG"/>
    <s v="HDFC Bank"/>
    <s v="101GT02252020013"/>
    <n v="1160000"/>
    <d v="2025-07-21T00:00:00"/>
    <m/>
    <m/>
    <m/>
    <m/>
    <m/>
    <d v="2025-10-15T00:00:00"/>
    <n v="1048"/>
    <d v="2025-08-08T00:00:00"/>
    <m/>
    <m/>
    <m/>
    <m/>
    <m/>
    <m/>
    <m/>
  </r>
  <r>
    <n v="6"/>
    <m/>
    <s v="2025-26"/>
    <n v="1"/>
    <n v="6"/>
    <s v="Improvement of Khodiyar Jaliya Bhadali Rabarika Road Km 0/0 to 8/850 Ta. Shihor, Dist. Bhavnagar"/>
    <m/>
    <s v="Shihor"/>
    <s v="Shihor"/>
    <s v="Road"/>
    <m/>
    <n v="171520"/>
    <n v="1"/>
    <d v="2025-04-03T00:00:00"/>
    <d v="2025-04-15T00:00:00"/>
    <d v="2025-04-16T00:00:00"/>
    <d v="2025-08-13T00:00:00"/>
    <m/>
    <s v="Yes"/>
    <m/>
    <m/>
    <s v="Equals"/>
    <s v="Zero Rupees Only"/>
    <s v="Division"/>
    <m/>
    <n v="0"/>
    <x v="3"/>
    <n v="0"/>
    <n v="0"/>
    <n v="0"/>
    <m/>
    <m/>
    <m/>
    <m/>
    <m/>
    <m/>
    <n v="0"/>
    <d v="1901-03-25T00:00:00"/>
    <n v="0"/>
    <n v="0"/>
    <d v="1900-02-03T00:00:00"/>
    <d v="1901-01-24T00:00:00"/>
    <m/>
    <m/>
    <m/>
    <m/>
    <m/>
    <m/>
    <m/>
    <m/>
    <m/>
    <m/>
    <m/>
    <m/>
    <m/>
    <m/>
    <m/>
    <m/>
    <m/>
    <m/>
    <m/>
    <m/>
    <m/>
    <m/>
    <m/>
    <m/>
    <m/>
  </r>
  <r>
    <n v="7"/>
    <m/>
    <s v="2025-26"/>
    <n v="1"/>
    <n v="7"/>
    <s v="Improvement and Routine Maintenance of Vadiya Ukharla Road (Vadiya Usrad Pipaliya Road) (ODR) Km.0/000 -5/100 Ta. Shihor, Dist. Bhavnagar"/>
    <m/>
    <s v="Shihor"/>
    <s v="Shihor"/>
    <s v="Road"/>
    <m/>
    <n v="171523"/>
    <n v="1"/>
    <d v="2025-04-03T00:00:00"/>
    <d v="2025-04-15T00:00:00"/>
    <d v="2025-04-16T00:00:00"/>
    <d v="2025-08-13T00:00:00"/>
    <n v="22712488.68"/>
    <m/>
    <n v="20668364.699999999"/>
    <n v="-9"/>
    <s v="Below"/>
    <s v="Two Crore Six Lakh Sixty Eight Thousand Three Hundred Sixty Four Rupees and Seven Paise Only"/>
    <s v="Government"/>
    <m/>
    <n v="20668364.699999999"/>
    <x v="0"/>
    <s v="BHADRESHSINH BHAGWATSING GOHIL"/>
    <s v="A/8, AKSHARDEEP COMPLEX, OPP. DEEPAK MEMORIAL HALL, SANSKAR MANDAL, BHAVNAGAR-364002"/>
    <n v="9925209999"/>
    <d v="2025-04-30T00:00:00"/>
    <s v="5054 MMGSY SCSP 2024-25"/>
    <s v="Road and Building Department, Ganghinagar"/>
    <s v="RBD/TRF/e-file/16/2025/2863/Section D1"/>
    <d v="2025-05-21T00:00:00"/>
    <n v="8"/>
    <n v="1034000"/>
    <d v="2029-08-25T00:00:00"/>
    <n v="50700"/>
    <n v="0"/>
    <d v="2026-07-17T00:00:00"/>
    <d v="2029-06-26T00:00:00"/>
    <n v="735"/>
    <d v="2025-05-21T00:00:00"/>
    <s v="2025-26"/>
    <n v="73"/>
    <d v="2025-08-08T00:00:00"/>
    <s v="BG"/>
    <s v="HDFC Bank"/>
    <s v="101GT02252020004"/>
    <n v="1034000"/>
    <d v="2025-07-21T00:00:00"/>
    <m/>
    <m/>
    <m/>
    <m/>
    <m/>
    <d v="2025-10-15T00:00:00"/>
    <n v="1051"/>
    <d v="2025-08-08T00:00:00"/>
    <m/>
    <m/>
    <m/>
    <m/>
    <m/>
    <m/>
    <m/>
  </r>
  <r>
    <n v="8"/>
    <m/>
    <s v="2025-26"/>
    <n v="1"/>
    <n v="8"/>
    <s v="Resurfacing to Roads of Bhavnagar District Package No.RPC-2/BVN/MMGSY/Normal/2024-25/P.01 Ta. Vallabhipur, Dist. Bhavnagar"/>
    <s v="(1) Salapara (Velavadar) Approach Road_x000a_(2) Pati Approach Road_x000a_(3) Lakhanka Approach Road_x000a_(4) Nasitpar Junaratanpar Road"/>
    <s v="Vallabhipur"/>
    <s v="Vallabhipur"/>
    <s v="Road"/>
    <m/>
    <n v="171531"/>
    <n v="1"/>
    <d v="2025-04-03T00:00:00"/>
    <d v="2025-04-15T00:00:00"/>
    <d v="2025-04-16T00:00:00"/>
    <d v="2025-08-13T00:00:00"/>
    <n v="21183260.989999998"/>
    <m/>
    <n v="19700432.719999999"/>
    <n v="-7"/>
    <s v="Below"/>
    <s v="One Crore Ninety Seven Lakh Four Hundred Thirty Two Rupees and Seventy Two Paise Only"/>
    <s v="Circle"/>
    <m/>
    <n v="19700432.719999999"/>
    <x v="0"/>
    <s v="BHADRESHSINH BHAGWATSING GOHIL"/>
    <s v="A/8, AKSHARDEEP COMPLEX, OPP. DEEPAK MEMORIAL HALL, SANSKAR MANDAL, BHAVNAGAR-364002"/>
    <n v="9925209999"/>
    <d v="2025-04-30T00:00:00"/>
    <s v="3054 MMGSY NORMAL 2024-25"/>
    <s v="Road and Building Department, Ganghinagar"/>
    <s v="RBD/TRF/e-file/16/2025/2862/Section D1"/>
    <d v="2025-05-21T00:00:00"/>
    <n v="8"/>
    <n v="986000"/>
    <d v="2029-08-25T00:00:00"/>
    <n v="48400"/>
    <n v="0"/>
    <d v="2026-07-17T00:00:00"/>
    <d v="2029-06-26T00:00:00"/>
    <n v="736"/>
    <d v="2025-05-21T00:00:00"/>
    <s v="2025-26"/>
    <n v="67"/>
    <d v="2025-08-02T00:00:00"/>
    <s v="BG"/>
    <s v="HDFC Bank"/>
    <s v="101GT02252020010"/>
    <n v="986000"/>
    <d v="2025-07-21T00:00:00"/>
    <m/>
    <m/>
    <m/>
    <m/>
    <m/>
    <d v="2025-10-15T00:00:00"/>
    <n v="1059"/>
    <d v="2025-08-02T00:00:00"/>
    <m/>
    <m/>
    <m/>
    <m/>
    <m/>
    <m/>
    <m/>
  </r>
  <r>
    <n v="9"/>
    <m/>
    <s v="2025-26"/>
    <n v="1"/>
    <n v="9"/>
    <s v="Construction to Roads of Bhavnagar District Package No.RPC-2/BVN/MMGSY/Normal/2024-25/P.02 Ta. Mahuva, Dist. Bhavnagar"/>
    <s v="(1) Sodvadari To NH Road (Remaining Length)_x000a_(2) Gujarada Dudheri Road"/>
    <s v="Mahuva"/>
    <s v="Mahuva"/>
    <s v="Road"/>
    <m/>
    <n v="171582"/>
    <n v="1"/>
    <d v="2025-04-03T00:00:00"/>
    <d v="2025-04-15T00:00:00"/>
    <d v="2025-04-16T00:00:00"/>
    <d v="2025-08-13T00:00:00"/>
    <n v="19007984.359999999"/>
    <m/>
    <n v="17487345.609999999"/>
    <n v="-8"/>
    <s v="Below"/>
    <s v="One Crore Seventy Four Lakh Eighty Seven Thousand Three Hundred Forty Five Rupees and Sixty One Paise Only"/>
    <s v="Circle"/>
    <m/>
    <n v="17487345.609999999"/>
    <x v="0"/>
    <s v="BHADRESHSINH BHAGWATSING GOHIL"/>
    <s v="A/8, AKSHARDEEP COMPLEX, OPP. DEEPAK MEMORIAL HALL, SANSKAR MANDAL, BHAVNAGAR-364002"/>
    <n v="9925209999"/>
    <d v="2025-04-30T00:00:00"/>
    <s v="5054 MMGSY NORMAL 2024-25"/>
    <s v="Superintending Engineer, Panchayat Road and Building Circle-2, Rajkot"/>
    <s v="RPC-2/Tender/Bhav/63"/>
    <d v="2025-05-14T00:00:00"/>
    <n v="8"/>
    <n v="875000"/>
    <d v="2029-08-25T00:00:00"/>
    <n v="42900"/>
    <n v="0"/>
    <d v="2026-07-17T00:00:00"/>
    <d v="2029-06-26T00:00:00"/>
    <n v="856"/>
    <d v="2025-06-18T00:00:00"/>
    <s v="2025-26"/>
    <n v="64"/>
    <d v="2025-08-02T00:00:00"/>
    <s v="BG"/>
    <s v="HDFC Bank"/>
    <s v="101GT02252020009"/>
    <n v="875000"/>
    <d v="2025-07-21T00:00:00"/>
    <m/>
    <m/>
    <m/>
    <m/>
    <m/>
    <d v="2025-10-15T00:00:00"/>
    <n v="1056"/>
    <d v="2025-08-02T00:00:00"/>
    <m/>
    <m/>
    <m/>
    <m/>
    <m/>
    <m/>
    <m/>
  </r>
  <r>
    <n v="10"/>
    <m/>
    <s v="2025-26"/>
    <n v="1"/>
    <n v="10"/>
    <s v="Construction to Roads of Bhavnagar District Package No. RPC-2/BVN/MMGSY/Khas Angbhut/2024-25/P.01 Ta. Mahuva , Dist. Bhavnagar"/>
    <s v="(1) Bhadrod to NH Road (Dholivav Side)_x000a_(2) Bhadrod Khatsura Road (Panchmukhi Hanuman)"/>
    <s v="Mahuva"/>
    <s v="Mahuva"/>
    <s v="Road"/>
    <m/>
    <n v="171587"/>
    <n v="1"/>
    <d v="2025-04-03T00:00:00"/>
    <d v="2025-04-15T00:00:00"/>
    <d v="2025-04-16T00:00:00"/>
    <d v="2025-08-13T00:00:00"/>
    <n v="19285670.34"/>
    <m/>
    <n v="22012664.129999999"/>
    <n v="14.14"/>
    <s v="Above"/>
    <s v="Two Crore Twenty Lakh Twelve Thousand Six Hundred Sixty Four Rupees and Thirteen Paise Only"/>
    <s v="Government"/>
    <m/>
    <n v="22012664.129999999"/>
    <x v="4"/>
    <n v="0"/>
    <s v="2/A, New York Corner, Behind Kiran Motors, Opp. Rajpath Club, Bodakdev, Ahmedabad - 380054"/>
    <n v="7777978777"/>
    <d v="2025-04-30T00:00:00"/>
    <s v="5054 MMGSY SCSP 2024-25"/>
    <s v="Road and Building Department, Ganghinagar"/>
    <s v="RBD/TRF/e-file/16/2025/3487/Section D1"/>
    <d v="2025-06-18T00:00:00"/>
    <n v="8"/>
    <n v="1101000"/>
    <d v="2029-08-25T00:00:00"/>
    <n v="54000"/>
    <n v="0"/>
    <d v="2026-07-17T00:00:00"/>
    <d v="2029-06-26T00:00:00"/>
    <n v="881"/>
    <d v="2025-06-21T00:00:00"/>
    <s v="2025-26"/>
    <n v="75"/>
    <d v="2025-08-08T00:00:00"/>
    <s v="BG"/>
    <s v="AU SMALL FINANCE BANK LTD"/>
    <s v="AOAIPBG251900001"/>
    <n v="1101000"/>
    <d v="2025-07-09T00:00:00"/>
    <m/>
    <m/>
    <m/>
    <m/>
    <m/>
    <d v="2025-10-15T00:00:00"/>
    <n v="1053"/>
    <d v="2025-08-08T00:00:00"/>
    <m/>
    <m/>
    <m/>
    <m/>
    <m/>
    <m/>
    <m/>
  </r>
  <r>
    <n v="11"/>
    <m/>
    <s v="2025-26"/>
    <n v="1"/>
    <n v="11"/>
    <s v="Resurfacing of Dundas to Pipalava Road (MDR) Km. 0/000 to 3/200 Ta. Mahuva , Dist. Bhavnagar"/>
    <m/>
    <s v="Mahuva"/>
    <s v="Mahuva"/>
    <s v="Road"/>
    <m/>
    <n v="171609"/>
    <n v="1"/>
    <d v="2025-04-03T00:00:00"/>
    <d v="2025-04-15T00:00:00"/>
    <d v="2025-04-16T00:00:00"/>
    <d v="2025-08-13T00:00:00"/>
    <n v="24637886.640000001"/>
    <m/>
    <n v="27126313.190000001"/>
    <n v="10.1"/>
    <s v="Above"/>
    <s v="Two Crore Seventy One Lakh Twenty Six Thousand Three Hundred Thirteen Rupees and Nineteen Paise Only"/>
    <s v="Government"/>
    <m/>
    <n v="27126313.190000001"/>
    <x v="4"/>
    <n v="0"/>
    <s v="2/A, New York Corner, Behind Kiran Motors, Opp. Rajpath Club, Bodakdev, Ahmedabad - 380054"/>
    <n v="7777978777"/>
    <d v="2025-04-30T00:00:00"/>
    <s v="3054 MMGSY NORMAL 2024-25"/>
    <s v="Road and Building Department, Ganghinagar"/>
    <s v="RBD/TRF/e-file/16/2025/2861/Section D1"/>
    <d v="2025-05-21T00:00:00"/>
    <n v="8"/>
    <n v="1357000"/>
    <d v="2029-08-25T00:00:00"/>
    <n v="66500"/>
    <n v="0"/>
    <d v="2026-07-17T00:00:00"/>
    <d v="2029-06-26T00:00:00"/>
    <n v="737"/>
    <d v="2025-05-21T00:00:00"/>
    <s v="2025-26"/>
    <n v="57"/>
    <d v="2025-07-19T00:00:00"/>
    <s v="BG"/>
    <s v="CANARA BANK"/>
    <s v="01414GPGE2516701"/>
    <n v="1357000"/>
    <d v="2025-06-16T00:00:00"/>
    <m/>
    <m/>
    <m/>
    <m/>
    <m/>
    <d v="2025-10-15T00:00:00"/>
    <n v="993"/>
    <d v="2025-07-19T00:00:00"/>
    <m/>
    <m/>
    <m/>
    <m/>
    <m/>
    <m/>
    <m/>
  </r>
  <r>
    <n v="12"/>
    <m/>
    <s v="2025-26"/>
    <n v="1"/>
    <n v="12"/>
    <s v="Construction of Budhel to Malanka Road (NP) Km.0/000 to 4/250 Taluka And Dist. Bhavnagar"/>
    <m/>
    <s v="Bhavnagar"/>
    <s v="Bhavnagar"/>
    <s v="Road"/>
    <m/>
    <n v="171614"/>
    <n v="1"/>
    <d v="2025-04-03T00:00:00"/>
    <d v="2025-04-15T00:00:00"/>
    <d v="2025-04-16T00:00:00"/>
    <d v="2025-08-13T00:00:00"/>
    <n v="34424113.649999999"/>
    <m/>
    <n v="28513493.34"/>
    <n v="-17.170000000000002"/>
    <s v="Below"/>
    <s v="Two Crore Eighty Five Lakh Thirteen Thousand Four Hundred Ninety Three Rupees and Thirty Four Paise Only"/>
    <s v="Government"/>
    <m/>
    <n v="28513493.34"/>
    <x v="5"/>
    <n v="0"/>
    <s v="Shop No. 131/B, First Floor, Shiva Belssing-2, Opp. BMC Office, Bhavnagar"/>
    <n v="9925888787"/>
    <d v="2025-05-15T00:00:00"/>
    <s v="5054 MMGSY NORMAL 2024-25"/>
    <s v="Road and Building Department, Ganghinagar"/>
    <s v="RBD/TRF/e-file/16/2025/3192/Section D1"/>
    <d v="2025-05-30T00:00:00"/>
    <n v="10"/>
    <n v="1426000"/>
    <d v="2029-10-24T00:00:00"/>
    <n v="94100"/>
    <n v="494000"/>
    <d v="2026-09-15T00:00:00"/>
    <d v="2029-08-25T00:00:00"/>
    <n v="882"/>
    <d v="2025-06-21T00:00:00"/>
    <m/>
    <m/>
    <m/>
    <m/>
    <m/>
    <m/>
    <m/>
    <m/>
    <m/>
    <m/>
    <m/>
    <m/>
    <m/>
    <d v="2025-10-15T00:00:00"/>
    <m/>
    <m/>
    <m/>
    <m/>
    <m/>
    <m/>
    <m/>
    <m/>
    <m/>
  </r>
  <r>
    <n v="13"/>
    <m/>
    <s v="2025-26"/>
    <n v="1"/>
    <n v="13"/>
    <s v="Resurfacing to Roads of Bhavnagar District Package No. RPC-2/BVN/MMGSY/Normal/2024-25/P.03 Ta. Mahuva , Dist. Bhavnagar"/>
    <s v="(1) Monpar Titodiya Bagdana Road_x000a_(2) Katrodi Hipavadali Road_x000a_"/>
    <s v="Mahuva"/>
    <s v="Mahuva"/>
    <s v="Road"/>
    <m/>
    <n v="171617"/>
    <n v="1"/>
    <d v="2025-04-03T00:00:00"/>
    <d v="2025-04-15T00:00:00"/>
    <d v="2025-04-16T00:00:00"/>
    <d v="2025-08-13T00:00:00"/>
    <n v="23364615.09"/>
    <m/>
    <n v="23362278.629999999"/>
    <n v="-0.01"/>
    <s v="Below"/>
    <s v="Two Crore Thirty Three Lakh Sixty Two Thousand Two Hundred Seventy Eight Rupees and Sixty Three Paise Only"/>
    <s v="Government"/>
    <m/>
    <n v="23362278.629999999"/>
    <x v="6"/>
    <s v="CHATURBHAI MOHANBHAI VAGHELA"/>
    <s v="MOTI PANIYALI, Via. Po. SHETRUNJI, Ta. PALITANA, Dist. BHAVNAGAR-364270"/>
    <n v="9925448120"/>
    <d v="2025-04-30T00:00:00"/>
    <s v="3054 MMGSY NORMAL 2024-25"/>
    <s v="Road and Building Department, Ganghinagar"/>
    <s v="RBD/TRF/e-file/16/2025/2848/Section D1"/>
    <d v="2025-05-27T00:00:00"/>
    <n v="8"/>
    <n v="1169000"/>
    <d v="2029-08-25T00:00:00"/>
    <n v="57300"/>
    <n v="0"/>
    <d v="2026-07-17T00:00:00"/>
    <d v="2029-06-26T00:00:00"/>
    <n v="883"/>
    <d v="2025-06-21T00:00:00"/>
    <m/>
    <m/>
    <m/>
    <m/>
    <m/>
    <m/>
    <m/>
    <m/>
    <m/>
    <m/>
    <m/>
    <m/>
    <m/>
    <d v="2025-10-15T00:00:00"/>
    <m/>
    <m/>
    <m/>
    <m/>
    <m/>
    <m/>
    <m/>
    <m/>
    <m/>
  </r>
  <r>
    <n v="14"/>
    <m/>
    <s v="2025-26"/>
    <n v="1"/>
    <n v="14"/>
    <s v="Resurfacing of Konjali Kalela Boradi Road (MDR) Km.0/000 to 8/000 Ta. Mahuva, Dist. Bhavnagar"/>
    <m/>
    <s v="Mahuva"/>
    <s v="Mahuva"/>
    <s v="Road"/>
    <m/>
    <n v="171618"/>
    <n v="1"/>
    <d v="2025-04-03T00:00:00"/>
    <d v="2025-04-15T00:00:00"/>
    <d v="2025-04-16T00:00:00"/>
    <d v="2025-08-13T00:00:00"/>
    <n v="26862658.760000002"/>
    <m/>
    <n v="30142589.390000001"/>
    <n v="12.21"/>
    <s v="Above"/>
    <s v="Three Crore One Lakh Forty Two Thousand Five Hundred Eighty Nine Rupees and Thirty Nine Paise Only"/>
    <s v="Government"/>
    <m/>
    <n v="30142589.390000001"/>
    <x v="4"/>
    <n v="0"/>
    <s v="2/A, New York Corner, Behind Kiran Motors, Opp. Rajpath Club, Bodakdev, Ahmedabad - 380054"/>
    <n v="7777978777"/>
    <d v="2025-04-30T00:00:00"/>
    <s v="3054 MMGSY NORMAL 2024-25"/>
    <s v="Road and Building Department, Ganghinagar"/>
    <s v="RBD/TRF/e-file/16/2025/2859/Section D1"/>
    <d v="2025-05-27T00:00:00"/>
    <n v="6"/>
    <n v="1508000"/>
    <d v="2029-06-26T00:00:00"/>
    <n v="73900"/>
    <n v="0"/>
    <d v="2026-05-18T00:00:00"/>
    <d v="2029-04-27T00:00:00"/>
    <n v="772"/>
    <d v="2025-05-27T00:00:00"/>
    <s v="2025-26"/>
    <n v="58"/>
    <d v="2025-07-19T00:00:00"/>
    <s v="BG"/>
    <s v="CANARA BANK"/>
    <s v="01414GPGE2516702"/>
    <n v="1508000"/>
    <d v="2025-06-16T00:00:00"/>
    <m/>
    <m/>
    <m/>
    <m/>
    <m/>
    <d v="2025-10-15T00:00:00"/>
    <n v="994"/>
    <d v="2025-07-19T00:00:00"/>
    <m/>
    <m/>
    <m/>
    <m/>
    <m/>
    <m/>
    <m/>
  </r>
  <r>
    <n v="15"/>
    <m/>
    <s v="2025-26"/>
    <n v="1"/>
    <n v="15"/>
    <s v="Resurfacing to Roads of Bhavnagar District Package No. RPC-2/BVN/MMGSY/Normal/2024-25/P.09 Taluka and Dist. Bhavnagar"/>
    <s v="(1) Bhojapara Approach Road_x000a_(2) Kardej Shampara Road_x000a_(3) Vartej Kamlej Road"/>
    <s v="Bhavnagar"/>
    <s v="Bhavnagar"/>
    <s v="Road"/>
    <m/>
    <n v="171621"/>
    <n v="1"/>
    <d v="2025-04-03T00:00:00"/>
    <d v="2025-04-15T00:00:00"/>
    <d v="2025-04-16T00:00:00"/>
    <d v="2025-08-13T00:00:00"/>
    <n v="11020839.960000001"/>
    <m/>
    <n v="11020839.960000001"/>
    <n v="0"/>
    <s v="Equals"/>
    <s v="One Crore Ten Lakh Twenty Thousand Eight Hundred Thirty Nine Rupees and Ninety Six Paise Only"/>
    <s v="Circle"/>
    <m/>
    <n v="11020839.960000001"/>
    <x v="0"/>
    <s v="BHADRESHSINH BHAGWATSING GOHIL"/>
    <s v="A/8, AKSHARDEEP COMPLEX, OPP. DEEPAK MEMORIAL HALL, SANSKAR MANDAL, BHAVNAGAR-364002"/>
    <n v="9925209999"/>
    <d v="2025-04-30T00:00:00"/>
    <s v="3054 MMGSY NORMAL 2024-25"/>
    <s v="Superintending Engineer, Panchayat Road and Building Circle-2, Rajkot"/>
    <s v="RPC-2/Tender/Bhav/62"/>
    <d v="2025-05-14T00:00:00"/>
    <n v="8"/>
    <n v="552000"/>
    <d v="2029-08-25T00:00:00"/>
    <n v="27100"/>
    <n v="0"/>
    <d v="2026-07-17T00:00:00"/>
    <d v="2029-06-26T00:00:00"/>
    <n v="857"/>
    <d v="2025-06-18T00:00:00"/>
    <s v="2025-26"/>
    <n v="69"/>
    <d v="2025-08-02T00:00:00"/>
    <s v="BG"/>
    <s v="HDFC Bank"/>
    <s v="101GT02252020014"/>
    <n v="552000"/>
    <d v="2025-07-21T00:00:00"/>
    <m/>
    <m/>
    <m/>
    <m/>
    <m/>
    <d v="2025-10-15T00:00:00"/>
    <n v="1061"/>
    <d v="2025-08-02T00:00:00"/>
    <m/>
    <m/>
    <m/>
    <m/>
    <m/>
    <m/>
    <m/>
  </r>
  <r>
    <n v="16"/>
    <m/>
    <s v="2025-26"/>
    <n v="1"/>
    <n v="16"/>
    <s v="Special Repairs Roads of Bhavnagar District Package No. RPC-2/BVN/Spaecial Repairs/2023-24/P.31 Ta. Palitana, Dist. Bhavnagar"/>
    <s v="(1) Moti Vavadi Sitapur Road_x000a_(2) Medha Approach Road_x000a_"/>
    <s v="Palitana"/>
    <s v="Palitana"/>
    <s v="Road"/>
    <m/>
    <n v="171624"/>
    <n v="1"/>
    <d v="2025-04-03T00:00:00"/>
    <d v="2025-04-15T00:00:00"/>
    <d v="2025-04-16T00:00:00"/>
    <d v="2025-08-13T00:00:00"/>
    <n v="24743989.260000002"/>
    <m/>
    <n v="23259349.899999999"/>
    <n v="-6"/>
    <s v="Below"/>
    <s v="Two Crore Thirty Two Lakh Fifty Nine Thousand Three Hundred Forty Nine Rupees and Nine Paise Only"/>
    <s v="Government"/>
    <m/>
    <n v="23259349.899999999"/>
    <x v="1"/>
    <s v="VANRAJSINH BOGHUBHA SARVAIYA"/>
    <s v="314, Third Floor, Surabhi Mall, Waghawadi Road, BHAVNAGAR-364001"/>
    <n v="9427511001"/>
    <d v="2025-04-30T00:00:00"/>
    <s v="3054 SR 2023-24"/>
    <s v="Road and Building Department, Ganghinagar"/>
    <s v="RBD/TRF/e-file/16/2025/2856/Section D1"/>
    <d v="2025-05-20T00:00:00"/>
    <n v="8"/>
    <n v="1163000"/>
    <d v="2029-05-11T00:00:00"/>
    <n v="57000"/>
    <n v="0"/>
    <d v="2026-04-02T00:00:00"/>
    <d v="2029-03-12T00:00:00"/>
    <n v="892"/>
    <d v="2025-06-24T00:00:00"/>
    <m/>
    <m/>
    <m/>
    <m/>
    <m/>
    <m/>
    <m/>
    <m/>
    <m/>
    <m/>
    <m/>
    <m/>
    <m/>
    <d v="2025-07-01T00:00:00"/>
    <m/>
    <m/>
    <m/>
    <m/>
    <m/>
    <m/>
    <m/>
    <m/>
    <m/>
  </r>
  <r>
    <n v="17"/>
    <m/>
    <s v="2025-26"/>
    <n v="1"/>
    <n v="17"/>
    <s v="Construction Cement Concrete Roads on Talgajarada to NH Road Km 0/0 to 2/100 Ta. Mahuva, Dist. Bhavnagar"/>
    <m/>
    <s v="Mahuva"/>
    <s v="Mahuva"/>
    <s v="Road"/>
    <m/>
    <n v="171483"/>
    <n v="1"/>
    <d v="2025-04-03T00:00:00"/>
    <d v="2025-04-15T00:00:00"/>
    <d v="2025-04-16T00:00:00"/>
    <d v="2025-08-13T00:00:00"/>
    <n v="29379827.5"/>
    <m/>
    <n v="30848818.879999999"/>
    <n v="5"/>
    <s v="Above"/>
    <s v="Three Crore Eight Lakh Forty Eight Thousand Eight Hundred Eighteen Rupees and Eighty Eight Paise Only"/>
    <s v="Government"/>
    <m/>
    <n v="30848818.879999999"/>
    <x v="1"/>
    <s v="VANRAJSINH BOGHUBHA SARVAIYA"/>
    <s v="314, Third Floor, Surabhi Mall, Waghawadi Road, BHAVNAGAR-364001"/>
    <n v="9427511001"/>
    <d v="2025-04-30T00:00:00"/>
    <s v="5054 Suvidhapath 2024-25"/>
    <s v="Road and Building Department, Ganghinagar"/>
    <s v="RBD/TRF/e-file/16/2025/2855/Section D1"/>
    <d v="2025-05-20T00:00:00"/>
    <n v="6"/>
    <n v="1543000"/>
    <d v="2029-06-26T00:00:00"/>
    <n v="75700"/>
    <n v="0"/>
    <d v="2026-05-18T00:00:00"/>
    <d v="2029-04-27T00:00:00"/>
    <n v="734"/>
    <d v="2025-05-21T00:00:00"/>
    <s v="2025-26"/>
    <n v="61"/>
    <d v="2025-07-19T00:00:00"/>
    <s v="BG"/>
    <s v="Punjab National Bank"/>
    <s v="40500ILG002825"/>
    <n v="1543000"/>
    <d v="2025-06-23T00:00:00"/>
    <m/>
    <m/>
    <m/>
    <m/>
    <m/>
    <d v="2025-10-15T00:00:00"/>
    <n v="997"/>
    <d v="2025-07-19T00:00:00"/>
    <m/>
    <m/>
    <m/>
    <m/>
    <m/>
    <m/>
    <m/>
  </r>
  <r>
    <n v="18"/>
    <m/>
    <s v="2025-26"/>
    <n v="1"/>
    <n v="18"/>
    <s v="Constrcu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71618"/>
    <n v="1"/>
    <d v="2025-04-03T00:00:00"/>
    <d v="2025-04-15T00:00:00"/>
    <d v="2025-04-16T00:00:00"/>
    <d v="2025-08-13T00:00:00"/>
    <m/>
    <s v="Yes"/>
    <m/>
    <m/>
    <s v="Equals"/>
    <s v="Zero Rupees Only"/>
    <s v="Division"/>
    <m/>
    <n v="0"/>
    <x v="3"/>
    <n v="0"/>
    <n v="0"/>
    <n v="0"/>
    <m/>
    <m/>
    <m/>
    <m/>
    <m/>
    <m/>
    <n v="0"/>
    <d v="1901-03-25T00:00:00"/>
    <n v="0"/>
    <n v="0"/>
    <d v="1900-02-03T00:00:00"/>
    <d v="1901-01-24T00:00:00"/>
    <m/>
    <m/>
    <m/>
    <m/>
    <m/>
    <m/>
    <m/>
    <m/>
    <m/>
    <m/>
    <m/>
    <m/>
    <m/>
    <m/>
    <m/>
    <m/>
    <m/>
    <m/>
    <m/>
    <m/>
    <m/>
    <m/>
    <m/>
    <m/>
    <m/>
  </r>
  <r>
    <n v="19"/>
    <m/>
    <s v="2025-26"/>
    <n v="1"/>
    <n v="19"/>
    <s v="Construction Cement Concrete Roads of Bhavnagar District Package No. RPC-2/BVN/Suvidhapath/2024-25/P.11 Ta. Umrala, Dist. Bhavnagar"/>
    <s v="(1) Dharuka Bajud Road (At Dharuka Village)_x000a_(2) Umrala Keriya Piparali Road (At Keriya Village)_x000a_(3) Ratanpar Approach Road (At Ratanpar Village)_x000a_(4) Dharuka Chogath Road (At Chogath Village)"/>
    <s v="Umrala"/>
    <s v="Vallabhipur"/>
    <s v="Road"/>
    <m/>
    <n v="171638"/>
    <n v="1"/>
    <d v="2025-04-03T00:00:00"/>
    <d v="2025-04-15T00:00:00"/>
    <d v="2025-04-16T00:00:00"/>
    <d v="2025-08-13T00:00:00"/>
    <n v="12145304.619999999"/>
    <m/>
    <n v="9527991.4700000007"/>
    <n v="-21.55"/>
    <s v="Below"/>
    <s v="Ninety Five Lakh Twenty Seven Thousand Nine Hundred Ninety One Rupees and Forty Seven Paise Only"/>
    <s v="Circle"/>
    <m/>
    <n v="9527991.4700000007"/>
    <x v="7"/>
    <s v=" VINODBHAI MEGHJIBHAI SOJITRA"/>
    <s v="SHOP NO. 7, FIRST FLOOR, AKSHAR RESIDENCY, GIRIRAJ MAIN ROAD,  JUNAGADH - 362001"/>
    <n v="0"/>
    <d v="2025-04-30T00:00:00"/>
    <s v="5054 Suvidhapath 2024-25"/>
    <s v="Superintending Engineer, Panchayat Road and Building Circle-2, Rajkot"/>
    <s v="RPC-2/Tender/Bhav/59"/>
    <d v="2025-05-14T00:00:00"/>
    <n v="8"/>
    <n v="477000"/>
    <d v="2029-08-25T00:00:00"/>
    <n v="44100"/>
    <n v="421000"/>
    <d v="2026-07-17T00:00:00"/>
    <d v="2029-06-26T00:00:00"/>
    <n v="858"/>
    <d v="2025-06-18T00:00:00"/>
    <m/>
    <m/>
    <m/>
    <m/>
    <m/>
    <m/>
    <m/>
    <m/>
    <m/>
    <m/>
    <m/>
    <m/>
    <m/>
    <d v="2025-10-15T00:00:00"/>
    <m/>
    <m/>
    <m/>
    <m/>
    <m/>
    <m/>
    <m/>
    <m/>
    <m/>
  </r>
  <r>
    <n v="20"/>
    <m/>
    <s v="2025-26"/>
    <n v="1"/>
    <n v="20"/>
    <s v="Construction of Cement Concrete Roads of Bhavnagar District Package No. RPC-2/BVN/Suvidhapath/2024-25/P.10 Ta. Umrala, Dist. Bhavnagar"/>
    <s v="(1) Limda Lakhavad Road (At Lakhavad Village)_x000a_(2) Alampar Vadod Road (At Vadod Village) _x000a_(3) Khijadiya Rajpipala Road (At Khijadiya Village) _x000a_(4) Vangadhra Bhojavadar Samadhiyala Road (At Vangadhra Village)"/>
    <s v="Umrala"/>
    <s v="Vallabhipur"/>
    <s v="Road"/>
    <m/>
    <n v="171643"/>
    <n v="1"/>
    <d v="2025-04-03T00:00:00"/>
    <d v="2025-04-15T00:00:00"/>
    <d v="2025-04-16T00:00:00"/>
    <d v="2025-08-13T00:00:00"/>
    <n v="15944827.16"/>
    <m/>
    <n v="12508716.91"/>
    <n v="-21.55"/>
    <s v="Below"/>
    <s v="One Crore Twenty Five Lakh Eight Thousand Seven Hundred Sixteen Rupees and Ninety One Paise Only"/>
    <s v="Circle"/>
    <m/>
    <n v="12508716.91"/>
    <x v="7"/>
    <s v=" VINODBHAI MEGHJIBHAI SOJITRA"/>
    <s v="SHOP NO. 7, FIRST FLOOR, AKSHAR RESIDENCY, GIRIRAJ MAIN ROAD,  JUNAGADH - 362001"/>
    <n v="0"/>
    <d v="2025-04-30T00:00:00"/>
    <s v="5054 Suvidhapath 2024-25"/>
    <s v="Superintending Engineer, Panchayat Road and Building Circle-2, Rajkot"/>
    <s v="RPC-2/Tender/Bhav/58"/>
    <d v="2025-05-14T00:00:00"/>
    <n v="8"/>
    <n v="626000"/>
    <d v="2029-04-11T00:00:00"/>
    <n v="57800"/>
    <n v="553000"/>
    <d v="2026-03-03T00:00:00"/>
    <d v="2029-02-10T00:00:00"/>
    <n v="722"/>
    <d v="2025-05-20T00:00:00"/>
    <m/>
    <m/>
    <m/>
    <m/>
    <m/>
    <m/>
    <m/>
    <m/>
    <m/>
    <m/>
    <m/>
    <m/>
    <m/>
    <d v="2025-06-01T00:00:00"/>
    <m/>
    <m/>
    <m/>
    <m/>
    <m/>
    <m/>
    <m/>
    <m/>
    <m/>
  </r>
  <r>
    <n v="21"/>
    <m/>
    <s v="2025-26"/>
    <n v="1"/>
    <n v="21"/>
    <s v="Construction Cement Concrete Roads of Bhavnagar District Package No. RPC-2/BVN/Suvidhapath/2024-25/P.02 Ta. Palitana, Dist. Bhavnagar"/>
    <s v="(1) Virpur Malapara Road joining to Randola (village Virpur)_x000a_(2) Gheti Nanimal Road (village Gheti)_x000a_"/>
    <s v="Palitana"/>
    <s v="Palitana"/>
    <s v="Road"/>
    <m/>
    <n v="171660"/>
    <n v="1"/>
    <d v="2025-04-03T00:00:00"/>
    <d v="2025-04-15T00:00:00"/>
    <d v="2025-04-16T00:00:00"/>
    <d v="2025-08-13T00:00:00"/>
    <n v="14196862.689999999"/>
    <m/>
    <n v="9655286.3200000003"/>
    <n v="-31.99"/>
    <s v="Below"/>
    <s v="Ninety Six Lakh Fifty Five Thousand Two Hundred Eighty Six Rupees and Thirty Two Paise Only"/>
    <s v="Circle"/>
    <m/>
    <n v="9655286.3200000003"/>
    <x v="1"/>
    <s v="VANRAJSINH BOGHUBHA SARVAIYA"/>
    <s v="314, Third Floor, Surabhi Mall, Waghawadi Road, BHAVNAGAR-364001"/>
    <n v="9427511001"/>
    <d v="2025-04-30T00:00:00"/>
    <s v="5054 Suvidhapath 2024-25"/>
    <s v="Superintending Engineer, Panchayat Road and Building Circle-2, Rajkot"/>
    <s v="RPC-2/Tender/Bhav/60"/>
    <d v="2025-05-14T00:00:00"/>
    <n v="6"/>
    <n v="483000"/>
    <d v="2029-06-26T00:00:00"/>
    <n v="69600"/>
    <n v="937000"/>
    <d v="2026-05-18T00:00:00"/>
    <d v="2029-04-27T00:00:00"/>
    <n v="721"/>
    <d v="2025-05-20T00:00:00"/>
    <s v="2025-26"/>
    <n v="62"/>
    <d v="2025-07-19T00:00:00"/>
    <s v="BG"/>
    <s v="Punjab National Bank"/>
    <s v="40500ILG002925"/>
    <n v="483000"/>
    <d v="2025-06-23T00:00:00"/>
    <s v="BG"/>
    <s v="Punjab National Bank"/>
    <s v="40500ILG002725"/>
    <n v="937000"/>
    <d v="2025-06-23T00:00:00"/>
    <d v="2025-10-15T00:00:00"/>
    <n v="998"/>
    <d v="2025-07-19T00:00:00"/>
    <m/>
    <m/>
    <m/>
    <m/>
    <m/>
    <m/>
    <m/>
  </r>
  <r>
    <n v="22"/>
    <m/>
    <s v="2025-26"/>
    <n v="1"/>
    <n v="22"/>
    <s v="Construction Cement Concrete Roads of Bhavnagar District Package No. RPC-2/BVN/Suvidhapath/2024-25/P.01 Ta. Palitana, Dist. Bhavnagar"/>
    <s v="(1) Surnagar Samadhiyala Road (village Samadhiyala)_x000a_(2) Kumbhan Khakhariya Road (village Kumbhan)_x000a_(3) Jamvali Primary School Approach Road (village Jamvali) _x000a_(4) Bhundarakha-1 to Bhundarakha Road (village Bhundarakha)_x000a_(5) Nanimal Dedarada Road (village Dedarada)_x000a_(6) Anida Mandavada Road (village Anida)_x000a_(7) Lapaliya Approach Road (village Lapaliya)"/>
    <s v="Palitana"/>
    <s v="Palitana"/>
    <s v="Road"/>
    <m/>
    <n v="171664"/>
    <n v="1"/>
    <d v="2025-04-03T00:00:00"/>
    <d v="2025-04-15T00:00:00"/>
    <d v="2025-04-16T00:00:00"/>
    <d v="2025-08-13T00:00:00"/>
    <n v="18881716.440000001"/>
    <m/>
    <n v="12841455.35"/>
    <n v="-31.99"/>
    <s v="Below"/>
    <s v="One Crore Twenty Eight Lakh Forty One Thousand Four Hundred Fifty Five Rupees and Thirty Five Paise Only"/>
    <s v="Circle"/>
    <m/>
    <n v="12841455.35"/>
    <x v="1"/>
    <s v="VANRAJSINH BOGHUBHA SARVAIYA"/>
    <s v="314, Third Floor, Surabhi Mall, Waghawadi Road, BHAVNAGAR-364001"/>
    <n v="9427511001"/>
    <d v="2025-04-30T00:00:00"/>
    <s v="5054 Suvidhapath 2024-25"/>
    <s v="Superintending Engineer, Panchayat Road and Building Circle-2, Rajkot"/>
    <s v="RPC-2/Tender/Bhav/61"/>
    <d v="2025-05-14T00:00:00"/>
    <n v="8"/>
    <n v="643000"/>
    <d v="2029-08-25T00:00:00"/>
    <n v="92600"/>
    <n v="1246000"/>
    <d v="2026-07-17T00:00:00"/>
    <d v="2029-06-26T00:00:00"/>
    <n v="859"/>
    <d v="2025-06-18T00:00:00"/>
    <m/>
    <m/>
    <m/>
    <m/>
    <m/>
    <m/>
    <m/>
    <m/>
    <m/>
    <m/>
    <m/>
    <m/>
    <m/>
    <d v="2025-10-15T00:00:00"/>
    <m/>
    <m/>
    <m/>
    <m/>
    <m/>
    <m/>
    <m/>
    <m/>
    <m/>
  </r>
  <r>
    <n v="23"/>
    <m/>
    <s v="2025-26"/>
    <n v="2"/>
    <n v="1"/>
    <s v="Construction To Roads of Bhavnagar District Package No. RPC-2/BVN/MMGSY/Normal/2024-25/P.03 Ta. Mahuva, Dist. Bhavnagar"/>
    <s v="(1) Mahuva Vaghnagar Road_x000a_(2) Katpar Bandar Vistar Road"/>
    <s v="Mahuva"/>
    <s v="Mahuva"/>
    <s v="Road"/>
    <m/>
    <n v="180644"/>
    <m/>
    <d v="2025-05-01T00:00:00"/>
    <d v="2025-05-12T00:00:00"/>
    <d v="2025-05-13T00:00:00"/>
    <d v="2025-09-09T00:00:00"/>
    <n v="13447081.02"/>
    <m/>
    <n v="13043668.59"/>
    <n v="-3"/>
    <s v="Below"/>
    <s v="One Crore Thirty Lakh Forty Three Thousand Six Hundred Sixty Eight Rupees and Fifty Nine Paise Only"/>
    <s v="Circle"/>
    <m/>
    <n v="13043668.59"/>
    <x v="0"/>
    <s v="BHADRESHSINH BHAGWATSING GOHIL"/>
    <s v="A/8, AKSHARDEEP COMPLEX, OPP. DEEPAK MEMORIAL HALL, SANSKAR MANDAL, BHAVNAGAR-364002"/>
    <n v="9925209999"/>
    <d v="2025-05-27T00:00:00"/>
    <s v="5054 MMGSY NORMAL 2024-25"/>
    <s v="Superintending Engineer, Panchayat Road and Building Circle-2, Rajkot"/>
    <s v="RPC-2/Tender/Bhav/103"/>
    <d v="2025-06-02T00:00:00"/>
    <n v="6"/>
    <n v="653000"/>
    <d v="2029-06-26T00:00:00"/>
    <n v="32000"/>
    <n v="0"/>
    <d v="2026-05-18T00:00:00"/>
    <d v="2029-04-27T00:00:00"/>
    <n v="861"/>
    <d v="2025-06-19T00:00:00"/>
    <s v="2025-26"/>
    <n v="66"/>
    <d v="2025-08-02T00:00:00"/>
    <s v="BG"/>
    <s v="HDFC Bank"/>
    <s v="101GT02252020011"/>
    <n v="653000"/>
    <d v="2025-07-21T00:00:00"/>
    <m/>
    <m/>
    <m/>
    <m/>
    <m/>
    <d v="2025-10-15T00:00:00"/>
    <n v="1058"/>
    <d v="2025-08-02T00:00:00"/>
    <m/>
    <m/>
    <m/>
    <m/>
    <m/>
    <m/>
    <m/>
  </r>
  <r>
    <n v="24"/>
    <m/>
    <s v="2025-26"/>
    <n v="2"/>
    <n v="2"/>
    <s v="Construction To Roads of Bhavnagar District Package No. RPC-2/BVN/MMGSY/Normal/2024-25/P.01 Ta. Gariyadhar, Dist. Bhavnagar"/>
    <s v="(1) Shivendranagar Dedarada Cutting Road_x000a_(2) Bela Vinay Mandir High School Road"/>
    <s v="Gariyadhar"/>
    <s v="Palitana"/>
    <s v="Road"/>
    <m/>
    <n v="180796"/>
    <m/>
    <d v="2025-05-01T00:00:00"/>
    <d v="2025-05-12T00:00:00"/>
    <d v="2025-05-13T00:00:00"/>
    <d v="2025-09-09T00:00:00"/>
    <n v="19431786.449999999"/>
    <m/>
    <n v="16175019.039999999"/>
    <n v="-16.760000000000002"/>
    <s v="Below"/>
    <s v="One Crore Sixty One Lakh Seventy Five Thousand Nineteen Rupees and Four Paise Only"/>
    <s v="Circle"/>
    <m/>
    <n v="16175019.039999999"/>
    <x v="6"/>
    <s v="CHATURBHAI MOHANBHAI VAGHELA"/>
    <s v="MOTI PANIYALI, Via. Po. SHETRUNJI, Ta. PALITANA, Dist. BHAVNAGAR-364270"/>
    <n v="9925448120"/>
    <d v="2025-05-27T00:00:00"/>
    <s v="5054 MMGSY NORMAL 2024-25"/>
    <s v="Superintending Engineer, Panchayat Road and Building Circle-2, Rajkot"/>
    <s v="RPC-2/Tender/Bhav/102"/>
    <d v="2025-06-02T00:00:00"/>
    <n v="10"/>
    <n v="809000"/>
    <d v="2029-10-24T00:00:00"/>
    <n v="52600"/>
    <n v="263000"/>
    <d v="2026-09-15T00:00:00"/>
    <d v="2029-08-25T00:00:00"/>
    <n v="862"/>
    <d v="2025-06-19T00:00:00"/>
    <m/>
    <m/>
    <m/>
    <m/>
    <m/>
    <m/>
    <m/>
    <m/>
    <m/>
    <m/>
    <m/>
    <m/>
    <m/>
    <d v="2025-10-15T00:00:00"/>
    <m/>
    <m/>
    <m/>
    <m/>
    <m/>
    <m/>
    <m/>
    <m/>
    <m/>
  </r>
  <r>
    <n v="25"/>
    <m/>
    <s v="2025-26"/>
    <n v="2"/>
    <n v="3"/>
    <s v="Construction of Pachhegam Approach Road Km 0/0 to 2/400, Ta. Gariyadhar, Dist. Bhavnagar"/>
    <m/>
    <s v="Gariyadhar"/>
    <s v="Palitana"/>
    <s v="Road"/>
    <m/>
    <n v="180803"/>
    <m/>
    <d v="2025-05-01T00:00:00"/>
    <d v="2025-05-12T00:00:00"/>
    <d v="2025-05-13T00:00:00"/>
    <d v="2025-09-09T00:00:00"/>
    <n v="18362127.199999999"/>
    <m/>
    <n v="15220367.24"/>
    <n v="-17.11"/>
    <s v="Below"/>
    <s v="One Crore Fifty Two Lakh Twenty Thousand Three Hundred Sixty Seven Rupees and Twenty Four Paise Only"/>
    <s v="Circle"/>
    <m/>
    <n v="15220367.24"/>
    <x v="6"/>
    <s v="CHATURBHAI MOHANBHAI VAGHELA"/>
    <s v="MOTI PANIYALI, Via. Po. SHETRUNJI, Ta. PALITANA, Dist. BHAVNAGAR-364270"/>
    <n v="9925448120"/>
    <d v="2025-05-27T00:00:00"/>
    <s v="5054 MMGSY NORMAL 2024-25"/>
    <s v="Superintending Engineer, Panchayat Road and Building Circle-2, Rajkot"/>
    <s v="RPC-2/Tender/Bhav/99"/>
    <d v="2025-06-02T00:00:00"/>
    <n v="8"/>
    <n v="762000"/>
    <d v="2029-08-25T00:00:00"/>
    <n v="50200"/>
    <n v="262000"/>
    <d v="2026-07-17T00:00:00"/>
    <d v="2029-06-26T00:00:00"/>
    <n v="863"/>
    <d v="2025-06-19T00:00:00"/>
    <m/>
    <m/>
    <m/>
    <m/>
    <m/>
    <m/>
    <m/>
    <m/>
    <m/>
    <m/>
    <m/>
    <m/>
    <m/>
    <d v="2025-10-15T00:00:00"/>
    <m/>
    <m/>
    <m/>
    <m/>
    <m/>
    <m/>
    <m/>
    <m/>
    <m/>
  </r>
  <r>
    <n v="26"/>
    <m/>
    <s v="2025-26"/>
    <n v="2"/>
    <n v="4"/>
    <s v="Construction of Navaniya Kanthariya Road Km 0/0 to 4/500, Ta. Vallabhipur, Dist. Bhavnagar"/>
    <m/>
    <s v="Vallabhipur"/>
    <s v="Vallabhipur"/>
    <s v="Road"/>
    <m/>
    <n v="180808"/>
    <m/>
    <d v="2025-05-01T00:00:00"/>
    <d v="2025-05-12T00:00:00"/>
    <d v="2025-05-13T00:00:00"/>
    <d v="2025-09-09T00:00:00"/>
    <n v="35977034.640000001"/>
    <m/>
    <n v="30569686.329999998"/>
    <n v="-15.03"/>
    <s v="Below"/>
    <s v="Three Crore Five Lakh Sixty Nine Thousand Six Hundred Eighty Six Rupees and Thirty Three Paise Only"/>
    <s v="Government"/>
    <m/>
    <n v="30569686.329999998"/>
    <x v="8"/>
    <s v="RANJITBHAI BAHADURBHAI VALA"/>
    <s v="101, SHREEEJI ANAND CORNER, NEAR HDFC BANK, TOWER ROAD, PARA, Dist. BOTAD -364710"/>
    <n v="0"/>
    <d v="2025-05-27T00:00:00"/>
    <s v="5054 MMGSY NORMAL 2024-25"/>
    <s v="Road and Building Department, Ganghinagar"/>
    <s v="RBD/TRF/e-file/16/2025/3350/Section D1"/>
    <d v="2025-06-06T00:00:00"/>
    <n v="10"/>
    <n v="1529000"/>
    <d v="2029-11-22T00:00:00"/>
    <n v="92700"/>
    <n v="362000"/>
    <d v="2026-10-14T00:00:00"/>
    <d v="2029-09-23T00:00:00"/>
    <n v="864"/>
    <d v="2025-06-19T00:00:00"/>
    <s v="2025-26"/>
    <n v="210"/>
    <d v="2025-11-13T00:00:00"/>
    <s v="FDR"/>
    <s v="HDFC Bank"/>
    <s v="5030044769452"/>
    <n v="1529000"/>
    <d v="2025-10-30T00:00:00"/>
    <s v="FDR"/>
    <s v="HDFC Bank"/>
    <s v="5030044769453"/>
    <n v="362000"/>
    <d v="2025-10-30T00:00:00"/>
    <d v="2025-11-13T00:00:00"/>
    <n v="1538"/>
    <d v="2025-11-13T00:00:00"/>
    <m/>
    <m/>
    <m/>
    <m/>
    <m/>
    <m/>
    <m/>
  </r>
  <r>
    <n v="27"/>
    <m/>
    <s v="2025-26"/>
    <n v="2"/>
    <n v="5"/>
    <s v="Construction of Pithalpur Gadhula Road Km 0/0 to 2/700, Ta. Talaja, Dist. Bhavnagar"/>
    <m/>
    <s v="Talaja"/>
    <s v="Talaja"/>
    <s v="Road"/>
    <m/>
    <n v="180814"/>
    <m/>
    <d v="2025-05-01T00:00:00"/>
    <d v="2025-05-12T00:00:00"/>
    <d v="2025-05-13T00:00:00"/>
    <d v="2025-09-09T00:00:00"/>
    <n v="16879671.48"/>
    <m/>
    <n v="14687002.15"/>
    <n v="-12.99"/>
    <s v="Below"/>
    <s v="One Crore Forty Six Lakh Eighty Seven Thousand Two Rupees and Fifteen Paise Only"/>
    <s v="Circle"/>
    <m/>
    <n v="14687002.15"/>
    <x v="0"/>
    <s v="BHADRESHSINH BHAGWATSING GOHIL"/>
    <s v="A/8, AKSHARDEEP COMPLEX, OPP. DEEPAK MEMORIAL HALL, SANSKAR MANDAL, BHAVNAGAR-364002"/>
    <n v="9925209999"/>
    <d v="2025-05-27T00:00:00"/>
    <s v="5054 MMGSY NORMAL 2024-25"/>
    <s v="Superintending Engineer, Panchayat Road and Building Circle-2, Rajkot"/>
    <s v="RPC-2/Tender/Bhav/100"/>
    <d v="2025-06-02T00:00:00"/>
    <n v="10"/>
    <n v="735000"/>
    <d v="2029-10-24T00:00:00"/>
    <n v="41000"/>
    <n v="101000"/>
    <d v="2026-09-15T00:00:00"/>
    <d v="2029-08-25T00:00:00"/>
    <n v="865"/>
    <d v="2025-06-19T00:00:00"/>
    <s v="2025-26"/>
    <n v="72"/>
    <d v="2025-08-08T00:00:00"/>
    <s v="BG"/>
    <s v="HDFC Bank"/>
    <s v="101GT02252020008"/>
    <n v="735000"/>
    <d v="2025-07-21T00:00:00"/>
    <s v="BG"/>
    <s v="HDFC Bank"/>
    <s v="101GT02252020015"/>
    <n v="101000"/>
    <d v="2025-07-21T00:00:00"/>
    <d v="2025-10-15T00:00:00"/>
    <n v="1050"/>
    <d v="2025-08-08T00:00:00"/>
    <m/>
    <m/>
    <m/>
    <m/>
    <m/>
    <m/>
    <m/>
  </r>
  <r>
    <n v="28"/>
    <m/>
    <s v="2025-26"/>
    <n v="2"/>
    <n v="6"/>
    <s v="Construction of Padargadh Borada Road Km 0/0 to 2/750, Ta. Talaja, Dist. Bhavnagar"/>
    <m/>
    <s v="Talaja"/>
    <s v="Talaja"/>
    <s v="Road"/>
    <m/>
    <n v="180825"/>
    <m/>
    <d v="2025-05-01T00:00:00"/>
    <d v="2025-05-12T00:00:00"/>
    <d v="2025-05-13T00:00:00"/>
    <d v="2025-09-09T00:00:00"/>
    <n v="15690763.65"/>
    <m/>
    <n v="12747176.390000001"/>
    <n v="-18.760000000000002"/>
    <s v="Below"/>
    <s v="One Crore Twenty Seven Lakh Forty Seven Thousand One Hundred Seventy Six Rupees and Thirty Nine Paise Only"/>
    <s v="Circle"/>
    <m/>
    <n v="12747176.390000001"/>
    <x v="6"/>
    <s v="CHATURBHAI MOHANBHAI VAGHELA"/>
    <s v="MOTI PANIYALI, Via. Po. SHETRUNJI, Ta. PALITANA, Dist. BHAVNAGAR-364270"/>
    <n v="9925448120"/>
    <d v="2025-05-27T00:00:00"/>
    <s v="5054 MMGSY NORMAL 2024-25"/>
    <s v="Superintending Engineer, Panchayat Road and Building Circle-2, Rajkot"/>
    <s v="RPC-2/Tender/Bhav/105"/>
    <d v="2025-06-02T00:00:00"/>
    <n v="8"/>
    <n v="638000"/>
    <d v="2029-08-25T00:00:00"/>
    <n v="44800"/>
    <n v="275000"/>
    <d v="2026-07-17T00:00:00"/>
    <d v="2029-06-26T00:00:00"/>
    <n v="866"/>
    <d v="2025-06-19T00:00:00"/>
    <m/>
    <m/>
    <m/>
    <m/>
    <m/>
    <m/>
    <m/>
    <m/>
    <m/>
    <m/>
    <m/>
    <m/>
    <m/>
    <d v="2025-10-15T00:00:00"/>
    <m/>
    <m/>
    <m/>
    <m/>
    <m/>
    <m/>
    <m/>
    <m/>
    <m/>
  </r>
  <r>
    <n v="29"/>
    <m/>
    <s v="2025-26"/>
    <n v="2"/>
    <n v="7"/>
    <s v="Construction of Mota Charodiya Jagatpir Ashram Road Km 0/0 to 1/800, Ta. Gariyadhar, Dist. Bhavnagar"/>
    <m/>
    <s v="Gariyadhar"/>
    <s v="Palitana"/>
    <s v="Road"/>
    <m/>
    <n v="180832"/>
    <m/>
    <d v="2025-05-01T00:00:00"/>
    <d v="2025-05-12T00:00:00"/>
    <d v="2025-05-13T00:00:00"/>
    <d v="2025-09-09T00:00:00"/>
    <n v="11333888.539999999"/>
    <m/>
    <n v="9573735.6500000004"/>
    <n v="-15.53"/>
    <s v="Below"/>
    <s v="Ninety Five Lakh Seventy Three Thousand Seven Hundred Thirty Five Rupees and Sixty Five Paise Only"/>
    <s v="Circle"/>
    <m/>
    <n v="9573735.6500000004"/>
    <x v="6"/>
    <s v="CHATURBHAI MOHANBHAI VAGHELA"/>
    <s v="MOTI PANIYALI, Via. Po. SHETRUNJI, Ta. PALITANA, Dist. BHAVNAGAR-364270"/>
    <n v="9925448120"/>
    <d v="2025-05-27T00:00:00"/>
    <s v="5054 MMGSY SCSP 2024-25"/>
    <s v="Superintending Engineer, Panchayat Road and Building Circle-2, Rajkot"/>
    <s v="RPC-2/Tender/Bhav/104"/>
    <d v="2025-06-02T00:00:00"/>
    <n v="8"/>
    <n v="479000"/>
    <d v="2029-08-25T00:00:00"/>
    <n v="29700"/>
    <n v="126000"/>
    <d v="2026-07-17T00:00:00"/>
    <d v="2029-06-26T00:00:00"/>
    <n v="867"/>
    <d v="2025-06-19T00:00:00"/>
    <m/>
    <m/>
    <m/>
    <m/>
    <m/>
    <m/>
    <m/>
    <m/>
    <m/>
    <m/>
    <m/>
    <m/>
    <m/>
    <d v="2025-10-15T00:00:00"/>
    <m/>
    <m/>
    <m/>
    <m/>
    <m/>
    <m/>
    <m/>
    <m/>
    <m/>
  </r>
  <r>
    <n v="30"/>
    <m/>
    <s v="2025-26"/>
    <n v="2"/>
    <n v="8"/>
    <s v="Construction of Gopnath joining to Mastramdhara link Road Km 0/0 to 2/250, Ta. Talaja, Dist. Bhavnagar"/>
    <m/>
    <s v="Talaja"/>
    <s v="Talaja"/>
    <s v="Road"/>
    <m/>
    <n v="180651"/>
    <m/>
    <d v="2025-05-01T00:00:00"/>
    <d v="2025-05-12T00:00:00"/>
    <d v="2025-05-13T00:00:00"/>
    <d v="2025-09-09T00:00:00"/>
    <n v="13577420.949999999"/>
    <m/>
    <n v="9505552.4100000001"/>
    <n v="-29.99"/>
    <s v="Below"/>
    <s v="Ninety Five Lakh Five Thousand Five Hundred Fifty Two Rupees and Forty One Paise Only"/>
    <s v="Circle"/>
    <m/>
    <n v="9505552.4100000001"/>
    <x v="9"/>
    <n v="0"/>
    <s v="&quot;Ashapura Nivas&quot;, Shivaji Nagar, Talaja, Ta. Talaja Dist. Bhavnagar"/>
    <n v="9638310999"/>
    <d v="2025-05-27T00:00:00"/>
    <s v="5054 MMGSY NORMAL 2024-25"/>
    <s v="Superintending Engineer, Panchayat Road and Building Circle-2, Rajkot"/>
    <s v="RPC-2/Tender/Bhav/97"/>
    <d v="2025-06-02T00:00:00"/>
    <n v="6"/>
    <n v="476000"/>
    <d v="2029-04-19T00:00:00"/>
    <n v="63300"/>
    <n v="815000"/>
    <d v="2026-03-11T00:00:00"/>
    <d v="2029-02-18T00:00:00"/>
    <n v="868"/>
    <d v="2025-06-19T00:00:00"/>
    <s v="2025-26"/>
    <n v="74"/>
    <d v="2025-08-08T00:00:00"/>
    <s v="FDR"/>
    <s v="HDFC Bank"/>
    <s v="50301195323355"/>
    <n v="476000"/>
    <d v="2025-07-31T00:00:00"/>
    <s v="FDR"/>
    <s v="HDFC Bank"/>
    <s v="50301193104650"/>
    <n v="815000"/>
    <d v="2025-07-25T00:00:00"/>
    <d v="2025-08-08T00:00:00"/>
    <n v="1052"/>
    <d v="2025-08-08T00:00:00"/>
    <m/>
    <m/>
    <m/>
    <m/>
    <m/>
    <m/>
    <m/>
  </r>
  <r>
    <n v="31"/>
    <m/>
    <s v="2025-26"/>
    <n v="2"/>
    <n v="9"/>
    <s v="Construction of Langala to Dedakadi Road Km 0/0 to 2/400, Ta. Vallabhipur, Dist. Bhavnagar"/>
    <m/>
    <s v="Umrala"/>
    <s v="Vallabhipur"/>
    <s v="Road"/>
    <m/>
    <n v="180840"/>
    <m/>
    <d v="2025-05-01T00:00:00"/>
    <d v="2025-05-12T00:00:00"/>
    <d v="2025-05-13T00:00:00"/>
    <d v="2025-09-09T00:00:00"/>
    <n v="15863200.939999999"/>
    <m/>
    <n v="14078590.83"/>
    <n v="-11.25"/>
    <s v="Below"/>
    <s v="One Crore Forty Lakh Seventy Eight Thousand Five Hundred Ninety Rupees and Eighty Three Paise Only"/>
    <s v="Circle"/>
    <m/>
    <n v="14078590.83"/>
    <x v="10"/>
    <n v="0"/>
    <s v="70, Hari Darshan Township, Subhashnagar, Bhavnagar"/>
    <n v="9825209897"/>
    <d v="2025-05-27T00:00:00"/>
    <s v="5054 MMGSY SCSP 2024-25"/>
    <s v="Superintending Engineer, Panchayat Road and Building Circle-2, Rajkot"/>
    <s v="RPC-2/Tender/Bhav/96"/>
    <d v="2025-06-02T00:00:00"/>
    <n v="8"/>
    <n v="704000"/>
    <d v="2029-08-25T00:00:00"/>
    <n v="36500"/>
    <n v="40000"/>
    <d v="2026-07-17T00:00:00"/>
    <d v="2029-06-26T00:00:00"/>
    <n v="869"/>
    <d v="2025-06-19T00:00:00"/>
    <s v="2025-26"/>
    <n v="89"/>
    <d v="2025-08-18T00:00:00"/>
    <s v="FDR"/>
    <s v="State Bank of India"/>
    <n v="44345147183"/>
    <n v="704000"/>
    <d v="2025-08-04T00:00:00"/>
    <s v="FDR"/>
    <s v="State Bank of India"/>
    <n v="44345136001"/>
    <n v="40000"/>
    <d v="2025-08-04T00:00:00"/>
    <d v="2025-10-15T00:00:00"/>
    <n v="1168"/>
    <d v="2025-08-18T00:00:00"/>
    <m/>
    <m/>
    <m/>
    <m/>
    <m/>
    <m/>
    <m/>
  </r>
  <r>
    <n v="32"/>
    <m/>
    <s v="2025-26"/>
    <n v="2"/>
    <n v="10"/>
    <s v="Construction of Sanala To Sanala Cutting Road (NP) Km.0/000 to 1/400 Ta. Jesar, Dist. Bhavnagar"/>
    <m/>
    <s v="Jesar"/>
    <s v="Mahuva"/>
    <s v="Road"/>
    <m/>
    <n v="180844"/>
    <m/>
    <d v="2025-05-01T00:00:00"/>
    <d v="2025-05-12T00:00:00"/>
    <d v="2025-05-13T00:00:00"/>
    <d v="2025-09-09T00:00:00"/>
    <n v="23183208.690000001"/>
    <m/>
    <n v="19107600.600000001"/>
    <n v="-17.579999999999998"/>
    <s v="Below"/>
    <s v="One Crore Ninety One Lakh Seven Thousand Six Hundred Rupees and Six Paise Only"/>
    <s v="Circle"/>
    <m/>
    <n v="19107600.600000001"/>
    <x v="6"/>
    <s v="CHATURBHAI MOHANBHAI VAGHELA"/>
    <s v="MOTI PANIYALI, Via. Po. SHETRUNJI, Ta. PALITANA, Dist. BHAVNAGAR-364270"/>
    <n v="9925448120"/>
    <d v="2025-05-27T00:00:00"/>
    <s v="5054 MMGSY SCSP 2024-25"/>
    <s v="Road and Building Department, Ganghinagar"/>
    <s v="RBD/TRF/e-file/16/2025/3302/Section D1"/>
    <d v="2025-06-05T00:00:00"/>
    <n v="8"/>
    <n v="956000"/>
    <d v="2029-08-25T00:00:00"/>
    <n v="64100"/>
    <n v="352000"/>
    <d v="2026-07-17T00:00:00"/>
    <d v="2029-06-26T00:00:00"/>
    <n v="870"/>
    <d v="2025-06-19T00:00:00"/>
    <m/>
    <m/>
    <m/>
    <m/>
    <m/>
    <m/>
    <m/>
    <m/>
    <m/>
    <m/>
    <m/>
    <m/>
    <m/>
    <d v="2025-10-15T00:00:00"/>
    <m/>
    <m/>
    <m/>
    <m/>
    <m/>
    <m/>
    <m/>
    <m/>
    <m/>
  </r>
  <r>
    <n v="33"/>
    <s v="2024-25"/>
    <s v="2025-26"/>
    <n v="2"/>
    <n v="11"/>
    <s v="Resurfacing to Roads of Bhavnagar District Package no. RPC-2/BVN/MMGSY/Normal/2024-25/P.04 Ta. Shihor, Dist. Bhavnagar"/>
    <s v="(1) Ramdhari Chorvadala Road_x000a_(2) Sarvedi Dholakuva Road_x000a_(3) Sandhida Dhankadkunda Dholakuva Road"/>
    <s v="Shihor"/>
    <s v="Shihor"/>
    <s v="Road"/>
    <m/>
    <n v="180848"/>
    <m/>
    <d v="2025-05-01T00:00:00"/>
    <d v="2025-05-12T00:00:00"/>
    <d v="2025-05-13T00:00:00"/>
    <d v="2025-09-09T00:00:00"/>
    <n v="44204292.450000003"/>
    <m/>
    <n v="38842311.780000001"/>
    <n v="-12.13"/>
    <s v="Below"/>
    <s v="Three Crore Eighty Eight Lakh Forty Two Thousand Three Hundred Eleven Rupees and Seventy Eight Paise Only"/>
    <s v="Government"/>
    <m/>
    <n v="38842311.780000001"/>
    <x v="11"/>
    <n v="0"/>
    <s v="Shop No. 112, Sunrise Complex, Dawn Chowk, Bhavnagar "/>
    <n v="7600749191"/>
    <d v="2025-05-27T00:00:00"/>
    <s v="3054 MMGSY NORMAL 2024-25"/>
    <s v="Road and Building Department, Ganghinagar"/>
    <s v="RBD/TRF/e-file/16/2025/3300/Section D1"/>
    <d v="2025-06-17T00:00:00"/>
    <n v="10"/>
    <n v="1943000"/>
    <d v="2029-11-19T00:00:00"/>
    <n v="104500"/>
    <n v="189000"/>
    <d v="2026-10-11T00:00:00"/>
    <d v="2029-09-20T00:00:00"/>
    <n v="873"/>
    <d v="2025-06-21T00:00:00"/>
    <s v="2025-26"/>
    <n v="202"/>
    <d v="2025-11-10T00:00:00"/>
    <s v="FDR"/>
    <s v="Union Bank of India"/>
    <s v="32423030002307"/>
    <n v="1943000"/>
    <d v="2025-10-29T00:00:00"/>
    <s v="FDR"/>
    <s v="Union Bank of India"/>
    <s v="32423030002308"/>
    <n v="189000"/>
    <d v="2025-10-29T00:00:00"/>
    <d v="2025-11-10T00:00:00"/>
    <n v="1510"/>
    <d v="2025-11-10T00:00:00"/>
    <m/>
    <m/>
    <m/>
    <m/>
    <m/>
    <m/>
    <m/>
  </r>
  <r>
    <n v="34"/>
    <s v="2024-25"/>
    <s v="2025-26"/>
    <n v="2"/>
    <n v="12"/>
    <s v="Resurfacing and Routine Maintenance to Roads of Bhavnagar District Package no. RPC-2/BVN/MMGSY/Normal/2024-25/P.02 Ta. Bhavnagar Ghogha, Dist. Bhavnagar"/>
    <s v="(1) Avaniya Jodhpura Area Road_x000a_(2) Valukadpara Approach Road_x000a_(3) Navagam Approach Road_x000a_(4) Mota Khokhara To Vadi Area Road_x000a_(5) Bhikada Bhikadapara Road_x000a_"/>
    <s v="Bhavnagar"/>
    <s v="Bhavnagar"/>
    <s v="Road"/>
    <m/>
    <n v="180705"/>
    <m/>
    <d v="2025-05-01T00:00:00"/>
    <d v="2025-05-12T00:00:00"/>
    <d v="2025-05-13T00:00:00"/>
    <d v="2025-09-09T00:00:00"/>
    <n v="18127674.920000002"/>
    <m/>
    <n v="16088311.49"/>
    <n v="-11.25"/>
    <s v="Below"/>
    <s v="One Crore Sixty Lakh Eighty Eight Thousand Three Hundred Eleven Rupees and Forty Nine Paise Only"/>
    <s v="Circle"/>
    <n v="1224193.3999999999"/>
    <n v="17312504.890000001"/>
    <x v="10"/>
    <n v="0"/>
    <s v="70, Hari Darshan Township, Subhashnagar, Bhavnagar"/>
    <n v="9825209897"/>
    <d v="2025-05-27T00:00:00"/>
    <s v="5054 MMGSY NORMAL 2024-25"/>
    <s v="Superintending Engineer, Panchayat Road and Building Circle-2, Rajkot"/>
    <s v="RPC-2/Tender/Bhav/107"/>
    <d v="2025-06-02T00:00:00"/>
    <n v="8"/>
    <n v="805000"/>
    <d v="2029-08-25T00:00:00"/>
    <n v="41700"/>
    <n v="46000"/>
    <d v="2026-07-17T00:00:00"/>
    <d v="2029-06-26T00:00:00"/>
    <n v="874"/>
    <d v="2025-06-21T00:00:00"/>
    <s v="2025-26"/>
    <n v="63"/>
    <d v="2025-07-19T00:00:00"/>
    <s v="FDR"/>
    <s v="State Bank of India"/>
    <n v="44288079123"/>
    <n v="805000"/>
    <d v="2025-07-17T00:00:00"/>
    <s v="FDR"/>
    <s v="State Bank of India"/>
    <n v="44288012760"/>
    <n v="46000"/>
    <d v="2025-07-17T00:00:00"/>
    <d v="2025-10-15T00:00:00"/>
    <n v="999"/>
    <d v="2025-09-17T00:00:00"/>
    <m/>
    <m/>
    <m/>
    <m/>
    <m/>
    <m/>
    <m/>
  </r>
  <r>
    <n v="35"/>
    <m/>
    <s v="2025-26"/>
    <n v="2"/>
    <n v="13"/>
    <s v="Improvement of Khadsaliya Morchand Padva Road (VR NP) (Khadsaliya Morchand Km.0/000 -3/800) Ta.Ghogha, Dist.; Bhavnagar"/>
    <m/>
    <s v="Ghogha"/>
    <s v="Bhavnagar"/>
    <s v="Road"/>
    <m/>
    <n v="180856"/>
    <m/>
    <d v="2025-05-01T00:00:00"/>
    <d v="2025-05-12T00:00:00"/>
    <d v="2025-05-13T00:00:00"/>
    <d v="2025-09-09T00:00:00"/>
    <n v="15081719.609999999"/>
    <m/>
    <n v="13271913.26"/>
    <n v="-12"/>
    <s v="Below"/>
    <s v="One Crore Thirty Two Lakh Seventy One Thousand Nine Hundred Thirteen Rupees and Twenty Six Paise Only"/>
    <s v="Circle"/>
    <m/>
    <n v="13271913.26"/>
    <x v="0"/>
    <s v="BHADRESHSINH BHAGWATSING GOHIL"/>
    <s v="A/8, AKSHARDEEP COMPLEX, OPP. DEEPAK MEMORIAL HALL, SANSKAR MANDAL, BHAVNAGAR-364002"/>
    <n v="9925209999"/>
    <d v="2025-05-27T00:00:00"/>
    <s v="5054 MMGSY NORMAL 2024-25"/>
    <s v="Superintending Engineer, Panchayat Road and Building Circle-2, Rajkot"/>
    <s v="RPC-2/Tender/Bhav/101"/>
    <d v="2025-06-02T00:00:00"/>
    <n v="8"/>
    <n v="664000"/>
    <d v="2029-08-25T00:00:00"/>
    <n v="35600"/>
    <n v="61000"/>
    <d v="2026-07-17T00:00:00"/>
    <d v="2029-06-26T00:00:00"/>
    <n v="875"/>
    <d v="2025-06-21T00:00:00"/>
    <s v="2025-26"/>
    <n v="65"/>
    <d v="2025-08-02T00:00:00"/>
    <s v="BG"/>
    <s v="HDFC Bank"/>
    <s v="101GT02252020007"/>
    <n v="664000"/>
    <d v="2025-07-21T00:00:00"/>
    <s v="BG"/>
    <s v="HDFC Bank"/>
    <s v="101GT02252020006"/>
    <n v="61000"/>
    <d v="2025-07-21T00:00:00"/>
    <d v="2025-10-15T00:00:00"/>
    <n v="1057"/>
    <d v="2025-08-02T00:00:00"/>
    <m/>
    <m/>
    <m/>
    <m/>
    <m/>
    <m/>
    <m/>
  </r>
  <r>
    <n v="36"/>
    <m/>
    <s v="2025-26"/>
    <n v="2"/>
    <n v="14"/>
    <s v="Resurfacing of Biladi Nana Mota Pipalava Kankot Road (Sec. Pipalava to Kankot) Km 0/0 to 1/800, Ta. Mahuva, Dist. Bhavnagar"/>
    <m/>
    <s v="Mahuva"/>
    <s v="Mahuva"/>
    <s v="Road"/>
    <m/>
    <n v="180716"/>
    <m/>
    <d v="2025-05-01T00:00:00"/>
    <d v="2025-05-12T00:00:00"/>
    <d v="2025-05-13T00:00:00"/>
    <d v="2025-09-09T00:00:00"/>
    <m/>
    <s v="Yes"/>
    <m/>
    <m/>
    <s v="Equals"/>
    <s v="Zero Rupees Only"/>
    <s v="Division"/>
    <m/>
    <n v="0"/>
    <x v="3"/>
    <n v="0"/>
    <n v="0"/>
    <n v="0"/>
    <m/>
    <m/>
    <m/>
    <m/>
    <m/>
    <m/>
    <n v="0"/>
    <d v="1901-03-25T00:00:00"/>
    <n v="0"/>
    <n v="0"/>
    <d v="1900-02-03T00:00:00"/>
    <d v="1901-01-24T00:00:00"/>
    <m/>
    <m/>
    <m/>
    <m/>
    <m/>
    <m/>
    <m/>
    <m/>
    <m/>
    <m/>
    <m/>
    <m/>
    <m/>
    <m/>
    <m/>
    <m/>
    <m/>
    <m/>
    <m/>
    <m/>
    <m/>
    <m/>
    <m/>
    <m/>
    <m/>
  </r>
  <r>
    <n v="37"/>
    <m/>
    <s v="2025-26"/>
    <n v="2"/>
    <n v="15"/>
    <s v="Resurfacing and Routine Maintenance of Borala Approach Road (VR) Km.0/000 to 1/100 Ta.Mahuva, Dist.; Bhavnagar"/>
    <m/>
    <s v="Mahuva"/>
    <s v="Mahuva"/>
    <s v="Road"/>
    <m/>
    <n v="180728"/>
    <n v="1"/>
    <d v="2025-05-01T00:00:00"/>
    <d v="2025-05-12T00:00:00"/>
    <d v="2025-05-13T00:00:00"/>
    <d v="2025-09-09T00:00:00"/>
    <n v="5574164.5300000003"/>
    <m/>
    <n v="6187322.6299999999"/>
    <n v="11"/>
    <s v="Above"/>
    <s v="Sixty One Lakh Eighty Seven Thousand Three Hundred Twenty Two Rupees and Sixty Three Paise Only"/>
    <s v="Circle"/>
    <m/>
    <n v="6187322.6299999999"/>
    <x v="5"/>
    <n v="0"/>
    <s v="Shop No. 131/B, First Floor, Shiva Belssing-2, Opp. BMC Office, Bhavnagar"/>
    <n v="9925888787"/>
    <d v="2025-05-27T00:00:00"/>
    <s v="5054 MMGSY NORMAL 2024-25"/>
    <s v="Superintending Engineer, Panchayat Road and Building Circle-2, Rajkot"/>
    <s v="RPC-2/Tender/Bhav/118"/>
    <d v="2025-06-10T00:00:00"/>
    <n v="4"/>
    <n v="310000"/>
    <d v="2027-05-08T00:00:00"/>
    <n v="15200"/>
    <n v="0"/>
    <d v="2026-03-19T00:00:00"/>
    <d v="2027-03-09T00:00:00"/>
    <n v="876"/>
    <d v="2025-06-21T00:00:00"/>
    <m/>
    <m/>
    <m/>
    <m/>
    <m/>
    <m/>
    <m/>
    <m/>
    <m/>
    <m/>
    <m/>
    <m/>
    <m/>
    <d v="2025-10-15T00:00:00"/>
    <m/>
    <m/>
    <m/>
    <m/>
    <m/>
    <m/>
    <m/>
    <m/>
    <m/>
  </r>
  <r>
    <n v="38"/>
    <m/>
    <s v="2025-26"/>
    <n v="2"/>
    <n v="16"/>
    <s v="Construction of Minor Bridge on Mahuva Mota Jadra Road (NP BT) Ta.Mahuva, Dist.; Bhavnagar"/>
    <m/>
    <s v="Mahuva"/>
    <s v="Mahuva"/>
    <s v="Road"/>
    <m/>
    <n v="180660"/>
    <m/>
    <d v="2025-05-01T00:00:00"/>
    <d v="2025-05-12T00:00:00"/>
    <d v="2025-05-13T00:00:00"/>
    <d v="2025-09-09T00:00:00"/>
    <n v="15230378.720000001"/>
    <m/>
    <n v="10662788.140000001"/>
    <n v="-29.99"/>
    <s v="Below"/>
    <s v="One Crore Six Lakh Sixty Two Thousand Seven Hundred Eighty Eight Rupees and Fourteen Paise Only"/>
    <s v="Circle"/>
    <m/>
    <n v="10662788.140000001"/>
    <x v="12"/>
    <s v="DINESHBHAI VASHRAMBHAI PADAYA,"/>
    <s v="53, Chandraprakash Residency, Sidasar Road, Leela Circle, Bhavnagar-364002"/>
    <n v="9375779757"/>
    <d v="2025-05-27T00:00:00"/>
    <s v="5054 MMGSY NORMAL 2024-25"/>
    <s v="Superintending Engineer, Panchayat Road and Building Circle-2, Rajkot"/>
    <s v="RPC-2/Tender/Bhav/98"/>
    <d v="2025-06-02T00:00:00"/>
    <n v="10"/>
    <n v="534000"/>
    <d v="2029-10-24T00:00:00"/>
    <n v="71000"/>
    <n v="914000"/>
    <d v="2026-09-15T00:00:00"/>
    <d v="2029-08-25T00:00:00"/>
    <n v="879"/>
    <d v="2025-06-21T00:00:00"/>
    <s v="2025-26"/>
    <n v="147"/>
    <d v="2025-09-10T00:00:00"/>
    <s v="FDR"/>
    <s v="HDFC Bank"/>
    <s v="50301204707986"/>
    <n v="534000"/>
    <d v="2025-08-20T00:00:00"/>
    <s v="FDR"/>
    <s v="HDFC Bank"/>
    <s v="50301204708710"/>
    <n v="914000"/>
    <d v="2025-08-20T00:00:00"/>
    <d v="2025-10-15T00:00:00"/>
    <n v="1291"/>
    <d v="2025-09-10T00:00:00"/>
    <m/>
    <m/>
    <m/>
    <m/>
    <m/>
    <m/>
    <m/>
  </r>
  <r>
    <n v="39"/>
    <m/>
    <s v="2025-26"/>
    <n v="2"/>
    <n v="17"/>
    <s v="Construction New Structure of Bhavnagar District Package No. RPC-2/BVN/MMGSY/Normal/2023-24/P.11 Ta. Mahuva"/>
    <s v="(1) Vented Causeway on Dharai Titodiya Road_x000a_(2) Slab Drain on Gundarana Padargadh Road"/>
    <s v="Mahuva"/>
    <s v="Mahuva"/>
    <s v="Road"/>
    <m/>
    <n v="180666"/>
    <m/>
    <d v="2025-05-01T00:00:00"/>
    <d v="2025-05-12T00:00:00"/>
    <d v="2025-05-13T00:00:00"/>
    <d v="2025-09-09T00:00:00"/>
    <n v="11706821.6"/>
    <m/>
    <n v="8624415.4700000007"/>
    <n v="-26.33"/>
    <s v="Below"/>
    <s v="Eighty Six Lakh Twenty Four Thousand Four Hundred Fifteen Rupees and Forty Seven Paise Only"/>
    <s v="Circle"/>
    <m/>
    <n v="8624415.4700000007"/>
    <x v="13"/>
    <n v="0"/>
    <s v="Plot No. 13/C, Sheri No. 9, Gurunagar, Behind Chitra Petrol, Bhavnagar 364003 "/>
    <n v="8980580857"/>
    <d v="2025-05-27T00:00:00"/>
    <s v="5054 MMGSY NORMAL 2024-25"/>
    <s v="Superintending Engineer, Panchayat Road and Building Circle-2, Rajkot"/>
    <s v="RPC-2/Tender/Bhav/95"/>
    <d v="2025-06-02T00:00:00"/>
    <n v="8"/>
    <n v="432000"/>
    <d v="2029-08-25T00:00:00"/>
    <n v="49300"/>
    <n v="574000"/>
    <d v="2026-07-17T00:00:00"/>
    <d v="2029-06-26T00:00:00"/>
    <n v="877"/>
    <d v="2025-06-21T00:00:00"/>
    <m/>
    <m/>
    <m/>
    <m/>
    <m/>
    <m/>
    <m/>
    <m/>
    <m/>
    <m/>
    <m/>
    <m/>
    <m/>
    <d v="2025-10-15T00:00:00"/>
    <m/>
    <m/>
    <m/>
    <m/>
    <m/>
    <m/>
    <m/>
    <m/>
    <m/>
  </r>
  <r>
    <n v="40"/>
    <m/>
    <s v="2025-26"/>
    <n v="2"/>
    <n v="18"/>
    <s v="Construc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80679"/>
    <m/>
    <d v="2025-05-01T00:00:00"/>
    <d v="2025-05-12T00:00:00"/>
    <d v="2025-05-13T00:00:00"/>
    <d v="2025-09-09T00:00:00"/>
    <n v="24576686.510000002"/>
    <m/>
    <n v="18427599.550000001"/>
    <n v="-25.02"/>
    <s v="Below"/>
    <s v="One Crore Eighty Four Lakh Twenty Seven Thousand Five Hundred Ninety Nine Rupees and Fifty Five Paise Only"/>
    <s v="Circle"/>
    <m/>
    <n v="18427599.550000001"/>
    <x v="8"/>
    <s v="RANJITBHAI BAHADURBHAI VALA"/>
    <s v="101, SHREEEJI ANAND CORNER, NEAR HDFC BANK, TOWER ROAD, PARA, Dist. BOTAD -364710"/>
    <n v="0"/>
    <d v="2025-05-27T00:00:00"/>
    <s v="5054 Suvidhapath 2024-25"/>
    <s v="Road and Building Department, Ganghinagar"/>
    <s v="RBD/TRF/e-file/16/2025/3304/Section D1"/>
    <d v="2025-06-05T00:00:00"/>
    <n v="8"/>
    <n v="922000"/>
    <d v="2029-09-23T00:00:00"/>
    <n v="99500"/>
    <n v="1108000"/>
    <d v="2026-08-15T00:00:00"/>
    <d v="2029-07-25T00:00:00"/>
    <n v="878"/>
    <d v="2025-06-21T00:00:00"/>
    <s v="2025-26"/>
    <n v="211"/>
    <d v="2025-11-13T00:00:00"/>
    <m/>
    <m/>
    <m/>
    <m/>
    <m/>
    <m/>
    <m/>
    <m/>
    <m/>
    <m/>
    <d v="2025-11-13T00:00:00"/>
    <n v="1539"/>
    <d v="2025-11-13T00:00:00"/>
    <m/>
    <m/>
    <m/>
    <m/>
    <m/>
    <m/>
    <m/>
  </r>
  <r>
    <n v="41"/>
    <m/>
    <s v="2025-26"/>
    <n v="2"/>
    <n v="19"/>
    <s v="Construction Cement Concrete Roads of Bhavnagar District Package No. RPC-2/BVN/Suvidhapath/2024-25/P.12, Ta. Palitana, Dist. Bhavnagar"/>
    <s v="(1) Luvarvav Bhundarakha Road (village Luvarvav)_x000a_(2) Dudhala Damarala Bypass Road (village Damarala)"/>
    <s v="Palitana"/>
    <s v="Palitana"/>
    <s v="Road"/>
    <m/>
    <n v="180696"/>
    <m/>
    <d v="2025-05-01T00:00:00"/>
    <d v="2025-05-12T00:00:00"/>
    <d v="2025-05-13T00:00:00"/>
    <d v="2025-09-09T00:00:00"/>
    <n v="9144415.4199999999"/>
    <m/>
    <n v="6126758.3300000001"/>
    <n v="-33"/>
    <s v="Below"/>
    <s v="Sixty One Lakh Twenty Six Thousand Seven Hundred Fifty Eight Rupees and Thirty Three Paise Only"/>
    <s v="Circle"/>
    <m/>
    <n v="6126758.3300000001"/>
    <x v="6"/>
    <s v="CHATURBHAI MOHANBHAI VAGHELA"/>
    <s v="MOTI PANIYALI, Via. Po. SHETRUNJI, Ta. PALITANA, Dist. BHAVNAGAR-364270"/>
    <n v="9925448120"/>
    <d v="2025-05-27T00:00:00"/>
    <s v="5054 Suvidhapath 2024-25"/>
    <s v="Superintending Engineer, Panchayat Road and Building Circle-2, Rajkot"/>
    <s v="RPC-2/Tender/Bhav/106"/>
    <d v="2025-06-02T00:00:00"/>
    <n v="4"/>
    <n v="307000"/>
    <d v="2027-05-08T00:00:00"/>
    <n v="46000"/>
    <n v="631000"/>
    <d v="2026-03-19T00:00:00"/>
    <d v="2027-03-09T00:00:00"/>
    <n v="880"/>
    <d v="2025-06-21T00:00:00"/>
    <m/>
    <m/>
    <m/>
    <m/>
    <m/>
    <m/>
    <m/>
    <m/>
    <m/>
    <m/>
    <m/>
    <m/>
    <m/>
    <d v="2025-10-15T00:00:00"/>
    <m/>
    <m/>
    <m/>
    <m/>
    <m/>
    <m/>
    <m/>
    <m/>
    <m/>
  </r>
  <r>
    <n v="42"/>
    <m/>
    <s v="2025-26"/>
    <n v="2"/>
    <n v="20"/>
    <s v="Construction of PanchTobara Gangajaliya To Malvali Road To Ratanvav Surnivas Road Km 0/0 to 2/200, Ta. Gariyadhar, Dist. Bhavnagar"/>
    <m/>
    <s v="Gariyadhar"/>
    <s v="Palitana"/>
    <s v="Road"/>
    <m/>
    <m/>
    <m/>
    <d v="2025-05-01T00:00:00"/>
    <d v="2025-05-12T00:00:00"/>
    <d v="2025-05-13T00:00:00"/>
    <d v="2025-09-09T00:00:00"/>
    <m/>
    <s v="Yes"/>
    <m/>
    <m/>
    <s v="Equals"/>
    <s v="Zero Rupees Only"/>
    <s v="Division"/>
    <m/>
    <n v="0"/>
    <x v="3"/>
    <n v="0"/>
    <n v="0"/>
    <n v="0"/>
    <m/>
    <m/>
    <m/>
    <m/>
    <m/>
    <m/>
    <n v="0"/>
    <d v="1901-03-25T00:00:00"/>
    <n v="0"/>
    <n v="0"/>
    <d v="1900-02-03T00:00:00"/>
    <d v="1901-01-24T00:00:00"/>
    <m/>
    <m/>
    <m/>
    <m/>
    <m/>
    <m/>
    <m/>
    <m/>
    <m/>
    <m/>
    <m/>
    <m/>
    <m/>
    <m/>
    <m/>
    <m/>
    <m/>
    <m/>
    <m/>
    <m/>
    <m/>
    <m/>
    <m/>
    <m/>
    <m/>
  </r>
  <r>
    <n v="43"/>
    <m/>
    <s v="2025-26"/>
    <n v="3"/>
    <n v="1"/>
    <s v="Remaining works of Gram Panchayat office Building (Frame Structure) Gariyadhar Taluka Package No. 2017-18/18 (Shivendranagar, Moti Vavdi, Rupavati), Dist. Bhavnagar"/>
    <m/>
    <s v="Gariyadhar"/>
    <s v="Palitana"/>
    <s v="Building"/>
    <m/>
    <n v="183939"/>
    <n v="8"/>
    <m/>
    <m/>
    <m/>
    <d v="1900-04-29T00:00:00"/>
    <m/>
    <s v="Yes"/>
    <m/>
    <m/>
    <s v="Equals"/>
    <s v="Zero Rupees Only"/>
    <s v="Division"/>
    <m/>
    <n v="0"/>
    <x v="3"/>
    <n v="0"/>
    <n v="0"/>
    <n v="0"/>
    <m/>
    <m/>
    <m/>
    <m/>
    <m/>
    <m/>
    <n v="0"/>
    <d v="1901-03-25T00:00:00"/>
    <n v="0"/>
    <n v="0"/>
    <d v="1900-02-03T00:00:00"/>
    <d v="1901-01-24T00:00:00"/>
    <m/>
    <m/>
    <m/>
    <m/>
    <m/>
    <m/>
    <m/>
    <m/>
    <m/>
    <m/>
    <m/>
    <m/>
    <m/>
    <m/>
    <m/>
    <m/>
    <m/>
    <m/>
    <m/>
    <m/>
    <m/>
    <m/>
    <m/>
    <m/>
    <m/>
  </r>
  <r>
    <n v="44"/>
    <m/>
    <s v="2025-26"/>
    <n v="3"/>
    <n v="2"/>
    <s v="Remaining works Construction of Gram Panchayat office Building (Frame Structure) at village Pansada Dist. Bhavnagar"/>
    <m/>
    <s v="Gariyadhar"/>
    <s v="Palitana"/>
    <s v="Building"/>
    <m/>
    <n v="183940"/>
    <n v="8"/>
    <m/>
    <m/>
    <m/>
    <d v="1900-04-29T00:00:00"/>
    <m/>
    <s v="Yes"/>
    <m/>
    <m/>
    <s v="Equals"/>
    <s v="Zero Rupees Only"/>
    <s v="Division"/>
    <m/>
    <n v="0"/>
    <x v="3"/>
    <n v="0"/>
    <n v="0"/>
    <n v="0"/>
    <m/>
    <m/>
    <m/>
    <m/>
    <m/>
    <m/>
    <n v="0"/>
    <d v="1901-03-25T00:00:00"/>
    <n v="0"/>
    <n v="0"/>
    <d v="1900-02-03T00:00:00"/>
    <d v="1901-01-24T00:00:00"/>
    <m/>
    <m/>
    <m/>
    <m/>
    <m/>
    <m/>
    <m/>
    <m/>
    <m/>
    <m/>
    <m/>
    <m/>
    <m/>
    <m/>
    <m/>
    <m/>
    <m/>
    <m/>
    <m/>
    <m/>
    <m/>
    <m/>
    <m/>
    <m/>
    <m/>
  </r>
  <r>
    <n v="45"/>
    <m/>
    <s v="2025-26"/>
    <n v="3"/>
    <n v="3"/>
    <s v="Construction of School Building at Kalivav Primary School (One Class Room)  and Koliyak Kanya P.S. (Four Class Room) Ta. And Dist. Bhavnagar"/>
    <m/>
    <s v="Bhavnagar"/>
    <s v="Bhavnagar"/>
    <s v="Building"/>
    <m/>
    <n v="183941"/>
    <n v="6"/>
    <m/>
    <d v="2025-05-19T00:00:00"/>
    <m/>
    <d v="2025-09-16T00:00:00"/>
    <m/>
    <s v="Yes"/>
    <m/>
    <m/>
    <s v="Equals"/>
    <s v="Zero Rupees Only"/>
    <s v="Division"/>
    <m/>
    <n v="0"/>
    <x v="3"/>
    <n v="0"/>
    <n v="0"/>
    <n v="0"/>
    <m/>
    <m/>
    <m/>
    <m/>
    <m/>
    <m/>
    <n v="0"/>
    <d v="1901-03-25T00:00:00"/>
    <n v="0"/>
    <n v="0"/>
    <d v="1900-02-03T00:00:00"/>
    <d v="1901-01-24T00:00:00"/>
    <m/>
    <m/>
    <m/>
    <m/>
    <m/>
    <m/>
    <m/>
    <m/>
    <m/>
    <m/>
    <m/>
    <m/>
    <m/>
    <m/>
    <m/>
    <m/>
    <m/>
    <m/>
    <m/>
    <m/>
    <m/>
    <m/>
    <m/>
    <m/>
    <m/>
  </r>
  <r>
    <n v="46"/>
    <m/>
    <s v="2025-26"/>
    <n v="3"/>
    <n v="4"/>
    <s v="Construction of Nandghar (Anganvadi) Building at Undavi-1 (Bhavnagar) Ta. Bhavnagar Dist. Bhavnagar"/>
    <m/>
    <s v="Bhavnagar"/>
    <s v="Bhavnagar"/>
    <s v="Building"/>
    <s v="Anganvadi"/>
    <n v="183942"/>
    <n v="2"/>
    <m/>
    <m/>
    <m/>
    <d v="1900-04-29T00:00:00"/>
    <m/>
    <s v="Yes"/>
    <m/>
    <m/>
    <s v="Equals"/>
    <s v="Zero Rupees Only"/>
    <s v="Division"/>
    <m/>
    <n v="0"/>
    <x v="3"/>
    <n v="0"/>
    <n v="0"/>
    <n v="0"/>
    <m/>
    <m/>
    <m/>
    <m/>
    <m/>
    <m/>
    <n v="0"/>
    <d v="1901-03-25T00:00:00"/>
    <n v="0"/>
    <n v="0"/>
    <d v="1900-02-03T00:00:00"/>
    <d v="1901-01-24T00:00:00"/>
    <m/>
    <m/>
    <m/>
    <m/>
    <m/>
    <m/>
    <m/>
    <m/>
    <m/>
    <m/>
    <m/>
    <m/>
    <m/>
    <m/>
    <m/>
    <m/>
    <m/>
    <m/>
    <m/>
    <m/>
    <m/>
    <m/>
    <m/>
    <m/>
    <m/>
  </r>
  <r>
    <n v="47"/>
    <m/>
    <s v="2025-26"/>
    <n v="3"/>
    <n v="5"/>
    <s v="Construction of Nandghar (Anganvadi) Building at Village Boradi-4 Tal. Mahuva Dist. Bhavnagar"/>
    <m/>
    <s v="Mahuva"/>
    <s v="Mahuva"/>
    <s v="Building"/>
    <s v="Anganvadi"/>
    <n v="183943"/>
    <n v="2"/>
    <d v="2025-05-11T00:00:00"/>
    <d v="2025-05-19T00:00:00"/>
    <m/>
    <d v="2025-09-16T00:00:00"/>
    <n v="1024912.96"/>
    <m/>
    <n v="1006772"/>
    <n v="-1.77"/>
    <s v="Below"/>
    <s v="Ten Lakh Six Thousand Seven Hundred Seventy Two Rupees Only"/>
    <s v="Division"/>
    <m/>
    <n v="1006772"/>
    <x v="14"/>
    <s v="Hareshbhai Punabhai Hadiya"/>
    <s v="At. Kundaliyala, Tal. Rajula, Dist. Amreli"/>
    <n v="8320411442"/>
    <m/>
    <m/>
    <m/>
    <m/>
    <m/>
    <n v="3"/>
    <n v="51000"/>
    <d v="2027-02-09T00:00:00"/>
    <n v="2500"/>
    <n v="0"/>
    <d v="2025-12-21T00:00:00"/>
    <d v="2026-12-11T00:00:00"/>
    <n v="885"/>
    <d v="2025-06-23T00:00:00"/>
    <s v="2025-26"/>
    <n v="83"/>
    <d v="2025-08-18T00:00:00"/>
    <s v="FDR"/>
    <s v="Bank of Baroda"/>
    <s v="95560300010767"/>
    <n v="51000"/>
    <d v="2025-08-12T00:00:00"/>
    <m/>
    <m/>
    <m/>
    <m/>
    <m/>
    <d v="2025-08-18T00:00:00"/>
    <n v="1062"/>
    <d v="2025-08-18T00:00:00"/>
    <m/>
    <m/>
    <m/>
    <m/>
    <m/>
    <m/>
    <m/>
  </r>
  <r>
    <n v="48"/>
    <m/>
    <s v="2025-26"/>
    <n v="3"/>
    <n v="6"/>
    <s v="Construction of Nandghar (Anganvadi) Building at Village Kumbhariya, Ta. Mahuva Dist. Bhavnagar"/>
    <m/>
    <s v="Mahuva"/>
    <s v="Mahuva"/>
    <s v="Building"/>
    <s v="Anganvadi"/>
    <n v="183944"/>
    <n v="2"/>
    <m/>
    <m/>
    <m/>
    <d v="1900-04-29T00:00:00"/>
    <m/>
    <s v="Yes"/>
    <m/>
    <m/>
    <s v="Equals"/>
    <s v="Zero Rupees Only"/>
    <s v="Division"/>
    <m/>
    <n v="0"/>
    <x v="3"/>
    <n v="0"/>
    <n v="0"/>
    <n v="0"/>
    <m/>
    <m/>
    <m/>
    <m/>
    <m/>
    <m/>
    <n v="0"/>
    <d v="1901-03-25T00:00:00"/>
    <n v="0"/>
    <n v="0"/>
    <d v="1900-02-03T00:00:00"/>
    <d v="1901-01-24T00:00:00"/>
    <m/>
    <m/>
    <m/>
    <m/>
    <m/>
    <m/>
    <m/>
    <m/>
    <m/>
    <m/>
    <m/>
    <m/>
    <m/>
    <m/>
    <m/>
    <m/>
    <m/>
    <m/>
    <m/>
    <m/>
    <m/>
    <m/>
    <m/>
    <m/>
    <m/>
  </r>
  <r>
    <n v="49"/>
    <m/>
    <s v="2025-26"/>
    <n v="3"/>
    <n v="7"/>
    <s v="Construction of Nandghar (Anganvadi) Building at Village Mota Khuntavada-2, Ta. Mahuva Dist. Bhavnagar"/>
    <m/>
    <s v="Mahuva"/>
    <s v="Mahuva"/>
    <s v="Building"/>
    <s v="Anganvadi"/>
    <n v="183945"/>
    <n v="2"/>
    <m/>
    <m/>
    <m/>
    <d v="1900-04-29T00:00:00"/>
    <m/>
    <s v="Yes"/>
    <m/>
    <m/>
    <s v="Equals"/>
    <s v="Zero Rupees Only"/>
    <s v="Division"/>
    <m/>
    <n v="0"/>
    <x v="3"/>
    <n v="0"/>
    <n v="0"/>
    <n v="0"/>
    <m/>
    <m/>
    <m/>
    <m/>
    <m/>
    <m/>
    <n v="0"/>
    <d v="1901-03-25T00:00:00"/>
    <n v="0"/>
    <n v="0"/>
    <d v="1900-02-03T00:00:00"/>
    <d v="1901-01-24T00:00:00"/>
    <m/>
    <m/>
    <m/>
    <m/>
    <m/>
    <m/>
    <m/>
    <m/>
    <m/>
    <m/>
    <m/>
    <m/>
    <m/>
    <m/>
    <m/>
    <m/>
    <m/>
    <m/>
    <m/>
    <m/>
    <m/>
    <m/>
    <m/>
    <m/>
    <m/>
  </r>
  <r>
    <n v="50"/>
    <m/>
    <s v="2025-26"/>
    <n v="3"/>
    <n v="8"/>
    <s v="Construction of Nandghar (Anganvadi) Building at Village Titodiya, Ta. Mahuva Dist. Bhavnagar"/>
    <m/>
    <s v="Mahuva"/>
    <s v="Mahuva"/>
    <s v="Building"/>
    <s v="Anganvadi"/>
    <n v="183946"/>
    <n v="2"/>
    <m/>
    <m/>
    <m/>
    <d v="1900-04-29T00:00:00"/>
    <m/>
    <s v="Yes"/>
    <m/>
    <m/>
    <s v="Equals"/>
    <s v="Zero Rupees Only"/>
    <s v="Division"/>
    <m/>
    <n v="0"/>
    <x v="3"/>
    <n v="0"/>
    <n v="0"/>
    <n v="0"/>
    <m/>
    <m/>
    <m/>
    <m/>
    <m/>
    <m/>
    <n v="0"/>
    <d v="1901-03-25T00:00:00"/>
    <n v="0"/>
    <n v="0"/>
    <d v="1900-02-03T00:00:00"/>
    <d v="1901-01-24T00:00:00"/>
    <m/>
    <m/>
    <m/>
    <m/>
    <m/>
    <m/>
    <m/>
    <m/>
    <m/>
    <m/>
    <m/>
    <m/>
    <m/>
    <m/>
    <m/>
    <m/>
    <m/>
    <m/>
    <m/>
    <m/>
    <m/>
    <m/>
    <m/>
    <m/>
    <m/>
  </r>
  <r>
    <n v="51"/>
    <m/>
    <s v="2025-26"/>
    <n v="3"/>
    <n v="9"/>
    <s v="Construction of Nandghar (Anganvadi) Building at Village Gundarani, Ta. Mahuva Dist. Bhavnagar"/>
    <m/>
    <s v="Mahuva"/>
    <s v="Mahuva"/>
    <s v="Building"/>
    <s v="Anganvadi"/>
    <n v="183947"/>
    <n v="2"/>
    <m/>
    <m/>
    <m/>
    <d v="1900-04-29T00:00:00"/>
    <m/>
    <s v="Yes"/>
    <m/>
    <m/>
    <s v="Equals"/>
    <s v="Zero Rupees Only"/>
    <s v="Division"/>
    <m/>
    <n v="0"/>
    <x v="3"/>
    <n v="0"/>
    <n v="0"/>
    <n v="0"/>
    <m/>
    <m/>
    <m/>
    <m/>
    <m/>
    <m/>
    <n v="0"/>
    <d v="1901-03-25T00:00:00"/>
    <n v="0"/>
    <n v="0"/>
    <d v="1900-02-03T00:00:00"/>
    <d v="1901-01-24T00:00:00"/>
    <m/>
    <m/>
    <m/>
    <m/>
    <m/>
    <m/>
    <m/>
    <m/>
    <m/>
    <m/>
    <m/>
    <m/>
    <m/>
    <m/>
    <m/>
    <m/>
    <m/>
    <m/>
    <m/>
    <m/>
    <m/>
    <m/>
    <m/>
    <m/>
    <m/>
  </r>
  <r>
    <n v="52"/>
    <m/>
    <s v="2025-26"/>
    <n v="3"/>
    <n v="10"/>
    <s v="Construction of Nandghar (Anganvadi) Building at Village Malvav-4 Tal. Mahuva Dist. Bhavnagar"/>
    <m/>
    <s v="Mahuva"/>
    <s v="Mahuva"/>
    <s v="Building"/>
    <s v="Anganvadi"/>
    <n v="183948"/>
    <n v="2"/>
    <d v="2025-05-11T00:00:00"/>
    <d v="2025-05-19T00:00:00"/>
    <m/>
    <d v="2025-09-16T00:00:00"/>
    <n v="1024912.96"/>
    <m/>
    <n v="1001749.93"/>
    <n v="-2.2599999999999998"/>
    <s v="Below"/>
    <s v="Ten Lakh One Thousand Seven Hundred Forty Nine Rupees and Ninety Three Paise Only"/>
    <s v="Division"/>
    <m/>
    <n v="1001749.93"/>
    <x v="15"/>
    <s v="JAY DHIRUBHAI BHALIYA"/>
    <s v="Moti Jagdhar, Ta. Mahuva, Bhavnagar-364295"/>
    <n v="8140411024"/>
    <m/>
    <m/>
    <m/>
    <m/>
    <m/>
    <n v="3"/>
    <n v="51000"/>
    <d v="2027-02-09T00:00:00"/>
    <n v="2500"/>
    <n v="0"/>
    <d v="2025-12-21T00:00:00"/>
    <d v="2026-12-11T00:00:00"/>
    <n v="886"/>
    <d v="2025-06-23T00:00:00"/>
    <s v="2025-26"/>
    <n v="92"/>
    <d v="2025-08-18T00:00:00"/>
    <s v="FDR"/>
    <s v="SAURASHTRA GRAMIN BANK"/>
    <n v="78048721869"/>
    <n v="51000"/>
    <d v="2025-07-25T00:00:00"/>
    <m/>
    <m/>
    <m/>
    <m/>
    <m/>
    <d v="2025-08-18T00:00:00"/>
    <n v="1171"/>
    <d v="2025-08-18T00:00:00"/>
    <m/>
    <m/>
    <m/>
    <m/>
    <m/>
    <m/>
    <m/>
  </r>
  <r>
    <n v="53"/>
    <m/>
    <s v="2025-26"/>
    <n v="3"/>
    <n v="11"/>
    <s v="Construction of Nandghar (Anganvadi) Building at Village Mota Malpara, Ta. Mahuva Dist. Bhavnagar"/>
    <m/>
    <s v="Mahuva"/>
    <s v="Mahuva"/>
    <s v="Building"/>
    <s v="Anganvadi"/>
    <n v="183949"/>
    <n v="2"/>
    <m/>
    <m/>
    <m/>
    <d v="1900-04-29T00:00:00"/>
    <m/>
    <s v="Yes"/>
    <m/>
    <m/>
    <s v="Equals"/>
    <s v="Zero Rupees Only"/>
    <s v="Division"/>
    <m/>
    <n v="0"/>
    <x v="3"/>
    <n v="0"/>
    <n v="0"/>
    <n v="0"/>
    <m/>
    <m/>
    <m/>
    <m/>
    <m/>
    <m/>
    <n v="0"/>
    <d v="1901-03-25T00:00:00"/>
    <n v="0"/>
    <n v="0"/>
    <d v="1900-02-03T00:00:00"/>
    <d v="1901-01-24T00:00:00"/>
    <m/>
    <m/>
    <m/>
    <m/>
    <m/>
    <m/>
    <m/>
    <m/>
    <m/>
    <m/>
    <m/>
    <m/>
    <m/>
    <m/>
    <m/>
    <m/>
    <m/>
    <m/>
    <m/>
    <m/>
    <m/>
    <m/>
    <m/>
    <m/>
    <m/>
  </r>
  <r>
    <n v="54"/>
    <m/>
    <s v="2025-26"/>
    <n v="3"/>
    <n v="12"/>
    <s v="Construction of Nandghar (Anganvadi) Building at Village Bagdana-3, Ta. Mahuva Dist. Bhavnagar"/>
    <m/>
    <s v="Mahuva"/>
    <s v="Mahuva"/>
    <s v="Building"/>
    <s v="Anganvadi"/>
    <n v="183950"/>
    <n v="2"/>
    <m/>
    <m/>
    <m/>
    <d v="1900-04-29T00:00:00"/>
    <m/>
    <s v="Yes"/>
    <m/>
    <m/>
    <s v="Equals"/>
    <s v="Zero Rupees Only"/>
    <s v="Division"/>
    <m/>
    <n v="0"/>
    <x v="3"/>
    <n v="0"/>
    <n v="0"/>
    <n v="0"/>
    <m/>
    <m/>
    <m/>
    <m/>
    <m/>
    <m/>
    <n v="0"/>
    <d v="1901-03-25T00:00:00"/>
    <n v="0"/>
    <n v="0"/>
    <d v="1900-02-03T00:00:00"/>
    <d v="1901-01-24T00:00:00"/>
    <m/>
    <m/>
    <m/>
    <m/>
    <m/>
    <m/>
    <m/>
    <m/>
    <m/>
    <m/>
    <m/>
    <m/>
    <m/>
    <m/>
    <m/>
    <m/>
    <m/>
    <m/>
    <m/>
    <m/>
    <m/>
    <m/>
    <m/>
    <m/>
    <m/>
  </r>
  <r>
    <n v="55"/>
    <m/>
    <s v="2025-26"/>
    <n v="3"/>
    <n v="13"/>
    <s v="Construction of Nandghar (Anganvadi) Building at Village Mota Khuntavada-3, Ta. Mahuva Dist. Bhavnagar"/>
    <m/>
    <s v="Mahuva"/>
    <s v="Mahuva"/>
    <s v="Building"/>
    <s v="Anganvadi"/>
    <n v="183953"/>
    <n v="2"/>
    <m/>
    <m/>
    <m/>
    <d v="1900-04-29T00:00:00"/>
    <m/>
    <s v="Yes"/>
    <m/>
    <m/>
    <s v="Equals"/>
    <s v="Zero Rupees Only"/>
    <s v="Division"/>
    <m/>
    <n v="0"/>
    <x v="3"/>
    <n v="0"/>
    <n v="0"/>
    <n v="0"/>
    <m/>
    <m/>
    <m/>
    <m/>
    <m/>
    <m/>
    <n v="0"/>
    <d v="1901-03-25T00:00:00"/>
    <n v="0"/>
    <n v="0"/>
    <d v="1900-02-03T00:00:00"/>
    <d v="1901-01-24T00:00:00"/>
    <m/>
    <m/>
    <m/>
    <m/>
    <m/>
    <m/>
    <m/>
    <m/>
    <m/>
    <m/>
    <m/>
    <m/>
    <m/>
    <m/>
    <m/>
    <m/>
    <m/>
    <m/>
    <m/>
    <m/>
    <m/>
    <m/>
    <m/>
    <m/>
    <m/>
  </r>
  <r>
    <n v="56"/>
    <m/>
    <s v="2025-26"/>
    <n v="3"/>
    <n v="14"/>
    <s v="Construction of Nandghar (Anganvadi) Building at Village Vaghvadarda, Ta. Mahuva Dist. Bhavnagar"/>
    <m/>
    <s v="Mahuva"/>
    <s v="Mahuva"/>
    <s v="Building"/>
    <s v="Anganvadi"/>
    <n v="183954"/>
    <n v="2"/>
    <m/>
    <m/>
    <m/>
    <d v="1900-04-29T00:00:00"/>
    <m/>
    <s v="Yes"/>
    <m/>
    <m/>
    <s v="Equals"/>
    <s v="Zero Rupees Only"/>
    <s v="Division"/>
    <m/>
    <n v="0"/>
    <x v="3"/>
    <n v="0"/>
    <n v="0"/>
    <n v="0"/>
    <m/>
    <m/>
    <m/>
    <m/>
    <m/>
    <m/>
    <n v="0"/>
    <d v="1901-03-25T00:00:00"/>
    <n v="0"/>
    <n v="0"/>
    <d v="1900-02-03T00:00:00"/>
    <d v="1901-01-24T00:00:00"/>
    <m/>
    <m/>
    <m/>
    <m/>
    <m/>
    <m/>
    <m/>
    <m/>
    <m/>
    <m/>
    <m/>
    <m/>
    <m/>
    <m/>
    <m/>
    <m/>
    <m/>
    <m/>
    <m/>
    <m/>
    <m/>
    <m/>
    <m/>
    <m/>
    <m/>
  </r>
  <r>
    <n v="57"/>
    <m/>
    <s v="2025-26"/>
    <n v="3"/>
    <n v="15"/>
    <s v="Construction of Nandghar (Anganvadi) Building at Village Nikol, Ta. Mahuva Dist. Bhavnagar"/>
    <m/>
    <s v="Mahuva"/>
    <s v="Mahuva"/>
    <s v="Building"/>
    <s v="Anganvadi"/>
    <n v="183955"/>
    <n v="2"/>
    <d v="2025-05-11T00:00:00"/>
    <d v="2025-05-19T00:00:00"/>
    <m/>
    <d v="2025-09-16T00:00:00"/>
    <n v="1024912.96"/>
    <m/>
    <n v="1001749.93"/>
    <n v="-2.2599999999999998"/>
    <s v="Below"/>
    <s v="Ten Lakh One Thousand Seven Hundred Forty Nine Rupees and Ninety Three Paise Only"/>
    <s v="Division"/>
    <m/>
    <n v="1001749.93"/>
    <x v="15"/>
    <s v="JAY DHIRUBHAI BHALIYA"/>
    <s v="Moti Jagdhar, Ta. Mahuva, Bhavnagar-364295"/>
    <n v="8140411024"/>
    <m/>
    <m/>
    <m/>
    <m/>
    <m/>
    <n v="3"/>
    <n v="51000"/>
    <d v="2027-02-09T00:00:00"/>
    <n v="2500"/>
    <n v="0"/>
    <d v="2025-12-21T00:00:00"/>
    <d v="2026-12-11T00:00:00"/>
    <n v="887"/>
    <d v="2025-06-23T00:00:00"/>
    <s v="2025-26"/>
    <n v="91"/>
    <d v="2025-08-18T00:00:00"/>
    <s v="FDR"/>
    <s v="SAURASHTRA GRAMIN BANK"/>
    <n v="78048721858"/>
    <n v="51000"/>
    <d v="2025-07-25T00:00:00"/>
    <m/>
    <m/>
    <m/>
    <m/>
    <m/>
    <d v="2025-08-18T00:00:00"/>
    <n v="1170"/>
    <d v="2025-08-18T00:00:00"/>
    <m/>
    <m/>
    <m/>
    <m/>
    <m/>
    <m/>
    <m/>
  </r>
  <r>
    <n v="58"/>
    <m/>
    <s v="2025-26"/>
    <n v="3"/>
    <n v="16"/>
    <s v="Construction of Nandghar (Anganvadi) Building at Village Lusadi, Ta. Mahuva Dist. Bhavnagar"/>
    <m/>
    <s v="Mahuva"/>
    <s v="Mahuva"/>
    <s v="Building"/>
    <s v="Anganvadi"/>
    <n v="183956"/>
    <n v="2"/>
    <m/>
    <m/>
    <m/>
    <d v="1900-04-29T00:00:00"/>
    <m/>
    <s v="Yes"/>
    <m/>
    <m/>
    <s v="Equals"/>
    <s v="Zero Rupees Only"/>
    <s v="Division"/>
    <m/>
    <n v="0"/>
    <x v="3"/>
    <n v="0"/>
    <n v="0"/>
    <n v="0"/>
    <m/>
    <m/>
    <m/>
    <m/>
    <m/>
    <m/>
    <n v="0"/>
    <d v="1901-03-25T00:00:00"/>
    <n v="0"/>
    <n v="0"/>
    <d v="1900-02-03T00:00:00"/>
    <d v="1901-01-24T00:00:00"/>
    <m/>
    <m/>
    <m/>
    <m/>
    <m/>
    <m/>
    <m/>
    <m/>
    <m/>
    <m/>
    <m/>
    <m/>
    <m/>
    <m/>
    <m/>
    <m/>
    <m/>
    <m/>
    <m/>
    <m/>
    <m/>
    <m/>
    <m/>
    <m/>
    <m/>
  </r>
  <r>
    <n v="59"/>
    <m/>
    <s v="2025-26"/>
    <n v="3"/>
    <n v="17"/>
    <s v="Construction of Nandghar (Anganvadi) Building at Village Boradi-1 Tal. Mahuva Dist. Bhavnagar"/>
    <m/>
    <s v="Mahuva"/>
    <s v="Mahuva"/>
    <s v="Building"/>
    <s v="Anganvadi"/>
    <n v="183957"/>
    <n v="2"/>
    <d v="2025-05-11T00:00:00"/>
    <d v="2025-05-19T00:00:00"/>
    <m/>
    <d v="2025-09-16T00:00:00"/>
    <n v="1024912.96"/>
    <m/>
    <n v="1006772"/>
    <n v="-1.77"/>
    <s v="Below"/>
    <s v="Ten Lakh Six Thousand Seven Hundred Seventy Two Rupees Only"/>
    <s v="Division"/>
    <m/>
    <n v="1006772"/>
    <x v="14"/>
    <s v="Hareshbhai Punabhai Hadiya"/>
    <s v="At. Kundaliyala, Tal. Rajula, Dist. Amreli"/>
    <n v="8320411442"/>
    <m/>
    <m/>
    <m/>
    <m/>
    <m/>
    <n v="3"/>
    <n v="51000"/>
    <d v="2027-02-09T00:00:00"/>
    <n v="2500"/>
    <n v="0"/>
    <d v="2025-12-21T00:00:00"/>
    <d v="2026-12-11T00:00:00"/>
    <n v="888"/>
    <d v="2025-06-23T00:00:00"/>
    <s v="2025-26"/>
    <n v="84"/>
    <d v="2025-08-18T00:00:00"/>
    <s v="FDR"/>
    <s v="Bank of Baroda"/>
    <s v="95560300010766"/>
    <n v="51000"/>
    <d v="2025-08-12T00:00:00"/>
    <m/>
    <m/>
    <m/>
    <m/>
    <m/>
    <d v="2025-08-18T00:00:00"/>
    <n v="1063"/>
    <d v="2025-08-18T00:00:00"/>
    <m/>
    <m/>
    <m/>
    <m/>
    <m/>
    <m/>
    <m/>
  </r>
  <r>
    <n v="60"/>
    <m/>
    <s v="2025-26"/>
    <n v="3"/>
    <n v="18"/>
    <s v="Construction of Nandghar (Anganvadi) Building at Village Malvav-3 Tal. Mahuva Dist. Bhavnagar"/>
    <m/>
    <s v="Mahuva"/>
    <s v="Mahuva"/>
    <s v="Building"/>
    <s v="Anganvadi"/>
    <n v="183958"/>
    <n v="2"/>
    <d v="2025-05-11T00:00:00"/>
    <d v="2025-05-19T00:00:00"/>
    <m/>
    <d v="2025-09-16T00:00:00"/>
    <n v="1024912.96"/>
    <m/>
    <n v="1001749.93"/>
    <n v="-2.2599999999999998"/>
    <s v="Below"/>
    <s v="Ten Lakh One Thousand Seven Hundred Forty Nine Rupees and Ninety Three Paise Only"/>
    <s v="Division"/>
    <m/>
    <n v="1001749.93"/>
    <x v="15"/>
    <s v="JAY DHIRUBHAI BHALIYA"/>
    <s v="Moti Jagdhar, Ta. Mahuva, Bhavnagar-364295"/>
    <n v="8140411024"/>
    <m/>
    <m/>
    <m/>
    <m/>
    <m/>
    <n v="3"/>
    <n v="51000"/>
    <d v="2027-02-09T00:00:00"/>
    <n v="2500"/>
    <n v="0"/>
    <d v="2025-12-21T00:00:00"/>
    <d v="2026-12-11T00:00:00"/>
    <n v="889"/>
    <d v="2025-06-23T00:00:00"/>
    <s v="2025-26"/>
    <n v="90"/>
    <d v="2025-08-18T00:00:00"/>
    <s v="FDR"/>
    <s v="SAURASHTRA GRAMIN BANK"/>
    <n v="78048721870"/>
    <n v="51000"/>
    <d v="2025-07-25T00:00:00"/>
    <m/>
    <m/>
    <m/>
    <m/>
    <m/>
    <d v="2025-08-18T00:00:00"/>
    <n v="1169"/>
    <d v="2025-08-18T00:00:00"/>
    <m/>
    <m/>
    <m/>
    <m/>
    <m/>
    <m/>
    <m/>
  </r>
  <r>
    <n v="61"/>
    <m/>
    <s v="2025-26"/>
    <n v="3"/>
    <n v="19"/>
    <s v="Construction of Nandghar (Anganvadi) Building at Village Dudana, Ta. Mahuva Dist. Bhavnagar"/>
    <m/>
    <s v="Mahuva"/>
    <s v="Mahuva"/>
    <s v="Building"/>
    <s v="Anganvadi"/>
    <n v="183959"/>
    <n v="2"/>
    <m/>
    <m/>
    <m/>
    <d v="1900-04-29T00:00:00"/>
    <m/>
    <s v="Yes"/>
    <m/>
    <m/>
    <s v="Equals"/>
    <s v="Zero Rupees Only"/>
    <s v="Division"/>
    <m/>
    <n v="0"/>
    <x v="3"/>
    <n v="0"/>
    <n v="0"/>
    <n v="0"/>
    <m/>
    <m/>
    <m/>
    <m/>
    <m/>
    <m/>
    <n v="0"/>
    <d v="1901-03-25T00:00:00"/>
    <n v="0"/>
    <n v="0"/>
    <d v="1900-02-03T00:00:00"/>
    <d v="1901-01-24T00:00:00"/>
    <m/>
    <m/>
    <m/>
    <m/>
    <m/>
    <m/>
    <m/>
    <m/>
    <m/>
    <m/>
    <m/>
    <m/>
    <m/>
    <m/>
    <m/>
    <m/>
    <m/>
    <m/>
    <m/>
    <m/>
    <m/>
    <m/>
    <m/>
    <m/>
    <m/>
  </r>
  <r>
    <n v="62"/>
    <m/>
    <s v="2025-26"/>
    <n v="4"/>
    <n v="1"/>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3"/>
    <m/>
    <s v="2025-26"/>
    <n v="4"/>
    <n v="2"/>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4"/>
    <m/>
    <s v="2025-26"/>
    <n v="4"/>
    <n v="3"/>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5"/>
    <m/>
    <s v="2025-26"/>
    <n v="4"/>
    <n v="4"/>
    <s v="Construction of Gram Panchayat office (Frame structure) at Village Morchupna Tal. Jesar Dist. Bhavnagar"/>
    <m/>
    <s v="Jesar"/>
    <s v="Mahuva"/>
    <s v="Building"/>
    <s v="Gram Panchayat"/>
    <n v="187879"/>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899"/>
    <d v="2025-06-27T00:00:00"/>
    <s v="2025-26"/>
    <n v="45"/>
    <d v="2025-07-14T00:00:00"/>
    <s v="FDR"/>
    <s v="SAURASHTRA GRAMIN BANK"/>
    <n v="78048407397"/>
    <n v="88000"/>
    <d v="2025-07-07T00:00:00"/>
    <s v="FDR"/>
    <s v="SAURASHTRA GRAMIN BANK"/>
    <n v="78048460248"/>
    <n v="24000"/>
    <d v="2025-07-10T00:00:00"/>
    <d v="2025-07-14T00:00:00"/>
    <n v="949"/>
    <d v="2025-07-14T00:00:00"/>
    <m/>
    <m/>
    <m/>
    <m/>
    <m/>
    <m/>
    <m/>
  </r>
  <r>
    <n v="66"/>
    <m/>
    <s v="2025-26"/>
    <n v="4"/>
    <n v="5"/>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7"/>
    <m/>
    <s v="2025-26"/>
    <n v="4"/>
    <n v="6"/>
    <s v="Construction of Gram Panchayat office (Frame structure) at Village Intiya Tal. Jesar Dist. Bhavnagar"/>
    <m/>
    <s v="Jesar"/>
    <s v="Mahuva"/>
    <s v="Building"/>
    <s v="Gram Panchayat"/>
    <n v="187881"/>
    <n v="1"/>
    <m/>
    <m/>
    <m/>
    <d v="1900-04-29T00:00:00"/>
    <n v="2079935.08"/>
    <m/>
    <n v="1965330.66"/>
    <n v="-5.51"/>
    <s v="Below"/>
    <s v="Nineteen Lakh Sixty Five Thousand Three Hundred Thirty Rupees and Sixty Six Paise Only"/>
    <s v="Division"/>
    <m/>
    <n v="1965330.66"/>
    <x v="17"/>
    <s v="UDAYBHAI RAMKUBHAI LUNSAR"/>
    <s v="Shop No. 5, First Floor, Nilkanth Arcade, Opp. Arjun Tokiz, Palitana Road, Gariyadhar- 364505"/>
    <n v="9824226646"/>
    <m/>
    <m/>
    <m/>
    <m/>
    <m/>
    <n v="4"/>
    <n v="99000"/>
    <d v="2027-03-11T00:00:00"/>
    <n v="4900"/>
    <n v="0"/>
    <d v="2026-01-20T00:00:00"/>
    <d v="2027-01-10T00:00:00"/>
    <n v="900"/>
    <d v="2025-06-27T00:00:00"/>
    <s v="2025-26"/>
    <n v="94"/>
    <d v="2025-08-18T00:00:00"/>
    <s v="FDR"/>
    <s v="SAURASHTRA GRAMIN BANK"/>
    <n v="78048506863"/>
    <n v="99000"/>
    <d v="2025-07-14T00:00:00"/>
    <m/>
    <m/>
    <m/>
    <m/>
    <m/>
    <d v="2025-08-18T00:00:00"/>
    <n v="1173"/>
    <d v="2025-08-18T00:00:00"/>
    <m/>
    <m/>
    <m/>
    <m/>
    <m/>
    <m/>
    <m/>
  </r>
  <r>
    <n v="68"/>
    <m/>
    <s v="2025-26"/>
    <n v="4"/>
    <n v="7"/>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9"/>
    <m/>
    <s v="2025-26"/>
    <n v="4"/>
    <n v="8"/>
    <s v="Construction of Gram Panchayat office (Frame structure) at Village Ranparda (Chok) Tal. Jesar Dist. Bhavnagar"/>
    <m/>
    <s v="Jesar"/>
    <s v="Mahuva"/>
    <s v="Building"/>
    <s v="Gram Panchayat"/>
    <n v="187883"/>
    <n v="1"/>
    <m/>
    <m/>
    <m/>
    <d v="1900-04-29T00:00:00"/>
    <n v="2079935.08"/>
    <m/>
    <n v="1892532.93"/>
    <n v="-9.01"/>
    <s v="Below"/>
    <s v="Eighteen Lakh Ninety Two Thousand Five Hundred Thirty Two Rupees and Ninety Three Paise Only"/>
    <s v="Division"/>
    <m/>
    <n v="1892532.93"/>
    <x v="6"/>
    <s v="CHATURBHAI MOHANBHAI VAGHELA"/>
    <s v="MOTI PANIYALI, Via. Po. SHETRUNJI, Ta. PALITANA, Dist. BHAVNAGAR-364270"/>
    <n v="9925448120"/>
    <m/>
    <s v="CDP-5"/>
    <m/>
    <m/>
    <m/>
    <n v="4"/>
    <n v="95000"/>
    <d v="2027-05-08T00:00:00"/>
    <n v="4700"/>
    <n v="0"/>
    <d v="2026-03-19T00:00:00"/>
    <d v="2027-03-09T00:00:00"/>
    <n v="901"/>
    <d v="2025-06-27T00:00:00"/>
    <s v="2025-26"/>
    <n v="193"/>
    <d v="2025-10-13T00:00:00"/>
    <s v="FDR"/>
    <s v="HDFC Bank"/>
    <s v="50301222159542"/>
    <n v="95000"/>
    <d v="2025-09-26T00:00:00"/>
    <m/>
    <m/>
    <m/>
    <m/>
    <m/>
    <d v="2025-10-15T00:00:00"/>
    <n v="1476"/>
    <d v="2025-10-13T00:00:00"/>
    <m/>
    <m/>
    <m/>
    <m/>
    <m/>
    <m/>
    <m/>
  </r>
  <r>
    <n v="70"/>
    <m/>
    <s v="2025-26"/>
    <n v="4"/>
    <n v="9"/>
    <s v="Construction of Gram Panchayat office (Frame structure) at Village Ranparada (Khara) Tal. Palitana Dist. Bhavnagar"/>
    <m/>
    <s v="Palitana"/>
    <s v="Palitana"/>
    <s v="Building"/>
    <s v="Gram Panchayat"/>
    <n v="187884"/>
    <n v="1"/>
    <m/>
    <m/>
    <m/>
    <d v="1900-04-29T00:00:00"/>
    <n v="2079935.08"/>
    <m/>
    <n v="1965330.66"/>
    <n v="-5.51"/>
    <s v="Below"/>
    <s v="Nineteen Lakh Sixty Five Thousand Three Hundred Thirty Rupees and Sixty Six Paise Only"/>
    <s v="Division"/>
    <m/>
    <n v="1965330.66"/>
    <x v="17"/>
    <s v="UDAYBHAI RAMKUBHAI LUNSAR"/>
    <s v="Shop No. 5, First Floor, Nilkanth Arcade, Opp. Arjun Tokiz, Palitana Road, Gariyadhar- 364505"/>
    <n v="9824226646"/>
    <m/>
    <m/>
    <m/>
    <m/>
    <m/>
    <n v="4"/>
    <n v="99000"/>
    <d v="2027-03-11T00:00:00"/>
    <n v="4900"/>
    <n v="0"/>
    <d v="2026-01-20T00:00:00"/>
    <d v="2027-01-10T00:00:00"/>
    <n v="902"/>
    <d v="2025-06-27T00:00:00"/>
    <s v="2025-26"/>
    <n v="95"/>
    <d v="2025-08-18T00:00:00"/>
    <s v="FDR"/>
    <s v="SAURASHTRA GRAMIN BANK"/>
    <n v="78048506829"/>
    <n v="99000"/>
    <d v="2025-07-14T00:00:00"/>
    <m/>
    <m/>
    <m/>
    <m/>
    <m/>
    <d v="2025-08-18T00:00:00"/>
    <n v="1174"/>
    <d v="2025-08-18T00:00:00"/>
    <m/>
    <m/>
    <m/>
    <m/>
    <m/>
    <m/>
    <m/>
  </r>
  <r>
    <n v="71"/>
    <m/>
    <s v="2025-26"/>
    <n v="4"/>
    <n v="10"/>
    <s v="Construction of Gram Panchayat office (Frame structure) at Village Dudhala Ta. Palitana Dist. Bhavnagar"/>
    <m/>
    <s v="Palitana"/>
    <s v="Palitana"/>
    <s v="Building"/>
    <s v="Gram Panchayat"/>
    <n v="187885"/>
    <n v="1"/>
    <m/>
    <m/>
    <m/>
    <d v="1900-04-29T00:00:00"/>
    <n v="2079935.08"/>
    <m/>
    <n v="1965330.66"/>
    <n v="-5.51"/>
    <s v="Below"/>
    <s v="Nineteen Lakh Sixty Five Thousand Three Hundred Thirty Rupees and Sixty Six Paise Only"/>
    <s v="Division"/>
    <m/>
    <n v="1965330.66"/>
    <x v="17"/>
    <s v="UDAYBHAI RAMKUBHAI LUNSAR"/>
    <s v="Shop No. 5, First Floor, Nilkanth Arcade, Opp. Arjun Tokiz, Palitana Road, Gariyadhar- 364505"/>
    <n v="9824226646"/>
    <m/>
    <m/>
    <m/>
    <m/>
    <m/>
    <n v="4"/>
    <n v="99000"/>
    <d v="2027-03-11T00:00:00"/>
    <n v="4900"/>
    <n v="0"/>
    <d v="2026-01-20T00:00:00"/>
    <d v="2027-01-10T00:00:00"/>
    <n v="903"/>
    <d v="2025-06-27T00:00:00"/>
    <s v="2025-26"/>
    <n v="96"/>
    <d v="2025-08-18T00:00:00"/>
    <s v="FDR"/>
    <s v="SAURASHTRA GRAMIN BANK"/>
    <n v="78048506193"/>
    <n v="99000"/>
    <d v="2025-07-14T00:00:00"/>
    <m/>
    <m/>
    <m/>
    <m/>
    <m/>
    <d v="2025-08-18T00:00:00"/>
    <n v="1175"/>
    <d v="2025-08-18T00:00:00"/>
    <m/>
    <m/>
    <m/>
    <m/>
    <m/>
    <m/>
    <m/>
  </r>
  <r>
    <n v="72"/>
    <m/>
    <s v="2025-26"/>
    <n v="4"/>
    <n v="11"/>
    <s v="Construction of Gram Panchayat office (Frame structure) at Village Moti Rajsthali Tal. Palitana Dist. Bhavnagar"/>
    <m/>
    <s v="Palitana"/>
    <s v="Palitana"/>
    <s v="Building"/>
    <s v="Gram Panchayat"/>
    <n v="187886"/>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904"/>
    <d v="2025-06-27T00:00:00"/>
    <s v="2025-26"/>
    <n v="46"/>
    <d v="2025-07-14T00:00:00"/>
    <s v="FDR"/>
    <s v="SAURASHTRA GRAMIN BANK"/>
    <n v="78048407364"/>
    <n v="88000"/>
    <d v="2025-07-07T00:00:00"/>
    <s v="FDR"/>
    <s v="SAURASHTRA GRAMIN BANK"/>
    <n v="78048459947"/>
    <n v="24000"/>
    <d v="2025-07-10T00:00:00"/>
    <d v="2025-07-14T00:00:00"/>
    <n v="950"/>
    <d v="2025-07-14T00:00:00"/>
    <m/>
    <m/>
    <m/>
    <m/>
    <m/>
    <m/>
    <m/>
  </r>
  <r>
    <n v="73"/>
    <m/>
    <s v="2025-26"/>
    <n v="4"/>
    <n v="12"/>
    <s v="Construction of Gram Panchayat office (Frame structure) at Village Satananes Ta.Palitana Dist. Bhavnagar"/>
    <m/>
    <s v="Palitana"/>
    <s v="Palitana"/>
    <s v="Building"/>
    <s v="Gram Panchayat"/>
    <n v="187887"/>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905"/>
    <d v="2025-06-27T00:00:00"/>
    <s v="2025-26"/>
    <n v="47"/>
    <d v="2025-07-14T00:00:00"/>
    <s v="FDR"/>
    <s v="SAURASHTRA GRAMIN BANK"/>
    <n v="78048407353"/>
    <n v="88000"/>
    <d v="2025-07-07T00:00:00"/>
    <s v="FDR"/>
    <s v="SAURASHTRA GRAMIN BANK"/>
    <n v="78048460306"/>
    <n v="24000"/>
    <d v="2025-07-10T00:00:00"/>
    <d v="2025-07-14T00:00:00"/>
    <n v="951"/>
    <d v="2025-07-14T00:00:00"/>
    <m/>
    <m/>
    <m/>
    <m/>
    <m/>
    <m/>
    <m/>
  </r>
  <r>
    <n v="74"/>
    <m/>
    <s v="2025-26"/>
    <n v="4"/>
    <n v="13"/>
    <s v="Construction of Gram Panchayat office (Frame structure) at Village Chonda Tal. Palitana Dist. Bhavnagar"/>
    <m/>
    <s v="Palitana"/>
    <s v="Palitana"/>
    <s v="Building"/>
    <s v="Gram Panchayat"/>
    <n v="187888"/>
    <n v="1"/>
    <m/>
    <m/>
    <m/>
    <d v="1900-04-29T00:00:00"/>
    <n v="2079935.08"/>
    <m/>
    <n v="1923731.96"/>
    <n v="-7.51"/>
    <s v="Below"/>
    <s v="Nineteen Lakh Twenty Three Thousand Seven Hundred Thirty One Rupees and Ninety Six Paise Only"/>
    <s v="Division"/>
    <m/>
    <n v="1923731.96"/>
    <x v="18"/>
    <s v="SANDIP DINESHBHAI VANZARA"/>
    <s v="Opp. HP PUMP, Palitana Road, Gariyadhar"/>
    <n v="8866209297"/>
    <m/>
    <m/>
    <m/>
    <m/>
    <m/>
    <n v="4"/>
    <n v="97000"/>
    <d v="2027-03-11T00:00:00"/>
    <n v="4800"/>
    <n v="0"/>
    <d v="2026-01-20T00:00:00"/>
    <d v="2027-01-10T00:00:00"/>
    <n v="906"/>
    <d v="2025-06-27T00:00:00"/>
    <s v="2025-26"/>
    <n v="93"/>
    <d v="2025-08-18T00:00:00"/>
    <s v="FDR"/>
    <s v="State Bank of India"/>
    <s v="00000044293876825"/>
    <n v="97000"/>
    <d v="2025-07-19T00:00:00"/>
    <m/>
    <m/>
    <m/>
    <m/>
    <m/>
    <d v="2025-08-18T00:00:00"/>
    <n v="1172"/>
    <d v="2025-08-18T00:00:00"/>
    <m/>
    <m/>
    <m/>
    <m/>
    <m/>
    <m/>
    <m/>
  </r>
  <r>
    <n v="75"/>
    <m/>
    <s v="2025-26"/>
    <n v="4"/>
    <n v="14"/>
    <m/>
    <m/>
    <m/>
    <e v="#N/A"/>
    <s v="Building"/>
    <m/>
    <m/>
    <m/>
    <m/>
    <m/>
    <m/>
    <d v="1900-04-29T00:00:00"/>
    <m/>
    <s v="Yes"/>
    <m/>
    <m/>
    <s v="Equals"/>
    <s v="Zero Rupees Only"/>
    <s v="Division"/>
    <m/>
    <n v="0"/>
    <x v="3"/>
    <n v="0"/>
    <n v="0"/>
    <n v="0"/>
    <m/>
    <m/>
    <m/>
    <m/>
    <m/>
    <m/>
    <n v="0"/>
    <d v="1901-03-25T00:00:00"/>
    <n v="0"/>
    <n v="0"/>
    <d v="1900-02-03T00:00:00"/>
    <d v="1901-01-24T00:00:00"/>
    <m/>
    <m/>
    <m/>
    <m/>
    <m/>
    <m/>
    <m/>
    <m/>
    <m/>
    <m/>
    <m/>
    <m/>
    <m/>
    <m/>
    <m/>
    <m/>
    <m/>
    <m/>
    <m/>
    <m/>
    <m/>
    <m/>
    <m/>
    <m/>
    <m/>
  </r>
  <r>
    <n v="76"/>
    <m/>
    <s v="2025-26"/>
    <n v="4"/>
    <n v="15"/>
    <m/>
    <m/>
    <m/>
    <e v="#N/A"/>
    <s v="Building"/>
    <m/>
    <m/>
    <m/>
    <m/>
    <m/>
    <m/>
    <d v="1900-04-29T00:00:00"/>
    <m/>
    <s v="Yes"/>
    <m/>
    <m/>
    <s v="Equals"/>
    <s v="Zero Rupees Only"/>
    <s v="Division"/>
    <m/>
    <n v="0"/>
    <x v="3"/>
    <n v="0"/>
    <n v="0"/>
    <n v="0"/>
    <m/>
    <m/>
    <m/>
    <m/>
    <m/>
    <m/>
    <n v="0"/>
    <d v="1901-03-25T00:00:00"/>
    <n v="0"/>
    <n v="0"/>
    <d v="1900-02-03T00:00:00"/>
    <d v="1901-01-24T00:00:00"/>
    <m/>
    <m/>
    <m/>
    <m/>
    <m/>
    <m/>
    <m/>
    <m/>
    <m/>
    <m/>
    <m/>
    <m/>
    <m/>
    <m/>
    <m/>
    <m/>
    <m/>
    <m/>
    <m/>
    <m/>
    <m/>
    <m/>
    <m/>
    <m/>
    <m/>
  </r>
  <r>
    <n v="77"/>
    <m/>
    <s v="2025-26"/>
    <n v="4"/>
    <n v="16"/>
    <s v="Construction of Gram Panchayat office (Frame structure) at Village Bhandariya Ta. Palitana Dist. Bhavnagar"/>
    <m/>
    <s v="Palitana"/>
    <s v="Palitana"/>
    <s v="Building"/>
    <s v="Gram Panchayat"/>
    <n v="187891"/>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907"/>
    <d v="2025-06-27T00:00:00"/>
    <s v="2025-26"/>
    <n v="48"/>
    <d v="2025-07-14T00:00:00"/>
    <s v="FDR"/>
    <s v="SAURASHTRA GRAMIN BANK"/>
    <n v="78048407342"/>
    <n v="88000"/>
    <d v="2025-07-07T00:00:00"/>
    <s v="FDR"/>
    <s v="SAURASHTRA GRAMIN BANK"/>
    <n v="78048460328"/>
    <n v="24000"/>
    <d v="2025-07-10T00:00:00"/>
    <d v="2025-07-14T00:00:00"/>
    <n v="952"/>
    <d v="2025-07-14T00:00:00"/>
    <m/>
    <m/>
    <m/>
    <m/>
    <m/>
    <m/>
    <m/>
  </r>
  <r>
    <n v="78"/>
    <m/>
    <s v="2025-26"/>
    <n v="4"/>
    <n v="17"/>
    <m/>
    <m/>
    <m/>
    <e v="#N/A"/>
    <s v="Building"/>
    <m/>
    <m/>
    <m/>
    <m/>
    <m/>
    <m/>
    <d v="1900-04-29T00:00:00"/>
    <m/>
    <s v="Yes"/>
    <m/>
    <m/>
    <s v="Equals"/>
    <s v="Zero Rupees Only"/>
    <s v="Division"/>
    <m/>
    <n v="0"/>
    <x v="3"/>
    <n v="0"/>
    <n v="0"/>
    <n v="0"/>
    <m/>
    <m/>
    <m/>
    <m/>
    <m/>
    <m/>
    <n v="0"/>
    <d v="1901-03-25T00:00:00"/>
    <n v="0"/>
    <n v="0"/>
    <d v="1900-02-03T00:00:00"/>
    <d v="1901-01-24T00:00:00"/>
    <m/>
    <m/>
    <m/>
    <m/>
    <m/>
    <m/>
    <m/>
    <m/>
    <m/>
    <m/>
    <m/>
    <m/>
    <m/>
    <m/>
    <m/>
    <m/>
    <m/>
    <m/>
    <m/>
    <m/>
    <m/>
    <m/>
    <m/>
    <m/>
    <m/>
  </r>
  <r>
    <n v="79"/>
    <m/>
    <s v="2025-26"/>
    <n v="4"/>
    <n v="18"/>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0"/>
    <m/>
    <s v="2025-26"/>
    <n v="4"/>
    <n v="19"/>
    <s v="Construction of Gram Panchayat office (Frame structure) at Village Motishree Tal. Palitana Dist. Bhavnagar"/>
    <m/>
    <s v="Palitana"/>
    <s v="Palitana"/>
    <s v="Building"/>
    <s v="Gram Panchayat"/>
    <n v="187894"/>
    <n v="1"/>
    <m/>
    <m/>
    <m/>
    <d v="1900-04-29T00:00:00"/>
    <n v="2079935.08"/>
    <m/>
    <n v="1923939.95"/>
    <n v="-7.5"/>
    <s v="Below"/>
    <s v="Nineteen Lakh Twenty Three Thousand Nine Hundred Thirty Nine Rupees and Ninety Five Paise Only"/>
    <s v="Division"/>
    <m/>
    <n v="1923939.95"/>
    <x v="17"/>
    <s v="UDAYBHAI RAMKUBHAI LUNSAR"/>
    <s v="Shop No. 5, First Floor, Nilkanth Arcade, Opp. Arjun Tokiz, Palitana Road, Gariyadhar- 364505"/>
    <n v="9824226646"/>
    <m/>
    <m/>
    <m/>
    <m/>
    <m/>
    <n v="4"/>
    <n v="97000"/>
    <d v="2027-03-11T00:00:00"/>
    <n v="4800"/>
    <n v="0"/>
    <d v="2026-01-20T00:00:00"/>
    <d v="2027-01-10T00:00:00"/>
    <n v="908"/>
    <d v="2025-06-27T00:00:00"/>
    <s v="2025-26"/>
    <n v="97"/>
    <d v="2025-08-18T00:00:00"/>
    <s v="FDR"/>
    <s v="SAURASHTRA GRAMIN BANK"/>
    <n v="78048506910"/>
    <n v="97000"/>
    <d v="2025-07-14T00:00:00"/>
    <m/>
    <m/>
    <m/>
    <m/>
    <m/>
    <d v="2025-08-18T00:00:00"/>
    <n v="1176"/>
    <d v="2025-08-18T00:00:00"/>
    <m/>
    <m/>
    <m/>
    <m/>
    <m/>
    <m/>
    <m/>
  </r>
  <r>
    <n v="81"/>
    <m/>
    <s v="2025-26"/>
    <n v="4"/>
    <n v="20"/>
    <s v="Construction of Gram Panchayat office (Frame structure) at Village Dungarpur Tal. Palitana Dist. Bhavnagar"/>
    <m/>
    <s v="Palitana"/>
    <s v="Palitana"/>
    <s v="Building"/>
    <s v="Gram Panchayat"/>
    <n v="187895"/>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909"/>
    <d v="2025-06-27T00:00:00"/>
    <s v="2025-26"/>
    <n v="49"/>
    <d v="2025-07-14T00:00:00"/>
    <s v="FDR"/>
    <s v="SAURASHTRA GRAMIN BANK"/>
    <n v="78048407331"/>
    <n v="88000"/>
    <d v="2025-07-07T00:00:00"/>
    <s v="FDR"/>
    <s v="SAURASHTRA GRAMIN BANK"/>
    <n v="78048460282"/>
    <n v="24000"/>
    <d v="2025-07-10T00:00:00"/>
    <d v="2025-07-14T00:00:00"/>
    <n v="953"/>
    <d v="2025-07-14T00:00:00"/>
    <m/>
    <m/>
    <m/>
    <m/>
    <m/>
    <m/>
    <m/>
  </r>
  <r>
    <n v="82"/>
    <m/>
    <s v="2025-26"/>
    <n v="4"/>
    <n v="21"/>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3"/>
    <m/>
    <s v="2025-26"/>
    <n v="4"/>
    <n v="22"/>
    <s v="Construction of Gram Panchayat office (Frame structure) at Village Nava Sarod Tal. Palitana Dist. Bhavnagar"/>
    <m/>
    <s v="Palitana"/>
    <s v="Palitana"/>
    <s v="Building"/>
    <s v="Gram Panchayat"/>
    <n v="187897"/>
    <n v="1"/>
    <m/>
    <m/>
    <m/>
    <d v="1900-04-29T00:00:00"/>
    <n v="2079935.08"/>
    <m/>
    <n v="1980930.17"/>
    <n v="-4.76"/>
    <s v="Below"/>
    <s v="Nineteen Lakh Eighty Thousand Nine Hundred Thirty Rupees and Seventeen Paise Only"/>
    <s v="Division"/>
    <m/>
    <n v="1980930.17"/>
    <x v="19"/>
    <s v="ASHOKBHAI PARSHOTAMBHAI_x000a_BARAIYA"/>
    <s v="At Lapaliya, Post- Nani Rajsthali, Tal. Palitana - 364270"/>
    <n v="9898775037"/>
    <m/>
    <m/>
    <m/>
    <m/>
    <m/>
    <n v="4"/>
    <n v="100000"/>
    <d v="2027-02-05T00:00:00"/>
    <n v="4900"/>
    <n v="0"/>
    <d v="2025-12-17T00:00:00"/>
    <d v="2026-12-07T00:00:00"/>
    <n v="910"/>
    <d v="2025-06-27T00:00:00"/>
    <m/>
    <m/>
    <m/>
    <m/>
    <m/>
    <m/>
    <m/>
    <m/>
    <m/>
    <m/>
    <m/>
    <m/>
    <m/>
    <d v="2025-07-15T00:00:00"/>
    <m/>
    <m/>
    <m/>
    <m/>
    <m/>
    <m/>
    <m/>
    <m/>
    <m/>
  </r>
  <r>
    <n v="84"/>
    <m/>
    <s v="2025-26"/>
    <n v="4"/>
    <n v="23"/>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5"/>
    <m/>
    <s v="2025-26"/>
    <n v="4"/>
    <n v="24"/>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6"/>
    <m/>
    <s v="2025-26"/>
    <n v="4"/>
    <n v="25"/>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7"/>
    <m/>
    <s v="2025-26"/>
    <n v="4"/>
    <n v="26"/>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8"/>
    <m/>
    <s v="2025-26"/>
    <n v="4"/>
    <n v="27"/>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9"/>
    <m/>
    <s v="2025-26"/>
    <n v="4"/>
    <n v="28"/>
    <s v="Construction of Gram Panchayat office (Frame structure) at Village Bambhaniya Tal. Mahuva Dist. Bhavnagar"/>
    <m/>
    <s v="Mahuva"/>
    <s v="Mahuva"/>
    <s v="Building"/>
    <s v="Gram Panchayat"/>
    <n v="187904"/>
    <n v="1"/>
    <d v="2025-05-18T00:00:00"/>
    <d v="2025-05-26T00:00:00"/>
    <d v="2025-05-27T00:00:00"/>
    <d v="2025-09-23T00:00:00"/>
    <n v="2079935.08"/>
    <m/>
    <n v="1967618.59"/>
    <n v="-5.4"/>
    <s v="Below"/>
    <s v="Nineteen Lakh Sixty Seven Thousand Six Hundred Eighteen Rupees and Fifty Nine Paise Only"/>
    <s v="Division"/>
    <m/>
    <n v="1967618.59"/>
    <x v="20"/>
    <n v="0"/>
    <s v="314, Rise On Plaza, Sarthana Jakatnaka, Surat - 395006"/>
    <n v="9099381567"/>
    <m/>
    <s v="CDP-5"/>
    <m/>
    <m/>
    <m/>
    <n v="4"/>
    <n v="99000"/>
    <d v="2027-06-11T00:00:00"/>
    <n v="4900"/>
    <n v="0"/>
    <d v="2026-04-22T00:00:00"/>
    <d v="2027-04-12T00:00:00"/>
    <n v="911"/>
    <d v="2025-06-27T00:00:00"/>
    <s v="2025-26"/>
    <n v="206"/>
    <d v="2025-11-13T00:00:00"/>
    <s v="FDR"/>
    <s v="State Bank of India"/>
    <n v="44496602672"/>
    <n v="99000"/>
    <d v="2025-09-24T00:00:00"/>
    <m/>
    <m/>
    <m/>
    <m/>
    <m/>
    <d v="2025-11-18T00:00:00"/>
    <n v="1534"/>
    <d v="2025-11-13T00:00:00"/>
    <m/>
    <m/>
    <m/>
    <m/>
    <m/>
    <m/>
    <m/>
  </r>
  <r>
    <n v="90"/>
    <m/>
    <s v="2025-26"/>
    <n v="4"/>
    <n v="29"/>
    <s v="Construction of Gram Panchayat office (Frame structure) at Village Dundas Tal. Mahuva Dist. Bhavnagar"/>
    <m/>
    <s v="Mahuva"/>
    <s v="Mahuva"/>
    <s v="Building"/>
    <s v="Gram Panchayat"/>
    <n v="187905"/>
    <n v="1"/>
    <m/>
    <m/>
    <m/>
    <d v="1900-04-29T00:00:00"/>
    <n v="2079935.08"/>
    <m/>
    <n v="1930179.75"/>
    <n v="-7.2"/>
    <s v="Below"/>
    <s v="Nineteen Lakh Thirty Thousand One Hundred Seventy Nine Rupees and Seventy Five Paise Only"/>
    <s v="Division"/>
    <m/>
    <n v="1930179.75"/>
    <x v="20"/>
    <n v="0"/>
    <s v="314, Rise On Plaza, Sarthana Jakatnaka, Surat - 395006"/>
    <n v="9099381567"/>
    <m/>
    <s v="CDP-5"/>
    <m/>
    <m/>
    <m/>
    <n v="4"/>
    <n v="97000"/>
    <d v="2027-06-11T00:00:00"/>
    <n v="4800"/>
    <n v="0"/>
    <d v="2026-04-22T00:00:00"/>
    <d v="2027-04-12T00:00:00"/>
    <n v="912"/>
    <d v="2025-06-27T00:00:00"/>
    <s v="2025-26"/>
    <n v="207"/>
    <d v="2025-11-13T00:00:00"/>
    <s v="FDR"/>
    <s v="State Bank of India"/>
    <n v="44496676203"/>
    <n v="97000"/>
    <d v="2025-09-24T00:00:00"/>
    <m/>
    <m/>
    <m/>
    <m/>
    <m/>
    <d v="2025-11-18T00:00:00"/>
    <n v="1535"/>
    <d v="2025-11-13T00:00:00"/>
    <m/>
    <m/>
    <m/>
    <m/>
    <m/>
    <m/>
    <m/>
  </r>
  <r>
    <n v="91"/>
    <m/>
    <s v="2025-26"/>
    <n v="4"/>
    <n v="30"/>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2"/>
    <m/>
    <s v="2025-26"/>
    <n v="4"/>
    <n v="31"/>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3"/>
    <m/>
    <s v="2025-26"/>
    <n v="4"/>
    <n v="32"/>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4"/>
    <m/>
    <s v="2025-26"/>
    <n v="4"/>
    <n v="33"/>
    <s v="Construction of Gram Panchayat office (Frame structure) at Village Kotamoi Tal. Jesar Dist. Bhavnagar"/>
    <m/>
    <s v="Jesar"/>
    <s v="Mahuva"/>
    <s v="Building"/>
    <s v="Gram Panchayat"/>
    <n v="187909"/>
    <n v="1"/>
    <m/>
    <m/>
    <m/>
    <d v="1900-04-29T00:00:00"/>
    <n v="2027056.59"/>
    <m/>
    <n v="1844418.79"/>
    <n v="-9.01"/>
    <s v="Below"/>
    <s v="Eighteen Lakh Forty Four Thousand Four Hundred Eighteen Rupees and Seventy Nine Paise Only"/>
    <s v="Division"/>
    <m/>
    <n v="1844418.79"/>
    <x v="6"/>
    <s v="CHATURBHAI MOHANBHAI VAGHELA"/>
    <s v="MOTI PANIYALI, Via. Po. SHETRUNJI, Ta. PALITANA, Dist. BHAVNAGAR-364270"/>
    <n v="9925448120"/>
    <m/>
    <m/>
    <m/>
    <m/>
    <m/>
    <n v="4"/>
    <n v="93000"/>
    <d v="2027-02-05T00:00:00"/>
    <n v="4600"/>
    <n v="0"/>
    <d v="2025-12-17T00:00:00"/>
    <d v="2026-12-07T00:00:00"/>
    <n v="913"/>
    <d v="2025-06-27T00:00:00"/>
    <m/>
    <m/>
    <m/>
    <m/>
    <m/>
    <m/>
    <m/>
    <m/>
    <m/>
    <m/>
    <m/>
    <m/>
    <m/>
    <d v="2025-07-15T00:00:00"/>
    <m/>
    <m/>
    <m/>
    <m/>
    <m/>
    <m/>
    <m/>
    <m/>
    <m/>
  </r>
  <r>
    <n v="95"/>
    <m/>
    <s v="2025-26"/>
    <n v="4"/>
    <n v="34"/>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6"/>
    <m/>
    <s v="2025-26"/>
    <n v="4"/>
    <n v="35"/>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7"/>
    <m/>
    <s v="2025-26"/>
    <n v="4"/>
    <n v="36"/>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8"/>
    <m/>
    <s v="2025-26"/>
    <n v="4"/>
    <n v="37"/>
    <s v="Construction of Gram Panchayat office (Frame structure) at Village Hadamtala Tal.Umrala Dist. Bhavnagar"/>
    <m/>
    <s v="Umrala"/>
    <s v="Vallabhipur"/>
    <s v="Building"/>
    <s v="Gram Panchayat"/>
    <n v="187914"/>
    <n v="1"/>
    <m/>
    <m/>
    <m/>
    <d v="1900-04-29T00:00:00"/>
    <n v="2027056.59"/>
    <m/>
    <n v="1801850.6"/>
    <n v="-11.11"/>
    <s v="Below"/>
    <s v="Eighteen Lakh One Thousand Eight Hundred Fifty Rupees and Six Paise Only"/>
    <s v="Division"/>
    <m/>
    <n v="1801850.6"/>
    <x v="21"/>
    <s v="D. H. Gohil"/>
    <s v="At. Vangadhra, Ta.Umrala, Dist. Bhavnagar"/>
    <n v="8780286268"/>
    <m/>
    <m/>
    <m/>
    <m/>
    <m/>
    <n v="4"/>
    <n v="91000"/>
    <d v="2027-04-03T00:00:00"/>
    <n v="4800"/>
    <n v="5000"/>
    <d v="2026-02-12T00:00:00"/>
    <d v="2027-02-02T00:00:00"/>
    <n v="914"/>
    <d v="2025-06-27T00:00:00"/>
    <s v="2025-26"/>
    <n v="149"/>
    <d v="2025-09-10T00:00:00"/>
    <s v="FDR"/>
    <s v="State Bank of India"/>
    <n v="44412611449"/>
    <n v="91000"/>
    <d v="2025-08-28T00:00:00"/>
    <s v="FDR"/>
    <s v="State Bank of India"/>
    <n v="44412614122"/>
    <n v="5000"/>
    <d v="2025-08-28T00:00:00"/>
    <d v="2025-09-10T00:00:00"/>
    <n v="1293"/>
    <d v="2025-09-10T00:00:00"/>
    <m/>
    <m/>
    <m/>
    <m/>
    <m/>
    <m/>
    <m/>
  </r>
  <r>
    <n v="99"/>
    <m/>
    <s v="2025-26"/>
    <n v="4"/>
    <n v="38"/>
    <m/>
    <m/>
    <m/>
    <e v="#N/A"/>
    <s v="Building"/>
    <m/>
    <m/>
    <m/>
    <m/>
    <m/>
    <m/>
    <d v="1900-04-29T00:00:00"/>
    <m/>
    <s v="Yes"/>
    <m/>
    <m/>
    <s v="Equals"/>
    <s v="Zero Rupees Only"/>
    <s v="Division"/>
    <m/>
    <n v="0"/>
    <x v="3"/>
    <n v="0"/>
    <n v="0"/>
    <n v="0"/>
    <m/>
    <m/>
    <m/>
    <m/>
    <m/>
    <m/>
    <n v="0"/>
    <d v="1901-03-25T00:00:00"/>
    <n v="0"/>
    <n v="0"/>
    <d v="1900-02-03T00:00:00"/>
    <d v="1901-01-24T00:00:00"/>
    <m/>
    <m/>
    <m/>
    <m/>
    <m/>
    <m/>
    <m/>
    <m/>
    <m/>
    <m/>
    <m/>
    <m/>
    <m/>
    <m/>
    <m/>
    <m/>
    <m/>
    <m/>
    <m/>
    <m/>
    <m/>
    <m/>
    <m/>
    <m/>
    <m/>
  </r>
  <r>
    <n v="100"/>
    <m/>
    <s v="2025-26"/>
    <n v="4"/>
    <n v="39"/>
    <s v="Construction of Gram Panchayat office ( for Population from 5000- 10000) at Village Ranghola Tal. Umrala Dist. Bhavnagar"/>
    <m/>
    <s v="Umrala"/>
    <s v="Vallabhipur"/>
    <s v="Building"/>
    <s v="Gram Panchayat"/>
    <n v="187916"/>
    <n v="1"/>
    <m/>
    <m/>
    <m/>
    <d v="1900-04-29T00:00:00"/>
    <n v="2654980.89"/>
    <m/>
    <n v="2389748.2999999998"/>
    <n v="-9.99"/>
    <s v="Below"/>
    <s v="Twenty Three Lakh Eighty Nine Thousand Seven Hundred Forty Eight Rupees and Three Paise Only"/>
    <s v="Division"/>
    <m/>
    <n v="2389748.2999999998"/>
    <x v="21"/>
    <s v="D. H. Gohil"/>
    <s v="At. Vangadhra, Ta.Umrala, Dist. Bhavnagar"/>
    <n v="8780286268"/>
    <m/>
    <m/>
    <m/>
    <m/>
    <m/>
    <n v="4"/>
    <n v="120000"/>
    <d v="2027-02-05T00:00:00"/>
    <n v="5900"/>
    <n v="0"/>
    <d v="2025-12-17T00:00:00"/>
    <d v="2026-12-07T00:00:00"/>
    <n v="915"/>
    <d v="2025-06-27T00:00:00"/>
    <m/>
    <m/>
    <m/>
    <m/>
    <m/>
    <m/>
    <m/>
    <m/>
    <m/>
    <m/>
    <m/>
    <m/>
    <m/>
    <d v="2025-07-15T00:00:00"/>
    <m/>
    <m/>
    <m/>
    <m/>
    <m/>
    <m/>
    <m/>
    <m/>
    <m/>
  </r>
  <r>
    <n v="101"/>
    <m/>
    <s v="2025-26"/>
    <n v="4"/>
    <n v="40"/>
    <m/>
    <m/>
    <m/>
    <e v="#N/A"/>
    <s v="Building"/>
    <m/>
    <m/>
    <m/>
    <m/>
    <m/>
    <m/>
    <d v="1900-04-29T00:00:00"/>
    <m/>
    <s v="Yes"/>
    <m/>
    <m/>
    <s v="Equals"/>
    <s v="Zero Rupees Only"/>
    <s v="Division"/>
    <m/>
    <n v="0"/>
    <x v="3"/>
    <n v="0"/>
    <n v="0"/>
    <n v="0"/>
    <m/>
    <m/>
    <m/>
    <m/>
    <m/>
    <m/>
    <n v="0"/>
    <d v="1901-03-25T00:00:00"/>
    <n v="0"/>
    <n v="0"/>
    <d v="1900-02-03T00:00:00"/>
    <d v="1901-01-24T00:00:00"/>
    <m/>
    <m/>
    <m/>
    <m/>
    <m/>
    <m/>
    <m/>
    <m/>
    <m/>
    <m/>
    <m/>
    <m/>
    <m/>
    <m/>
    <m/>
    <m/>
    <m/>
    <m/>
    <m/>
    <m/>
    <m/>
    <m/>
    <m/>
    <m/>
    <m/>
  </r>
  <r>
    <n v="102"/>
    <m/>
    <s v="2025-26"/>
    <n v="4"/>
    <n v="41"/>
    <m/>
    <m/>
    <m/>
    <e v="#N/A"/>
    <s v="Building"/>
    <m/>
    <m/>
    <m/>
    <m/>
    <m/>
    <m/>
    <d v="1900-04-29T00:00:00"/>
    <m/>
    <s v="Yes"/>
    <m/>
    <m/>
    <s v="Equals"/>
    <s v="Zero Rupees Only"/>
    <s v="Division"/>
    <m/>
    <n v="0"/>
    <x v="3"/>
    <n v="0"/>
    <n v="0"/>
    <n v="0"/>
    <m/>
    <m/>
    <m/>
    <m/>
    <m/>
    <m/>
    <n v="0"/>
    <d v="1901-03-25T00:00:00"/>
    <n v="0"/>
    <n v="0"/>
    <d v="1900-02-03T00:00:00"/>
    <d v="1901-01-24T00:00:00"/>
    <m/>
    <m/>
    <m/>
    <m/>
    <m/>
    <m/>
    <m/>
    <m/>
    <m/>
    <m/>
    <m/>
    <m/>
    <m/>
    <m/>
    <m/>
    <m/>
    <m/>
    <m/>
    <m/>
    <m/>
    <m/>
    <m/>
    <m/>
    <m/>
    <m/>
  </r>
  <r>
    <n v="103"/>
    <m/>
    <s v="2025-26"/>
    <n v="4"/>
    <n v="42"/>
    <s v="Construction of Gram Panchayat office ( for Population from 5000- 10000) at Village Chogath Tal. Umrala Dist. Bhavnagar"/>
    <m/>
    <s v="Umrala"/>
    <s v="Vallabhipur"/>
    <s v="Building"/>
    <s v="Gram Panchayat"/>
    <n v="187919"/>
    <n v="1"/>
    <m/>
    <m/>
    <m/>
    <d v="1900-04-29T00:00:00"/>
    <n v="2654980.89"/>
    <m/>
    <n v="2360012.5099999998"/>
    <n v="-11.11"/>
    <s v="Below"/>
    <s v="Twenty Three Lakh Sixty Thousand Twelve Rupees and Fifty One Paise Only"/>
    <s v="Division"/>
    <m/>
    <n v="2360012.5099999998"/>
    <x v="21"/>
    <s v="D. H. Gohil"/>
    <s v="At. Vangadhra, Ta.Umrala, Dist. Bhavnagar"/>
    <n v="8780286268"/>
    <m/>
    <m/>
    <m/>
    <m/>
    <m/>
    <n v="4"/>
    <n v="119000"/>
    <d v="2027-02-05T00:00:00"/>
    <n v="6200"/>
    <n v="6000"/>
    <d v="2025-12-17T00:00:00"/>
    <d v="2026-12-07T00:00:00"/>
    <n v="916"/>
    <d v="2025-06-27T00:00:00"/>
    <m/>
    <m/>
    <m/>
    <m/>
    <m/>
    <m/>
    <m/>
    <m/>
    <m/>
    <m/>
    <m/>
    <m/>
    <m/>
    <d v="2025-07-15T00:00:00"/>
    <m/>
    <m/>
    <m/>
    <m/>
    <m/>
    <m/>
    <m/>
    <m/>
    <m/>
  </r>
  <r>
    <n v="104"/>
    <m/>
    <s v="2025-26"/>
    <n v="5"/>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89005"/>
    <n v="1"/>
    <m/>
    <m/>
    <m/>
    <d v="1900-04-29T00:00:00"/>
    <m/>
    <s v="Yes"/>
    <m/>
    <m/>
    <s v="Equals"/>
    <s v="Zero Rupees Only"/>
    <s v="Division"/>
    <m/>
    <n v="0"/>
    <x v="3"/>
    <n v="0"/>
    <n v="0"/>
    <n v="0"/>
    <m/>
    <m/>
    <m/>
    <m/>
    <m/>
    <m/>
    <n v="0"/>
    <d v="1901-03-25T00:00:00"/>
    <n v="0"/>
    <n v="0"/>
    <d v="1900-02-03T00:00:00"/>
    <d v="1901-01-24T00:00:00"/>
    <m/>
    <m/>
    <m/>
    <m/>
    <m/>
    <m/>
    <m/>
    <m/>
    <m/>
    <m/>
    <m/>
    <m/>
    <m/>
    <m/>
    <m/>
    <m/>
    <m/>
    <m/>
    <m/>
    <m/>
    <m/>
    <m/>
    <m/>
    <m/>
    <m/>
  </r>
  <r>
    <n v="105"/>
    <m/>
    <s v="2025-26"/>
    <n v="6"/>
    <n v="1"/>
    <s v="Empanelment of Consultancy Services for Identification of Road alignment(ROW) as per revenue Records for Different roads under jurisdiction of R &amp; B (P) Division, Bhavnagar"/>
    <m/>
    <m/>
    <e v="#N/A"/>
    <s v="Consultant"/>
    <m/>
    <m/>
    <n v="1"/>
    <m/>
    <m/>
    <m/>
    <d v="1900-04-29T00:00:00"/>
    <m/>
    <m/>
    <m/>
    <m/>
    <s v="Equals"/>
    <s v="Zero Rupees Only"/>
    <s v="Division"/>
    <m/>
    <n v="0"/>
    <x v="3"/>
    <n v="0"/>
    <n v="0"/>
    <n v="0"/>
    <m/>
    <m/>
    <m/>
    <m/>
    <m/>
    <m/>
    <n v="0"/>
    <d v="1901-03-25T00:00:00"/>
    <n v="0"/>
    <n v="0"/>
    <d v="1900-02-03T00:00:00"/>
    <d v="1901-01-24T00:00:00"/>
    <m/>
    <m/>
    <m/>
    <m/>
    <m/>
    <m/>
    <m/>
    <m/>
    <m/>
    <m/>
    <m/>
    <m/>
    <m/>
    <m/>
    <m/>
    <m/>
    <m/>
    <d v="2025-08-26T00:00:00"/>
    <m/>
    <m/>
    <m/>
    <m/>
    <m/>
    <m/>
    <m/>
  </r>
  <r>
    <n v="106"/>
    <m/>
    <s v="2025-26"/>
    <n v="7"/>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99480"/>
    <n v="2"/>
    <d v="2025-06-28T00:00:00"/>
    <d v="2025-07-07T00:00:00"/>
    <d v="2025-07-08T00:00:00"/>
    <d v="2025-11-04T00:00:00"/>
    <n v="419152057.25"/>
    <m/>
    <m/>
    <m/>
    <s v="Equals"/>
    <s v="Zero Rupees Only"/>
    <s v="Division"/>
    <m/>
    <n v="0"/>
    <x v="3"/>
    <n v="0"/>
    <n v="0"/>
    <n v="0"/>
    <d v="2025-08-06T00:00:00"/>
    <m/>
    <m/>
    <m/>
    <m/>
    <m/>
    <n v="0"/>
    <d v="1903-03-15T00:00:00"/>
    <n v="0"/>
    <n v="0"/>
    <d v="1900-02-03T00:00:00"/>
    <d v="1903-01-14T00:00:00"/>
    <m/>
    <m/>
    <m/>
    <m/>
    <m/>
    <m/>
    <m/>
    <m/>
    <m/>
    <m/>
    <m/>
    <m/>
    <m/>
    <m/>
    <m/>
    <m/>
    <m/>
    <m/>
    <m/>
    <m/>
    <m/>
    <m/>
    <m/>
    <m/>
    <m/>
  </r>
  <r>
    <n v="107"/>
    <m/>
    <s v="2025-26"/>
    <n v="8"/>
    <n v="1"/>
    <s v="Construction of Gram Panchayat office (Frame structure) at Village Karla Tal. Jesar Dist. Bhavnagar"/>
    <m/>
    <s v="Jesar"/>
    <s v="Mahuva"/>
    <s v="Building"/>
    <s v="Gram Panchayat"/>
    <n v="199536"/>
    <n v="2"/>
    <d v="2025-06-29T00:00:00"/>
    <d v="2025-07-10T00:00:00"/>
    <d v="2025-07-11T00:00:00"/>
    <d v="2025-11-07T00:00:00"/>
    <n v="2079935.08"/>
    <m/>
    <n v="2069327.41"/>
    <n v="-0.51"/>
    <s v="Below"/>
    <s v="Twenty Lakh Sixty Nine Thousand Three Hundred Twenty Seven Rupees and Forty One Paise Only"/>
    <s v="Division"/>
    <m/>
    <n v="2069327.41"/>
    <x v="17"/>
    <s v="UDAYBHAI RAMKUBHAI LUNSAR"/>
    <s v="Shop No. 5, First Floor, Nilkanth Arcade, Opp. Arjun Tokiz, Palitana Road, Gariyadhar- 364505"/>
    <n v="9824226646"/>
    <m/>
    <s v="CDP-5"/>
    <m/>
    <m/>
    <m/>
    <n v="4"/>
    <n v="104000"/>
    <d v="2027-04-04T00:00:00"/>
    <n v="5100"/>
    <n v="0"/>
    <d v="2026-02-13T00:00:00"/>
    <d v="2027-02-03T00:00:00"/>
    <n v="1110"/>
    <d v="2025-08-08T00:00:00"/>
    <s v="2025-26"/>
    <n v="154"/>
    <d v="2025-09-11T00:00:00"/>
    <s v="FDR"/>
    <s v="State Bank of India"/>
    <n v="44407033360"/>
    <n v="104000"/>
    <d v="2025-08-30T00:00:00"/>
    <m/>
    <m/>
    <m/>
    <m/>
    <m/>
    <d v="2025-09-11T00:00:00"/>
    <n v="1299"/>
    <d v="2025-09-11T00:00:00"/>
    <m/>
    <m/>
    <m/>
    <m/>
    <m/>
    <m/>
    <m/>
  </r>
  <r>
    <n v="108"/>
    <m/>
    <s v="2025-26"/>
    <n v="8"/>
    <n v="2"/>
    <s v="Construction of Gram Panchayat office (Frame structure) at Village Chiroda Tal. Jesar Dist. Bhavnagar"/>
    <m/>
    <s v="Jesar"/>
    <s v="Mahuva"/>
    <s v="Building"/>
    <s v="Gram Panchayat"/>
    <n v="199539"/>
    <n v="2"/>
    <d v="2025-06-29T00:00:00"/>
    <d v="2025-07-10T00:00:00"/>
    <d v="2025-07-11T00:00:00"/>
    <d v="2025-11-07T00:00:00"/>
    <n v="2079935.08"/>
    <m/>
    <n v="2069327.41"/>
    <n v="-0.51"/>
    <s v="Below"/>
    <s v="Twenty Lakh Sixty Nine Thousand Three Hundred Twenty Seven Rupees and Forty One Paise Only"/>
    <s v="Division"/>
    <m/>
    <n v="2069327.41"/>
    <x v="17"/>
    <s v="UDAYBHAI RAMKUBHAI LUNSAR"/>
    <s v="Shop No. 5, First Floor, Nilkanth Arcade, Opp. Arjun Tokiz, Palitana Road, Gariyadhar- 364505"/>
    <n v="9824226646"/>
    <m/>
    <s v="CDP-5"/>
    <m/>
    <m/>
    <m/>
    <n v="4"/>
    <n v="104000"/>
    <d v="2027-04-04T00:00:00"/>
    <n v="5100"/>
    <n v="0"/>
    <d v="2026-02-13T00:00:00"/>
    <d v="2027-02-03T00:00:00"/>
    <n v="1118"/>
    <d v="2025-08-08T00:00:00"/>
    <s v="2025-26"/>
    <n v="155"/>
    <d v="2025-09-11T00:00:00"/>
    <s v="FDR"/>
    <s v="State Bank of India"/>
    <n v="44407033359"/>
    <n v="104000"/>
    <d v="2025-08-30T00:00:00"/>
    <m/>
    <m/>
    <m/>
    <m/>
    <m/>
    <d v="2025-09-11T00:00:00"/>
    <n v="1300"/>
    <d v="2025-09-11T00:00:00"/>
    <m/>
    <m/>
    <m/>
    <m/>
    <m/>
    <m/>
    <m/>
  </r>
  <r>
    <n v="109"/>
    <m/>
    <s v="2025-26"/>
    <n v="8"/>
    <n v="3"/>
    <s v="Construction of Gram Panchayat office (Frame structure) at Village Shantinagar Tal. Jesar Dist. Bhavnagar"/>
    <m/>
    <s v="Jesar"/>
    <s v="Mahuva"/>
    <s v="Building"/>
    <s v="Gram Panchayat"/>
    <n v="199541"/>
    <n v="2"/>
    <d v="2025-06-29T00:00:00"/>
    <d v="2025-07-10T00:00:00"/>
    <d v="2025-07-11T00:00:00"/>
    <d v="2025-11-07T00:00:00"/>
    <n v="2079935.08"/>
    <m/>
    <n v="2069327.41"/>
    <n v="-0.51"/>
    <s v="Below"/>
    <s v="Twenty Lakh Sixty Nine Thousand Three Hundred Twenty Seven Rupees and Forty One Paise Only"/>
    <s v="Division"/>
    <m/>
    <n v="2069327.41"/>
    <x v="17"/>
    <s v="UDAYBHAI RAMKUBHAI LUNSAR"/>
    <s v="Shop No. 5, First Floor, Nilkanth Arcade, Opp. Arjun Tokiz, Palitana Road, Gariyadhar- 364505"/>
    <n v="9824226646"/>
    <m/>
    <s v="CDP-5"/>
    <m/>
    <m/>
    <m/>
    <n v="4"/>
    <n v="104000"/>
    <d v="2027-04-04T00:00:00"/>
    <n v="5100"/>
    <n v="0"/>
    <d v="2026-02-13T00:00:00"/>
    <d v="2027-02-03T00:00:00"/>
    <n v="1119"/>
    <d v="2025-08-08T00:00:00"/>
    <s v="2025-26"/>
    <n v="156"/>
    <d v="2025-09-11T00:00:00"/>
    <s v="FDR"/>
    <s v="State Bank of India"/>
    <n v="44407033361"/>
    <n v="104000"/>
    <d v="2025-08-30T00:00:00"/>
    <m/>
    <m/>
    <m/>
    <m/>
    <m/>
    <d v="2025-09-11T00:00:00"/>
    <n v="1301"/>
    <d v="2025-09-11T00:00:00"/>
    <m/>
    <m/>
    <m/>
    <m/>
    <m/>
    <m/>
    <m/>
  </r>
  <r>
    <n v="110"/>
    <m/>
    <s v="2025-26"/>
    <n v="8"/>
    <n v="4"/>
    <s v="Construction of Gram Panchayat office (Frame structure) at Village Shevadivadar Tal. Jesar Dist. Bhavnagar"/>
    <m/>
    <s v="Jesar"/>
    <s v="Mahuva"/>
    <s v="Building"/>
    <s v="Gram Panchayat"/>
    <n v="199544"/>
    <n v="2"/>
    <d v="2025-06-29T00:00:00"/>
    <d v="2025-07-10T00:00:00"/>
    <d v="2025-07-11T00:00:00"/>
    <d v="2025-11-07T00:00:00"/>
    <n v="2079935.08"/>
    <m/>
    <n v="1957426.9"/>
    <n v="-5.89"/>
    <s v="Below"/>
    <s v="Nineteen Lakh Fifty Seven Thousand Four Hundred Twenty Six Rupees and Nine Paise Only"/>
    <s v="Division"/>
    <m/>
    <n v="1957426.9"/>
    <x v="22"/>
    <s v="Labhshankar ladhva"/>
    <s v="At Po. Karmadiya, Via Thaliya, Ta. Mahuva, Dist. Bhavnagar - 364145"/>
    <n v="9825445121"/>
    <m/>
    <s v="CDP-5"/>
    <m/>
    <m/>
    <m/>
    <n v="4"/>
    <n v="98000"/>
    <d v="2027-04-24T00:00:00"/>
    <n v="4900"/>
    <n v="0"/>
    <d v="2026-03-05T00:00:00"/>
    <d v="2027-02-23T00:00:00"/>
    <n v="1120"/>
    <d v="2025-08-08T00:00:00"/>
    <s v="2025-26"/>
    <n v="168"/>
    <d v="2025-10-01T00:00:00"/>
    <s v="FDR"/>
    <s v="SAURASHTRA GRAMIN BANK"/>
    <n v="78048996970"/>
    <n v="98000"/>
    <d v="2025-08-18T00:00:00"/>
    <m/>
    <m/>
    <m/>
    <m/>
    <m/>
    <d v="2025-10-01T00:00:00"/>
    <n v="1410"/>
    <d v="2025-10-01T00:00:00"/>
    <m/>
    <m/>
    <m/>
    <m/>
    <m/>
    <m/>
    <m/>
  </r>
  <r>
    <n v="111"/>
    <m/>
    <s v="2025-26"/>
    <n v="8"/>
    <n v="5"/>
    <s v="Construction of Gram Panchayat office (Frame structure) at Village Tol Saladi Chotili Tal. Jesar Dist. Bhavnagar"/>
    <m/>
    <s v="Jesar"/>
    <s v="Mahuva"/>
    <s v="Building"/>
    <s v="Gram Panchayat"/>
    <n v="199545"/>
    <n v="2"/>
    <d v="2025-06-29T00:00:00"/>
    <d v="2025-07-10T00:00:00"/>
    <d v="2025-07-11T00:00:00"/>
    <d v="2025-11-07T00:00:00"/>
    <n v="2079935.08"/>
    <m/>
    <n v="1936627.55"/>
    <n v="-6.89"/>
    <s v="Below"/>
    <s v="Nineteen Lakh Thirty Six Thousand Six Hundred Twenty Seven Rupees and Fifty Five Paise Only"/>
    <s v="Division"/>
    <m/>
    <n v="1936627.55"/>
    <x v="22"/>
    <s v="Labhshankar ladhva"/>
    <s v="At Po. Karmadiya, Via Thaliya, Ta. Mahuva, Dist. Bhavnagar - 364145"/>
    <n v="9825445121"/>
    <m/>
    <s v="CDP-5"/>
    <m/>
    <m/>
    <m/>
    <n v="4"/>
    <n v="97000"/>
    <d v="2027-03-25T00:00:00"/>
    <n v="4800"/>
    <n v="0"/>
    <d v="2026-02-03T00:00:00"/>
    <d v="2027-01-24T00:00:00"/>
    <n v="1124"/>
    <d v="2025-08-08T00:00:00"/>
    <s v="2025-26"/>
    <n v="131"/>
    <d v="2025-09-01T00:00:00"/>
    <s v="FDR"/>
    <s v="SAURASHTRA GRAMIN BANK"/>
    <n v="78048996969"/>
    <n v="97000"/>
    <d v="2025-08-18T00:00:00"/>
    <m/>
    <m/>
    <m/>
    <m/>
    <m/>
    <d v="2025-09-01T00:00:00"/>
    <n v="1239"/>
    <d v="2025-09-01T00:00:00"/>
    <m/>
    <m/>
    <m/>
    <m/>
    <m/>
    <m/>
    <m/>
  </r>
  <r>
    <n v="112"/>
    <m/>
    <s v="2025-26"/>
    <n v="8"/>
    <n v="6"/>
    <s v="Construction of Gram Panchayat office (Frame structure) at Village Senjaliya Ta. Palitana Dist. Bhavnagar"/>
    <m/>
    <s v="Palitana"/>
    <s v="Palitana"/>
    <s v="Building"/>
    <s v="Gram Panchayat"/>
    <n v="199546"/>
    <n v="2"/>
    <d v="2025-06-29T00:00:00"/>
    <d v="2025-07-10T00:00:00"/>
    <d v="2025-07-11T00:00:00"/>
    <d v="2025-11-07T00:00:00"/>
    <n v="2079935.08"/>
    <m/>
    <n v="1954930.98"/>
    <n v="-6.01"/>
    <s v="Below"/>
    <s v="Nineteen Lakh Fifty Four Thousand Nine Hundred Thirty Rupees and Ninety Eight Paise Only"/>
    <s v="Division"/>
    <m/>
    <n v="1954930.98"/>
    <x v="23"/>
    <n v="0"/>
    <s v="Dr. Ambedkar Society, Jamvali Road, Palitana, Dist Bhavnagar"/>
    <n v="9106563480"/>
    <m/>
    <m/>
    <m/>
    <m/>
    <m/>
    <n v="4"/>
    <n v="98000"/>
    <d v="2027-03-08T00:00:00"/>
    <n v="4900"/>
    <n v="0"/>
    <d v="2026-01-17T00:00:00"/>
    <d v="2027-01-07T00:00:00"/>
    <n v="1125"/>
    <d v="2025-08-08T00:00:00"/>
    <m/>
    <m/>
    <m/>
    <m/>
    <m/>
    <m/>
    <m/>
    <m/>
    <m/>
    <m/>
    <m/>
    <m/>
    <m/>
    <d v="2025-08-15T00:00:00"/>
    <m/>
    <m/>
    <m/>
    <m/>
    <m/>
    <m/>
    <m/>
    <m/>
    <m/>
  </r>
  <r>
    <n v="113"/>
    <m/>
    <s v="2025-26"/>
    <n v="8"/>
    <n v="7"/>
    <s v="Construction of Gram Panchayat office (Frame structure) at Village Pithalpur Ta. Palitana Dist. Bhavnagar"/>
    <m/>
    <s v="Palitana"/>
    <s v="Palitana"/>
    <s v="Building"/>
    <s v="Gram Panchayat"/>
    <n v="199547"/>
    <n v="2"/>
    <d v="2025-06-29T00:00:00"/>
    <d v="2025-07-10T00:00:00"/>
    <d v="2025-07-11T00:00:00"/>
    <d v="2025-11-07T00:00:00"/>
    <n v="2079935.08"/>
    <m/>
    <n v="1944531.31"/>
    <n v="-6.51"/>
    <s v="Below"/>
    <s v="Nineteen Lakh Forty Four Thousand Five Hundred Thirty One Rupees and Thirty One Paise Only"/>
    <s v="Division"/>
    <m/>
    <n v="1944531.31"/>
    <x v="16"/>
    <s v="ALIGBHAI LAKHUBHAI BARAL"/>
    <s v="At Bhandariya, Ta. Palitana, Dist. Bhavnagar"/>
    <n v="8780428967"/>
    <m/>
    <s v="CDP-5"/>
    <m/>
    <m/>
    <m/>
    <n v="4"/>
    <n v="98000"/>
    <d v="2027-03-11T00:00:00"/>
    <n v="4900"/>
    <n v="0"/>
    <d v="2026-01-20T00:00:00"/>
    <d v="2027-01-10T00:00:00"/>
    <n v="1126"/>
    <d v="2025-08-08T00:00:00"/>
    <s v="2025-26"/>
    <n v="98"/>
    <d v="2025-08-18T00:00:00"/>
    <s v="FDR"/>
    <s v="SAURASHTRA GRAMIN BANK"/>
    <n v="78048990934"/>
    <n v="98000"/>
    <d v="2025-08-18T00:00:00"/>
    <m/>
    <m/>
    <m/>
    <m/>
    <m/>
    <d v="2025-08-18T00:00:00"/>
    <n v="1178"/>
    <d v="2025-08-18T00:00:00"/>
    <m/>
    <m/>
    <m/>
    <m/>
    <m/>
    <m/>
    <m/>
  </r>
  <r>
    <n v="114"/>
    <m/>
    <s v="2025-26"/>
    <n v="8"/>
    <n v="8"/>
    <s v="Construction of Gram Panchayat office (Frame structure) at Village Nani Paniyali Ta. Palitana Dist. Bhavnagar"/>
    <m/>
    <s v="Palitana"/>
    <s v="Palitana"/>
    <s v="Building"/>
    <s v="Gram Panchayat"/>
    <n v="199552"/>
    <n v="2"/>
    <d v="2025-06-29T00:00:00"/>
    <d v="2025-07-10T00:00:00"/>
    <d v="2025-07-11T00:00:00"/>
    <d v="2025-11-07T00:00:00"/>
    <n v="2079935.08"/>
    <m/>
    <n v="1927475.84"/>
    <n v="-7.33"/>
    <s v="Below"/>
    <s v="Nineteen Lakh Twenty Seven Thousand Four Hundred Seventy Five Rupees and Eighty Four Paise Only"/>
    <s v="Division"/>
    <m/>
    <n v="1927475.84"/>
    <x v="24"/>
    <n v="0"/>
    <s v="Shetrunji Dam, Nani Paniyali, Palitana, Bhavnagar-364270"/>
    <n v="8140303377"/>
    <m/>
    <s v="CDP-5"/>
    <m/>
    <m/>
    <m/>
    <n v="4"/>
    <n v="97000"/>
    <d v="2027-04-24T00:00:00"/>
    <n v="4800"/>
    <n v="0"/>
    <d v="2026-03-05T00:00:00"/>
    <d v="2027-02-23T00:00:00"/>
    <n v="1127"/>
    <d v="2025-08-08T00:00:00"/>
    <s v="2025-26"/>
    <n v="161"/>
    <d v="2025-10-01T00:00:00"/>
    <s v="FDR"/>
    <s v="SAURASHTRA GRAMIN BANK"/>
    <n v="78049078234"/>
    <n v="97000"/>
    <d v="2025-08-25T00:00:00"/>
    <m/>
    <m/>
    <m/>
    <m/>
    <m/>
    <d v="2025-10-01T00:00:00"/>
    <n v="1402"/>
    <d v="2025-10-01T00:00:00"/>
    <m/>
    <m/>
    <m/>
    <m/>
    <m/>
    <m/>
    <m/>
  </r>
  <r>
    <n v="115"/>
    <m/>
    <s v="2025-26"/>
    <n v="8"/>
    <n v="9"/>
    <s v="Construction of Gram Panchayat office (Frame structure) at Village Hanol Ta. Palitana Dist. Bhavnagar"/>
    <m/>
    <s v="Palitana"/>
    <s v="Palitana"/>
    <s v="Building"/>
    <s v="Gram Panchayat"/>
    <n v="199554"/>
    <n v="2"/>
    <d v="2025-06-29T00:00:00"/>
    <d v="2025-07-10T00:00:00"/>
    <d v="2025-07-11T00:00:00"/>
    <d v="2025-11-07T00:00:00"/>
    <n v="2079935.08"/>
    <m/>
    <n v="2012337.19"/>
    <n v="-3.25"/>
    <s v="Below"/>
    <s v="Twenty Lakh Twelve Thousand Three Hundred Thirty Seven Rupees and Nineteen Paise Only"/>
    <s v="Division"/>
    <m/>
    <n v="2012337.19"/>
    <x v="23"/>
    <n v="0"/>
    <s v="Dr. Ambedkar Society, Jamvali Road, Palitana, Dist Bhavnagar"/>
    <n v="9106563480"/>
    <m/>
    <s v="CDP-5"/>
    <m/>
    <m/>
    <m/>
    <n v="4"/>
    <n v="101000"/>
    <d v="2027-05-06T00:00:00"/>
    <n v="5000"/>
    <n v="0"/>
    <d v="2026-03-17T00:00:00"/>
    <d v="2027-03-07T00:00:00"/>
    <n v="1128"/>
    <d v="2025-08-08T00:00:00"/>
    <s v="2025-26"/>
    <n v="192"/>
    <d v="2025-10-13T00:00:00"/>
    <s v="BG"/>
    <s v="Union Bank of India"/>
    <s v="58490GI3D4045925"/>
    <n v="101000"/>
    <d v="2025-10-07T00:00:00"/>
    <m/>
    <m/>
    <m/>
    <m/>
    <m/>
    <d v="2025-10-13T00:00:00"/>
    <n v="1476"/>
    <d v="2025-10-13T00:00:00"/>
    <m/>
    <m/>
    <m/>
    <m/>
    <m/>
    <m/>
    <m/>
  </r>
  <r>
    <n v="116"/>
    <m/>
    <s v="2025-26"/>
    <n v="8"/>
    <n v="10"/>
    <s v="Construction of Gram Panchayat office (Frame structure) at Village Nanimal Tal. Palitana Dist. Bhavnagar"/>
    <m/>
    <s v="Palitana"/>
    <s v="Palitana"/>
    <s v="Building"/>
    <s v="Gram Panchayat"/>
    <n v="199557"/>
    <n v="2"/>
    <d v="2025-06-29T00:00:00"/>
    <d v="2025-07-10T00:00:00"/>
    <d v="2025-07-11T00:00:00"/>
    <d v="2025-11-07T00:00:00"/>
    <n v="2079935.08"/>
    <m/>
    <n v="1944531.31"/>
    <n v="-6.51"/>
    <s v="Below"/>
    <s v="Nineteen Lakh Forty Four Thousand Five Hundred Thirty One Rupees and Thirty One Paise Only"/>
    <s v="Division"/>
    <m/>
    <n v="1944531.31"/>
    <x v="25"/>
    <s v="Narendrasinh Parbatsinh Gohil"/>
    <s v="At Village Rajapara (Thadach), Ta. Palitana, Dist. Bhavnagar - 364270"/>
    <n v="9998577523"/>
    <m/>
    <s v="CDP-5"/>
    <m/>
    <m/>
    <m/>
    <n v="4"/>
    <n v="98000"/>
    <d v="2027-03-26T00:00:00"/>
    <n v="4900"/>
    <n v="0"/>
    <d v="2026-02-04T00:00:00"/>
    <d v="2027-01-25T00:00:00"/>
    <n v="1129"/>
    <d v="2025-08-08T00:00:00"/>
    <s v="2025-26"/>
    <n v="141"/>
    <d v="2025-09-02T00:00:00"/>
    <s v="FDR"/>
    <s v="SAURASHTRA GRAMIN BANK"/>
    <n v="78049041419"/>
    <n v="98000"/>
    <d v="2025-08-21T00:00:00"/>
    <m/>
    <m/>
    <m/>
    <m/>
    <m/>
    <d v="2025-09-02T00:00:00"/>
    <n v="1252"/>
    <d v="2025-09-02T00:00:00"/>
    <m/>
    <m/>
    <m/>
    <m/>
    <m/>
    <m/>
    <m/>
  </r>
  <r>
    <n v="117"/>
    <m/>
    <s v="2025-26"/>
    <n v="8"/>
    <n v="11"/>
    <s v="Construction of Gram Panchayat office (Frame structure) at Village Khadsaliya Tal. Mahuva Dist. Bhavnagar"/>
    <m/>
    <s v="Mahuva"/>
    <s v="Mahuva"/>
    <s v="Building"/>
    <s v="Gram Panchayat"/>
    <n v="199560"/>
    <n v="2"/>
    <d v="2025-06-29T00:00:00"/>
    <d v="2025-07-10T00:00:00"/>
    <d v="2025-07-11T00:00:00"/>
    <d v="2025-11-07T00:00:00"/>
    <n v="2079935.08"/>
    <m/>
    <n v="1989873.89"/>
    <n v="-4.33"/>
    <s v="Below"/>
    <s v="Nineteen Lakh Eighty Nine Thousand Eight Hundred Seventy Three Rupees and Eighty Nine Paise Only"/>
    <s v="Division"/>
    <m/>
    <n v="1989873.89"/>
    <x v="26"/>
    <s v="(1) Batiya Vishalbhai Vinubhai_x000a_(2) Dhandhukiya Umeshbhai "/>
    <s v="At. Dihor, Tana Varal Road, Shak Market, Ta. Talaja, Dist. Bhavnagar-364150"/>
    <n v="9067752267"/>
    <m/>
    <s v="CDP-5"/>
    <m/>
    <m/>
    <m/>
    <n v="4"/>
    <n v="100000"/>
    <d v="2027-03-08T00:00:00"/>
    <n v="4900"/>
    <n v="0"/>
    <d v="2026-01-17T00:00:00"/>
    <d v="2027-01-07T00:00:00"/>
    <n v="1130"/>
    <d v="2025-08-08T00:00:00"/>
    <m/>
    <m/>
    <m/>
    <m/>
    <m/>
    <m/>
    <m/>
    <m/>
    <m/>
    <m/>
    <m/>
    <m/>
    <m/>
    <d v="2025-08-15T00:00:00"/>
    <m/>
    <m/>
    <m/>
    <m/>
    <m/>
    <m/>
    <m/>
    <m/>
    <m/>
  </r>
  <r>
    <n v="118"/>
    <m/>
    <s v="2025-26"/>
    <n v="8"/>
    <n v="1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19"/>
    <m/>
    <s v="2025-26"/>
    <n v="8"/>
    <n v="13"/>
    <s v="Construction of Gram Panchayat office (Frame structure) at Village Lusadi Tal. Mahuva Dist. Bhavnagar"/>
    <m/>
    <s v="Mahuva"/>
    <s v="Mahuva"/>
    <s v="Building"/>
    <s v="Gram Panchayat"/>
    <n v="199563"/>
    <n v="2"/>
    <d v="2025-06-29T00:00:00"/>
    <d v="2025-07-10T00:00:00"/>
    <d v="2025-07-11T00:00:00"/>
    <d v="2025-11-07T00:00:00"/>
    <n v="2079935.08"/>
    <m/>
    <n v="1817863.26"/>
    <n v="-12.6"/>
    <s v="Below"/>
    <s v="Eighteen Lakh Seventeen Thousand Eight Hundred Sixty Three Rupees and Twenty Six Paise Only"/>
    <s v="Division"/>
    <m/>
    <n v="1817863.26"/>
    <x v="27"/>
    <s v="Siddharth Parbatbhai Bed"/>
    <s v="At Hemal, Ta. Jafarabad, Dist. Amreli - 365545"/>
    <n v="9586762457"/>
    <m/>
    <s v="CDP-5"/>
    <m/>
    <m/>
    <m/>
    <n v="4"/>
    <n v="91000"/>
    <d v="2027-04-03T00:00:00"/>
    <n v="5000"/>
    <n v="11000"/>
    <d v="2026-02-12T00:00:00"/>
    <d v="2027-02-02T00:00:00"/>
    <n v="1132"/>
    <d v="2025-08-08T00:00:00"/>
    <s v="2025-26"/>
    <n v="143"/>
    <d v="2025-09-10T00:00:00"/>
    <s v="FDR"/>
    <s v="SAURASHTRA GRAMIN BANK"/>
    <n v="78049184786"/>
    <n v="91000"/>
    <d v="2025-09-03T00:00:00"/>
    <s v="FDR"/>
    <s v="SAURASHTRA GRAMIN BANK"/>
    <n v="78049184797"/>
    <n v="11000"/>
    <d v="2025-09-03T00:00:00"/>
    <d v="2025-09-10T00:00:00"/>
    <n v="1286"/>
    <d v="2025-09-10T00:00:00"/>
    <m/>
    <m/>
    <m/>
    <m/>
    <m/>
    <m/>
    <m/>
  </r>
  <r>
    <n v="120"/>
    <m/>
    <s v="2025-26"/>
    <n v="8"/>
    <n v="14"/>
    <s v="Construction of Gram Panchayat office (Frame structure) at Village Loyanga Tal. Mahuva Dist. Bhavnagar"/>
    <m/>
    <s v="Mahuva"/>
    <s v="Mahuva"/>
    <s v="Building"/>
    <s v="Gram Panchayat"/>
    <n v="199565"/>
    <n v="2"/>
    <d v="2025-06-29T00:00:00"/>
    <d v="2025-07-10T00:00:00"/>
    <d v="2025-07-11T00:00:00"/>
    <d v="2025-11-07T00:00:00"/>
    <n v="2079935.08"/>
    <m/>
    <n v="1916036.2"/>
    <n v="-7.88"/>
    <s v="Below"/>
    <s v="Nineteen Lakh Sixteen Thousand Thirty Six Rupees and Two Paise Only"/>
    <s v="Division"/>
    <m/>
    <n v="1916036.2"/>
    <x v="28"/>
    <n v="0"/>
    <s v="At Bordi, Post - Borda, Ta. Talaja, Dist. Bhavnagar - 364130"/>
    <n v="0"/>
    <m/>
    <s v="CDP-5"/>
    <m/>
    <m/>
    <m/>
    <n v="4"/>
    <n v="96000"/>
    <d v="2027-03-26T00:00:00"/>
    <n v="4800"/>
    <n v="0"/>
    <d v="2026-02-04T00:00:00"/>
    <d v="2027-01-25T00:00:00"/>
    <n v="1121"/>
    <d v="2025-08-08T00:00:00"/>
    <s v="2025-26"/>
    <n v="139"/>
    <d v="2025-09-02T00:00:00"/>
    <s v="FDR"/>
    <s v="Central Bank of India"/>
    <n v="5856182489"/>
    <n v="96000"/>
    <d v="2025-08-18T00:00:00"/>
    <m/>
    <m/>
    <m/>
    <m/>
    <m/>
    <d v="2025-09-02T00:00:00"/>
    <n v="1250"/>
    <d v="2025-09-02T00:00:00"/>
    <m/>
    <m/>
    <m/>
    <m/>
    <m/>
    <m/>
    <m/>
  </r>
  <r>
    <n v="121"/>
    <m/>
    <s v="2025-26"/>
    <n v="8"/>
    <n v="1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22"/>
    <m/>
    <s v="2025-26"/>
    <n v="8"/>
    <n v="16"/>
    <s v="Construction of Gram Panchayat office (Frame structure) at Village Bhaguda-Mahuva Dist. Bhavnagar"/>
    <m/>
    <s v="Mahuva"/>
    <s v="Mahuva"/>
    <s v="Building"/>
    <s v="Gram Panchayat"/>
    <n v="199570"/>
    <n v="2"/>
    <d v="2025-06-29T00:00:00"/>
    <d v="2025-07-10T00:00:00"/>
    <d v="2025-07-11T00:00:00"/>
    <d v="2025-11-07T00:00:00"/>
    <n v="2079935.08"/>
    <m/>
    <n v="1896900.79"/>
    <n v="-8.8000000000000007"/>
    <s v="Below"/>
    <s v="Eighteen Lakh Ninety Six Thousand Nine Hundred Rupees and Seventy Nine Paise Only"/>
    <s v="Division"/>
    <m/>
    <n v="1896900.79"/>
    <x v="29"/>
    <s v="KISHANKUMAR PATABHAI KALSARIYA"/>
    <s v="Survey No. 374 P/A 2-16, Office No. 2, Left side of Entry Gate of Balkrushna Campus, Gir Gadhada Road, At. Una, Taluka Una, Dist. Gir Somnath - 362560"/>
    <n v="9824251035"/>
    <m/>
    <s v="CDP-5"/>
    <m/>
    <m/>
    <m/>
    <n v="4"/>
    <n v="95000"/>
    <d v="2027-03-23T00:00:00"/>
    <n v="4700"/>
    <n v="0"/>
    <d v="2026-02-01T00:00:00"/>
    <d v="2027-01-22T00:00:00"/>
    <n v="1122"/>
    <d v="2025-08-08T00:00:00"/>
    <s v="2025-26"/>
    <n v="122"/>
    <d v="2025-08-30T00:00:00"/>
    <s v="FDR"/>
    <s v="ICICI BANK"/>
    <s v="771613001589"/>
    <n v="95000"/>
    <d v="2025-08-20T00:00:00"/>
    <m/>
    <m/>
    <m/>
    <m/>
    <m/>
    <d v="2025-08-30T00:00:00"/>
    <n v="1227"/>
    <d v="2025-08-30T00:00:00"/>
    <m/>
    <m/>
    <m/>
    <m/>
    <m/>
    <m/>
    <m/>
  </r>
  <r>
    <n v="123"/>
    <m/>
    <s v="2025-26"/>
    <n v="8"/>
    <n v="17"/>
    <s v="Construction of Gram Panchayat office (Frame structure) at Village Kalela Ta. Mahuva Dist. Bhavnagar"/>
    <m/>
    <s v="Mahuva"/>
    <s v="Mahuva"/>
    <s v="Building"/>
    <s v="Gram Panchayat"/>
    <n v="199573"/>
    <n v="2"/>
    <d v="2025-06-29T00:00:00"/>
    <d v="2025-07-10T00:00:00"/>
    <d v="2025-07-11T00:00:00"/>
    <d v="2025-11-07T00:00:00"/>
    <n v="2079935.08"/>
    <m/>
    <n v="2077855.14"/>
    <n v="-0.1"/>
    <s v="Below"/>
    <s v="Twenty Lakh Seventy Seven Thousand Eight Hundred Fifty Five Rupees and Fourteen Paise Only"/>
    <s v="Division"/>
    <m/>
    <n v="2077855.14"/>
    <x v="30"/>
    <s v="Khuman Shivrajbhai Dilubhai"/>
    <s v="52, Lion Shopping Center, Near Kohinoor Hotel, Jafarabad Road, Rajula, Dist. Amreli - 365560"/>
    <n v="9909950650"/>
    <m/>
    <s v="CDP-5"/>
    <m/>
    <m/>
    <m/>
    <n v="4"/>
    <n v="104000"/>
    <d v="2027-03-23T00:00:00"/>
    <n v="5100"/>
    <n v="0"/>
    <d v="2026-02-01T00:00:00"/>
    <d v="2027-01-22T00:00:00"/>
    <n v="1133"/>
    <d v="2025-08-08T00:00:00"/>
    <s v="2025-26"/>
    <n v="120"/>
    <d v="2025-08-30T00:00:00"/>
    <s v="FDR"/>
    <s v="HDFC Bank"/>
    <s v="50301205687021"/>
    <n v="104000"/>
    <d v="2025-08-23T00:00:00"/>
    <m/>
    <m/>
    <m/>
    <m/>
    <m/>
    <d v="2025-08-30T00:00:00"/>
    <n v="1225"/>
    <d v="2025-08-30T00:00:00"/>
    <m/>
    <m/>
    <m/>
    <m/>
    <m/>
    <m/>
    <m/>
  </r>
  <r>
    <n v="124"/>
    <m/>
    <s v="2025-26"/>
    <n v="8"/>
    <n v="18"/>
    <s v="Construction of Gram Panchayat office (Frame structure) at Village Bila Tal. Jesar Dist. Bhavnagar"/>
    <m/>
    <s v="Jesar"/>
    <s v="Mahuva"/>
    <s v="Building"/>
    <s v="Gram Panchayat"/>
    <n v="199575"/>
    <n v="2"/>
    <d v="2025-06-29T00:00:00"/>
    <d v="2025-07-10T00:00:00"/>
    <d v="2025-07-11T00:00:00"/>
    <d v="2025-11-07T00:00:00"/>
    <n v="2027056.59"/>
    <m/>
    <n v="2016718.6"/>
    <n v="-0.51"/>
    <s v="Below"/>
    <s v="Twenty Lakh Sixteen Thousand Seven Hundred Eighteen Rupees and Six Paise Only"/>
    <s v="Division"/>
    <m/>
    <n v="2016718.6"/>
    <x v="17"/>
    <s v="UDAYBHAI RAMKUBHAI LUNSAR"/>
    <s v="Shop No. 5, First Floor, Nilkanth Arcade, Opp. Arjun Tokiz, Palitana Road, Gariyadhar- 364505"/>
    <n v="9824226646"/>
    <m/>
    <s v="CDP-5"/>
    <m/>
    <m/>
    <m/>
    <n v="4"/>
    <n v="101000"/>
    <d v="2027-04-04T00:00:00"/>
    <n v="5000"/>
    <n v="0"/>
    <d v="2026-02-13T00:00:00"/>
    <d v="2027-02-03T00:00:00"/>
    <n v="1134"/>
    <d v="2025-08-08T00:00:00"/>
    <s v="2025-26"/>
    <n v="157"/>
    <d v="2025-09-11T00:00:00"/>
    <s v="FDR"/>
    <s v="State Bank of India"/>
    <n v="44407033356"/>
    <n v="101000"/>
    <d v="2025-08-30T00:00:00"/>
    <m/>
    <m/>
    <m/>
    <m/>
    <m/>
    <d v="2025-09-11T00:00:00"/>
    <n v="1302"/>
    <d v="2025-09-11T00:00:00"/>
    <m/>
    <m/>
    <m/>
    <m/>
    <m/>
    <m/>
    <m/>
  </r>
  <r>
    <n v="125"/>
    <m/>
    <s v="2025-26"/>
    <n v="8"/>
    <n v="19"/>
    <s v="Construction of Gram Panchayat office (Frame structure) at Village Padhiyarka Tal. Mahuva Dist. Bhavnagar"/>
    <m/>
    <s v="Mahuva"/>
    <s v="Mahuva"/>
    <s v="Building"/>
    <s v="Gram Panchayat"/>
    <n v="199577"/>
    <n v="2"/>
    <d v="2025-06-29T00:00:00"/>
    <d v="2025-07-10T00:00:00"/>
    <d v="2025-07-11T00:00:00"/>
    <d v="2025-11-07T00:00:00"/>
    <n v="2027056.59"/>
    <m/>
    <n v="1864689.36"/>
    <n v="-8.01"/>
    <s v="Below"/>
    <s v="Eighteen Lakh Sixty Four Thousand Six Hundred Eighty Nine Rupees and Thirty Six Paise Only"/>
    <s v="Division"/>
    <m/>
    <n v="1864689.36"/>
    <x v="31"/>
    <n v="0"/>
    <s v="Near Gayatri Temple, Veraval Road, Una, Dist. Gir Somnath - 362560"/>
    <n v="7698616111"/>
    <m/>
    <s v="CDP-5"/>
    <m/>
    <m/>
    <m/>
    <n v="4"/>
    <n v="94000"/>
    <d v="2027-04-24T00:00:00"/>
    <n v="4700"/>
    <n v="0"/>
    <d v="2026-03-05T00:00:00"/>
    <d v="2027-02-23T00:00:00"/>
    <n v="1131"/>
    <d v="2025-08-08T00:00:00"/>
    <s v="2025-26"/>
    <n v="162"/>
    <d v="2025-10-01T00:00:00"/>
    <s v="FDR"/>
    <s v="State Bank of India"/>
    <n v="44426507577"/>
    <n v="94000"/>
    <d v="2025-09-01T00:00:00"/>
    <m/>
    <m/>
    <m/>
    <m/>
    <m/>
    <d v="2025-10-01T00:00:00"/>
    <n v="1403"/>
    <d v="2025-10-01T00:00:00"/>
    <m/>
    <m/>
    <m/>
    <m/>
    <m/>
    <m/>
    <m/>
  </r>
  <r>
    <n v="126"/>
    <m/>
    <s v="2025-26"/>
    <n v="8"/>
    <n v="20"/>
    <s v="Construction of Gram Panchayat office (Frame structure) at Village Bhadara Tal. Mahuva Dist. Bhavnagar"/>
    <m/>
    <s v="Mahuva"/>
    <s v="Mahuva"/>
    <s v="Building"/>
    <s v="Gram Panchayat"/>
    <n v="199578"/>
    <n v="2"/>
    <d v="2025-06-29T00:00:00"/>
    <d v="2025-07-10T00:00:00"/>
    <d v="2025-07-11T00:00:00"/>
    <d v="2025-11-07T00:00:00"/>
    <n v="2027056.59"/>
    <m/>
    <n v="1972326.06"/>
    <n v="-2.7"/>
    <s v="Below"/>
    <s v="Nineteen Lakh Seventy Two Thousand Three Hundred Twenty Six Rupees and Six Paise Only"/>
    <s v="Division"/>
    <m/>
    <n v="1972326.06"/>
    <x v="20"/>
    <n v="0"/>
    <s v="314, Rise On Plaza, Sarthana Jakatnaka, Surat - 395006"/>
    <n v="9099381567"/>
    <m/>
    <s v="CDP-5"/>
    <m/>
    <m/>
    <m/>
    <n v="4"/>
    <n v="99000"/>
    <d v="2027-06-11T00:00:00"/>
    <n v="4900"/>
    <n v="0"/>
    <d v="2026-04-22T00:00:00"/>
    <d v="2027-04-12T00:00:00"/>
    <n v="1135"/>
    <d v="2025-08-08T00:00:00"/>
    <s v="2025-26"/>
    <n v="208"/>
    <d v="2025-11-13T00:00:00"/>
    <s v="FDR"/>
    <s v="State Bank of India"/>
    <n v="44496712299"/>
    <n v="99000"/>
    <d v="2025-09-24T00:00:00"/>
    <m/>
    <m/>
    <m/>
    <m/>
    <m/>
    <d v="2025-11-18T00:00:00"/>
    <n v="1536"/>
    <d v="2025-11-13T00:00:00"/>
    <m/>
    <m/>
    <m/>
    <m/>
    <m/>
    <m/>
    <m/>
  </r>
  <r>
    <n v="127"/>
    <m/>
    <s v="2025-26"/>
    <n v="8"/>
    <n v="2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28"/>
    <m/>
    <s v="2025-26"/>
    <n v="8"/>
    <n v="22"/>
    <s v="Construction of Gram Panchayat office (Frame structure) at Village Madhuvan Tal. Talaja Dist. Bhavnagar"/>
    <m/>
    <s v="Talaja"/>
    <s v="Talaja"/>
    <s v="Building"/>
    <s v="Gram Panchayat"/>
    <n v="199581"/>
    <n v="2"/>
    <d v="2025-06-29T00:00:00"/>
    <d v="2025-07-10T00:00:00"/>
    <d v="2025-07-11T00:00:00"/>
    <d v="2025-11-07T00:00:00"/>
    <n v="2027056.59"/>
    <m/>
    <n v="1970704.42"/>
    <n v="-2.78"/>
    <s v="Below"/>
    <s v="Nineteen Lakh Seventy Thousand Seven Hundred Four Rupees and Forty Two Paise Only"/>
    <s v="Division"/>
    <m/>
    <n v="1970704.42"/>
    <x v="32"/>
    <s v="Pratapbhai Lakhubhai Beparia"/>
    <s v="At Lothpur, Ta. Jafarabad, Dist. Amreli - 365540"/>
    <n v="9727987777"/>
    <m/>
    <s v="CDP-5"/>
    <m/>
    <m/>
    <m/>
    <n v="4"/>
    <n v="99000"/>
    <d v="2027-04-04T00:00:00"/>
    <n v="4900"/>
    <n v="0"/>
    <d v="2026-02-13T00:00:00"/>
    <d v="2027-02-03T00:00:00"/>
    <n v="1136"/>
    <d v="2025-08-08T00:00:00"/>
    <s v="2025-26"/>
    <n v="150"/>
    <d v="2025-09-11T00:00:00"/>
    <s v="FDR"/>
    <s v="ICICI BANK"/>
    <s v="162313004875"/>
    <n v="99000"/>
    <d v="2025-08-20T00:00:00"/>
    <m/>
    <m/>
    <m/>
    <m/>
    <m/>
    <d v="2025-09-11T00:00:00"/>
    <n v="1295"/>
    <d v="2025-09-11T00:00:00"/>
    <m/>
    <m/>
    <m/>
    <m/>
    <m/>
    <m/>
    <m/>
  </r>
  <r>
    <n v="129"/>
    <m/>
    <s v="2025-26"/>
    <n v="8"/>
    <n v="23"/>
    <s v="Construction of Gram Panchayat office ( for Population from 5000- 10000) at Village Khadsaliya Tal. Bhavnagar Dist. Bhavnagar"/>
    <m/>
    <s v="Bhavnagar"/>
    <s v="Bhavnagar"/>
    <s v="Building"/>
    <s v="Gram Panchayat"/>
    <n v="199582"/>
    <n v="2"/>
    <d v="2025-06-29T00:00:00"/>
    <d v="2025-07-10T00:00:00"/>
    <d v="2025-07-11T00:00:00"/>
    <d v="2025-11-07T00:00:00"/>
    <n v="2654980.89"/>
    <m/>
    <n v="2468866.73"/>
    <n v="-7.01"/>
    <s v="Below"/>
    <s v="Twenty Four Lakh Sixty Eight Thousand Eight Hundred Sixty Six Rupees and Seventy Three Paise Only"/>
    <s v="Division"/>
    <m/>
    <n v="2468866.73"/>
    <x v="33"/>
    <s v="PARTH Kiritkumar MEHTA"/>
    <s v="Plot No. 1578/I, New Champa Tenament, Divadi Road, Rupani Circle, Bhavnagar - 364002"/>
    <n v="7990934709"/>
    <m/>
    <m/>
    <m/>
    <m/>
    <m/>
    <n v="4"/>
    <n v="124000"/>
    <d v="2027-03-08T00:00:00"/>
    <n v="6100"/>
    <n v="0"/>
    <d v="2026-01-17T00:00:00"/>
    <d v="2027-01-07T00:00:00"/>
    <n v="1137"/>
    <d v="2025-08-08T00:00:00"/>
    <m/>
    <m/>
    <m/>
    <m/>
    <m/>
    <m/>
    <m/>
    <m/>
    <m/>
    <m/>
    <m/>
    <m/>
    <m/>
    <d v="2025-08-15T00:00:00"/>
    <m/>
    <m/>
    <m/>
    <m/>
    <m/>
    <m/>
    <m/>
    <m/>
    <m/>
  </r>
  <r>
    <n v="130"/>
    <m/>
    <s v="2025-26"/>
    <n v="8"/>
    <n v="24"/>
    <s v="Construction of Gram Panchayat office ( for Population from 5000- 10000) at Village Hathab Tal. Bhavangar Dist. Bhavnagar"/>
    <m/>
    <s v="Bhavnagar"/>
    <s v="Bhavnagar"/>
    <s v="Building"/>
    <s v="Gram Panchayat"/>
    <n v="199583"/>
    <n v="2"/>
    <d v="2025-06-29T00:00:00"/>
    <d v="2025-07-10T00:00:00"/>
    <d v="2025-07-11T00:00:00"/>
    <d v="2025-11-07T00:00:00"/>
    <n v="2654980.89"/>
    <m/>
    <n v="2468866.73"/>
    <n v="-7.01"/>
    <s v="Below"/>
    <s v="Twenty Four Lakh Sixty Eight Thousand Eight Hundred Sixty Six Rupees and Seventy Three Paise Only"/>
    <s v="Division"/>
    <m/>
    <n v="2468866.73"/>
    <x v="33"/>
    <s v="PARTH Kiritkumar MEHTA"/>
    <s v="Plot No. 1578/I, New Champa Tenament, Divadi Road, Rupani Circle, Bhavnagar - 364002"/>
    <n v="7990934709"/>
    <m/>
    <s v="DMF"/>
    <m/>
    <m/>
    <m/>
    <n v="4"/>
    <n v="124000"/>
    <d v="2027-06-11T00:00:00"/>
    <n v="6100"/>
    <n v="0"/>
    <d v="2026-04-22T00:00:00"/>
    <d v="2027-04-12T00:00:00"/>
    <n v="1144"/>
    <d v="2025-08-08T00:00:00"/>
    <s v="2025-26"/>
    <n v="209"/>
    <d v="2025-11-13T00:00:00"/>
    <s v="FDR"/>
    <s v="State Bank of India"/>
    <n v="44564243728"/>
    <n v="124500"/>
    <d v="2025-10-17T00:00:00"/>
    <m/>
    <m/>
    <m/>
    <m/>
    <m/>
    <d v="2025-11-18T00:00:00"/>
    <n v="1537"/>
    <d v="2025-11-13T00:00:00"/>
    <m/>
    <m/>
    <m/>
    <m/>
    <m/>
    <m/>
    <m/>
  </r>
  <r>
    <n v="131"/>
    <m/>
    <s v="2025-26"/>
    <n v="8"/>
    <n v="2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2"/>
    <m/>
    <s v="2025-26"/>
    <n v="8"/>
    <n v="26"/>
    <s v="Construction of Gram Panchayat office (Frame structure) at Village Velavadar Taluka: Bhavnagar Dist. Bhavnagar"/>
    <m/>
    <s v="Bhavnagar"/>
    <s v="Bhavnagar"/>
    <s v="Building"/>
    <s v="Gram Panchayat"/>
    <n v="199613"/>
    <m/>
    <d v="2025-06-29T00:00:00"/>
    <d v="2025-07-10T00:00:00"/>
    <d v="2025-07-11T00:00:00"/>
    <d v="2025-11-07T00:00:00"/>
    <n v="2079935.08"/>
    <m/>
    <n v="1897940.76"/>
    <n v="-8.75"/>
    <s v="Below"/>
    <s v="Eighteen Lakh Ninety Seven Thousand Nine Hundred Forty Rupees and Seventy Six Paise Only"/>
    <s v="Division"/>
    <m/>
    <n v="1897940.76"/>
    <x v="34"/>
    <s v="Paresh Lakhabhai Jora"/>
    <s v="At Umba, Taluka - Veraval, Dist. Gir Somnath - 362255"/>
    <n v="9712641067"/>
    <m/>
    <m/>
    <m/>
    <m/>
    <m/>
    <n v="4"/>
    <n v="95000"/>
    <d v="2027-03-08T00:00:00"/>
    <n v="4700"/>
    <n v="0"/>
    <d v="2026-01-17T00:00:00"/>
    <d v="2027-01-07T00:00:00"/>
    <n v="1141"/>
    <d v="2025-08-08T00:00:00"/>
    <m/>
    <m/>
    <m/>
    <m/>
    <m/>
    <m/>
    <m/>
    <m/>
    <m/>
    <m/>
    <m/>
    <m/>
    <m/>
    <d v="2025-08-15T00:00:00"/>
    <m/>
    <m/>
    <m/>
    <m/>
    <m/>
    <m/>
    <m/>
    <m/>
    <m/>
  </r>
  <r>
    <n v="133"/>
    <m/>
    <s v="2025-26"/>
    <n v="8"/>
    <n v="27"/>
    <s v="Construction of Gram Panchayat office (Frame structure) at Village Bhadbhid Taluka: Bhavnagar Dist. Bhavnagar"/>
    <m/>
    <s v="Bhavnagar"/>
    <s v="Bhavnagar"/>
    <s v="Building"/>
    <s v="Gram Panchayat"/>
    <n v="199614"/>
    <m/>
    <d v="2025-06-29T00:00:00"/>
    <d v="2025-07-10T00:00:00"/>
    <d v="2025-07-11T00:00:00"/>
    <d v="2025-11-07T00:00:00"/>
    <n v="2079935.08"/>
    <m/>
    <n v="1973234.41"/>
    <n v="-5.13"/>
    <s v="Below"/>
    <s v="Nineteen Lakh Seventy Three Thousand Two Hundred Thirty Four Rupees and Forty One Paise Only"/>
    <s v="Division"/>
    <m/>
    <n v="1973234.41"/>
    <x v="35"/>
    <s v="(1) Harshad Kalubhai Dungrani_x000a_(2) Lalita Harshad Dungrani"/>
    <s v="G 402, Abhilasha Sky, Gopal Chowk, Nikol, Ahmedabad - 382350"/>
    <n v="9727220227"/>
    <m/>
    <s v="CDP-5"/>
    <m/>
    <m/>
    <m/>
    <n v="4"/>
    <n v="99000"/>
    <d v="2027-04-03T00:00:00"/>
    <n v="4900"/>
    <n v="0"/>
    <d v="2026-02-12T00:00:00"/>
    <d v="2027-02-02T00:00:00"/>
    <n v="1145"/>
    <d v="2025-08-08T00:00:00"/>
    <s v="2025-26"/>
    <n v="145"/>
    <d v="2025-09-10T00:00:00"/>
    <s v="FDR"/>
    <s v="The Kalupur Commercial Co-Op. Bank Ltd."/>
    <s v="2895400010464"/>
    <n v="99000"/>
    <d v="2025-08-20T00:00:00"/>
    <m/>
    <m/>
    <m/>
    <m/>
    <m/>
    <d v="2025-09-10T00:00:00"/>
    <n v="1289"/>
    <d v="2025-09-10T00:00:00"/>
    <m/>
    <m/>
    <m/>
    <m/>
    <m/>
    <m/>
    <m/>
  </r>
  <r>
    <n v="134"/>
    <m/>
    <s v="2025-26"/>
    <n v="8"/>
    <n v="28"/>
    <s v="Construction of Gram Panchayat office (Frame structure) at Village Ganeshgadh Taluka: Bhavnagar Dist. Bhavnagar"/>
    <m/>
    <s v="Bhavnagar"/>
    <s v="Bhavnagar"/>
    <s v="Building"/>
    <s v="Gram Panchayat"/>
    <n v="199616"/>
    <m/>
    <d v="2025-06-29T00:00:00"/>
    <d v="2025-07-10T00:00:00"/>
    <d v="2025-07-11T00:00:00"/>
    <d v="2025-11-07T00:00:00"/>
    <n v="2079935.08"/>
    <m/>
    <n v="1972402.44"/>
    <n v="-5.17"/>
    <s v="Below"/>
    <s v="Nineteen Lakh Seventy Two Thousand Four Hundred Two Rupees and Forty Four Paise Only"/>
    <s v="Division"/>
    <m/>
    <n v="1972402.44"/>
    <x v="35"/>
    <s v="(1) Harshad Kalubhai Dungrani_x000a_(2) Lalita Harshad Dungrani"/>
    <s v="G 402, Abhilasha Sky, Gopal Chowk, Nikol, Ahmedabad - 382350"/>
    <n v="9727220227"/>
    <m/>
    <s v="CDP-5"/>
    <m/>
    <m/>
    <m/>
    <n v="4"/>
    <n v="99000"/>
    <d v="2027-04-03T00:00:00"/>
    <n v="4900"/>
    <n v="0"/>
    <d v="2026-02-12T00:00:00"/>
    <d v="2027-02-02T00:00:00"/>
    <n v="1143"/>
    <d v="2025-08-08T00:00:00"/>
    <s v="2025-26"/>
    <n v="146"/>
    <d v="2025-09-10T00:00:00"/>
    <s v="FDR"/>
    <s v="The Kalupur Commercial Co-Op. Bank Ltd."/>
    <s v="2895400010465"/>
    <n v="99000"/>
    <d v="2025-08-20T00:00:00"/>
    <m/>
    <m/>
    <m/>
    <m/>
    <m/>
    <d v="2025-09-10T00:00:00"/>
    <n v="1290"/>
    <d v="2025-09-10T00:00:00"/>
    <m/>
    <m/>
    <m/>
    <m/>
    <m/>
    <m/>
    <m/>
  </r>
  <r>
    <n v="135"/>
    <m/>
    <s v="2025-26"/>
    <n v="8"/>
    <n v="29"/>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6"/>
    <m/>
    <s v="2025-26"/>
    <n v="8"/>
    <n v="3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7"/>
    <m/>
    <s v="2025-26"/>
    <n v="8"/>
    <n v="3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8"/>
    <m/>
    <s v="2025-26"/>
    <n v="8"/>
    <n v="3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9"/>
    <m/>
    <s v="2025-26"/>
    <n v="8"/>
    <n v="33"/>
    <s v="Construction of Gram Panchayat office (Frame structure) at Village Manvilas Taluka: Gariyadhar Dist. Bhavnagar"/>
    <m/>
    <s v="Gariyadhar"/>
    <s v="Palitana"/>
    <s v="Building"/>
    <s v="Gram Panchayat"/>
    <n v="199628"/>
    <m/>
    <d v="2025-06-29T00:00:00"/>
    <d v="2025-07-10T00:00:00"/>
    <d v="2025-07-11T00:00:00"/>
    <d v="2025-11-07T00:00:00"/>
    <n v="2079935.08"/>
    <m/>
    <n v="1944531.31"/>
    <n v="-6.51"/>
    <s v="Below"/>
    <s v="Nineteen Lakh Forty Four Thousand Five Hundred Thirty One Rupees and Thirty One Paise Only"/>
    <s v="Division"/>
    <m/>
    <n v="1944531.31"/>
    <x v="18"/>
    <s v="SANDIP DINESHBHAI VANZARA"/>
    <s v="Opp. HP PUMP, Palitana Road, Gariyadhar"/>
    <n v="8866209297"/>
    <m/>
    <m/>
    <m/>
    <m/>
    <m/>
    <n v="4"/>
    <n v="98000"/>
    <d v="2027-03-08T00:00:00"/>
    <n v="4900"/>
    <n v="0"/>
    <d v="2026-01-17T00:00:00"/>
    <d v="2027-01-07T00:00:00"/>
    <n v="1138"/>
    <d v="2025-08-08T00:00:00"/>
    <m/>
    <m/>
    <m/>
    <m/>
    <m/>
    <m/>
    <m/>
    <m/>
    <m/>
    <m/>
    <m/>
    <m/>
    <m/>
    <d v="2025-08-15T00:00:00"/>
    <m/>
    <m/>
    <m/>
    <m/>
    <m/>
    <m/>
    <m/>
    <m/>
    <m/>
  </r>
  <r>
    <n v="140"/>
    <m/>
    <s v="2025-26"/>
    <n v="8"/>
    <n v="34"/>
    <s v="Construction of Gram Panchayat office (Frame structure) at Village Panchtobara Taluka: Gariyadhar Dist. Bhavnagar"/>
    <m/>
    <s v="Gariyadhar"/>
    <s v="Palitana"/>
    <s v="Building"/>
    <s v="Gram Panchayat"/>
    <n v="199630"/>
    <m/>
    <d v="2025-06-29T00:00:00"/>
    <d v="2025-07-10T00:00:00"/>
    <d v="2025-07-11T00:00:00"/>
    <d v="2025-11-07T00:00:00"/>
    <n v="2079935.08"/>
    <m/>
    <n v="1909172.41"/>
    <n v="-8.2100000000000009"/>
    <s v="Below"/>
    <s v="Nineteen Lakh Nine Thousand One Hundred Seventy Two Rupees and Forty One Paise Only"/>
    <s v="Division"/>
    <m/>
    <n v="1909172.41"/>
    <x v="18"/>
    <s v="SANDIP DINESHBHAI VANZARA"/>
    <s v="Opp. HP PUMP, Palitana Road, Gariyadhar"/>
    <n v="8866209297"/>
    <m/>
    <m/>
    <m/>
    <m/>
    <m/>
    <n v="4"/>
    <n v="96000"/>
    <d v="2027-03-08T00:00:00"/>
    <n v="4800"/>
    <n v="0"/>
    <d v="2026-01-17T00:00:00"/>
    <d v="2027-01-07T00:00:00"/>
    <n v="1139"/>
    <d v="2025-08-08T00:00:00"/>
    <m/>
    <m/>
    <m/>
    <m/>
    <m/>
    <m/>
    <m/>
    <m/>
    <m/>
    <m/>
    <m/>
    <m/>
    <m/>
    <d v="2025-08-15T00:00:00"/>
    <m/>
    <m/>
    <m/>
    <m/>
    <m/>
    <m/>
    <m/>
    <m/>
    <m/>
  </r>
  <r>
    <n v="141"/>
    <m/>
    <s v="2025-26"/>
    <n v="8"/>
    <n v="3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2"/>
    <m/>
    <s v="2025-26"/>
    <n v="8"/>
    <n v="36"/>
    <s v="Construction of Gram Panchayat office (Frame structure) at Village Mangadh Taluka:Gariyadhar Dist. Bhavnagar"/>
    <m/>
    <s v="Gariyadhar"/>
    <s v="Palitana"/>
    <s v="Building"/>
    <s v="Gram Panchayat"/>
    <n v="199632"/>
    <m/>
    <d v="2025-06-29T00:00:00"/>
    <d v="2025-07-10T00:00:00"/>
    <d v="2025-07-11T00:00:00"/>
    <d v="2025-11-07T00:00:00"/>
    <n v="2079935.08"/>
    <m/>
    <n v="1872149.57"/>
    <n v="-9.99"/>
    <s v="Below"/>
    <s v="Eighteen Lakh Seventy Two Thousand One Hundred Forty Nine Rupees and Fifty Seven Paise Only"/>
    <s v="Division"/>
    <m/>
    <n v="1872149.57"/>
    <x v="36"/>
    <s v="Kanubhai Nagbhai Sandsur"/>
    <s v="Shop No. 6, Nilkanth Shopping, Opp. S.T. Workshop, Gariyadhar, Dist. Bhavnagar - 364505"/>
    <n v="9574555050"/>
    <m/>
    <m/>
    <m/>
    <m/>
    <m/>
    <n v="4"/>
    <n v="94000"/>
    <d v="2027-03-22T00:00:00"/>
    <n v="4700"/>
    <n v="0"/>
    <d v="2026-01-31T00:00:00"/>
    <d v="2027-01-21T00:00:00"/>
    <n v="1142"/>
    <d v="2025-08-08T00:00:00"/>
    <s v="2025-26"/>
    <n v="118"/>
    <d v="2025-08-29T00:00:00"/>
    <s v="FDR"/>
    <s v="State Bank of India"/>
    <n v="44406538780"/>
    <n v="94000"/>
    <d v="2025-08-26T00:00:00"/>
    <m/>
    <m/>
    <m/>
    <m/>
    <m/>
    <d v="2025-08-29T00:00:00"/>
    <n v="1221"/>
    <d v="2025-08-29T00:00:00"/>
    <m/>
    <m/>
    <m/>
    <m/>
    <m/>
    <m/>
    <m/>
  </r>
  <r>
    <n v="143"/>
    <m/>
    <s v="2025-26"/>
    <n v="8"/>
    <n v="37"/>
    <s v="Construction of Gram Panchayat office (Frame structure) at Village Gujarada Taluka: Gariyadhar Dist. Bhavnagar"/>
    <m/>
    <s v="Gariyadhar"/>
    <s v="Palitana"/>
    <s v="Building"/>
    <s v="Gram Panchayat"/>
    <n v="199634"/>
    <m/>
    <d v="2025-06-29T00:00:00"/>
    <d v="2025-07-10T00:00:00"/>
    <d v="2025-07-11T00:00:00"/>
    <d v="2025-11-07T00:00:00"/>
    <n v="2079935.08"/>
    <m/>
    <n v="1909172.41"/>
    <n v="-8.2100000000000009"/>
    <s v="Below"/>
    <s v="Nineteen Lakh Nine Thousand One Hundred Seventy Two Rupees and Forty One Paise Only"/>
    <s v="Division"/>
    <m/>
    <n v="1909172.41"/>
    <x v="18"/>
    <s v="SANDIP DINESHBHAI VANZARA"/>
    <s v="Opp. HP PUMP, Palitana Road, Gariyadhar"/>
    <n v="8866209297"/>
    <m/>
    <m/>
    <m/>
    <m/>
    <m/>
    <n v="4"/>
    <n v="96000"/>
    <d v="2027-03-08T00:00:00"/>
    <n v="4800"/>
    <n v="0"/>
    <d v="2026-01-17T00:00:00"/>
    <d v="2027-01-07T00:00:00"/>
    <n v="1140"/>
    <d v="2025-08-08T00:00:00"/>
    <m/>
    <m/>
    <m/>
    <m/>
    <m/>
    <m/>
    <m/>
    <m/>
    <m/>
    <m/>
    <m/>
    <m/>
    <m/>
    <d v="2025-08-15T00:00:00"/>
    <m/>
    <m/>
    <m/>
    <m/>
    <m/>
    <m/>
    <m/>
    <m/>
    <m/>
  </r>
  <r>
    <n v="144"/>
    <m/>
    <s v="2025-26"/>
    <n v="8"/>
    <n v="38"/>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5"/>
    <m/>
    <s v="2025-26"/>
    <n v="8"/>
    <n v="39"/>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6"/>
    <m/>
    <s v="2025-26"/>
    <n v="8"/>
    <n v="4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7"/>
    <m/>
    <s v="2025-26"/>
    <n v="8"/>
    <n v="4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8"/>
    <m/>
    <s v="2025-26"/>
    <n v="8"/>
    <n v="42"/>
    <s v="Construction of Gram Panchayat office (Frame structure) at Village Kharadi Taluka: Gariyadhar Dist. Bhavnagar"/>
    <m/>
    <s v="Gariyadhar"/>
    <s v="Palitana"/>
    <s v="Building"/>
    <s v="Gram Panchayat"/>
    <n v="199640"/>
    <m/>
    <d v="2025-06-29T00:00:00"/>
    <d v="2025-07-10T00:00:00"/>
    <d v="2025-07-11T00:00:00"/>
    <d v="2025-11-07T00:00:00"/>
    <n v="2079935.08"/>
    <m/>
    <n v="1932051.7"/>
    <n v="-7.11"/>
    <s v="Below"/>
    <s v="Nineteen Lakh Thirty Two Thousand Fifty One Rupees and Seven Paise Only"/>
    <s v="Division"/>
    <m/>
    <n v="1932051.7"/>
    <x v="36"/>
    <s v="Kanubhai Nagbhai Sandsur"/>
    <s v="Shop No. 6, Nilkanth Shopping, Opp. S.T. Workshop, Gariyadhar, Dist. Bhavnagar - 364505"/>
    <n v="9574555050"/>
    <m/>
    <m/>
    <m/>
    <m/>
    <m/>
    <n v="4"/>
    <n v="97000"/>
    <d v="2027-03-22T00:00:00"/>
    <n v="4800"/>
    <n v="0"/>
    <d v="2026-01-31T00:00:00"/>
    <d v="2027-01-21T00:00:00"/>
    <n v="1099"/>
    <d v="2025-08-08T00:00:00"/>
    <s v="2025-26"/>
    <n v="119"/>
    <d v="2025-08-29T00:00:00"/>
    <s v="FDR"/>
    <s v="State Bank of India"/>
    <n v="44406429679"/>
    <n v="97000"/>
    <d v="2025-08-26T00:00:00"/>
    <m/>
    <m/>
    <m/>
    <m/>
    <m/>
    <d v="2025-08-29T00:00:00"/>
    <n v="1222"/>
    <d v="2025-08-29T00:00:00"/>
    <m/>
    <m/>
    <m/>
    <m/>
    <m/>
    <m/>
    <m/>
  </r>
  <r>
    <n v="149"/>
    <m/>
    <s v="2025-26"/>
    <n v="8"/>
    <n v="43"/>
    <s v="Construction of Gram Panchayat office (Frame structure) at Village Garibpura Taluka: Gariyadhar Dist. Bhavnagar"/>
    <m/>
    <s v="Gariyadhar"/>
    <s v="Palitana"/>
    <s v="Building"/>
    <s v="Gram Panchayat"/>
    <n v="199641"/>
    <m/>
    <d v="2025-06-29T00:00:00"/>
    <d v="2025-07-10T00:00:00"/>
    <d v="2025-07-11T00:00:00"/>
    <d v="2025-11-07T00:00:00"/>
    <n v="2079935.08"/>
    <m/>
    <n v="1916036.2"/>
    <n v="-7.88"/>
    <s v="Below"/>
    <s v="Nineteen Lakh Sixteen Thousand Thirty Six Rupees and Two Paise Only"/>
    <s v="Division"/>
    <m/>
    <n v="1916036.2"/>
    <x v="37"/>
    <s v="Sanjaysinh Rajendrasinh Gohil"/>
    <s v="184, Darbar Street, Wadi Area, Navagam (Nana) Ta. Ghogha. Dist. Bhavnagar"/>
    <n v="9624751929"/>
    <m/>
    <m/>
    <m/>
    <m/>
    <m/>
    <n v="4"/>
    <n v="96000"/>
    <d v="2027-03-08T00:00:00"/>
    <n v="4800"/>
    <n v="0"/>
    <d v="2026-01-17T00:00:00"/>
    <d v="2027-01-07T00:00:00"/>
    <n v="1090"/>
    <d v="2025-08-07T00:00:00"/>
    <m/>
    <m/>
    <m/>
    <m/>
    <m/>
    <m/>
    <m/>
    <m/>
    <m/>
    <m/>
    <m/>
    <m/>
    <m/>
    <d v="2025-08-15T00:00:00"/>
    <m/>
    <m/>
    <m/>
    <m/>
    <m/>
    <m/>
    <m/>
    <m/>
    <m/>
  </r>
  <r>
    <n v="150"/>
    <m/>
    <s v="2025-26"/>
    <n v="8"/>
    <n v="44"/>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51"/>
    <m/>
    <s v="2025-26"/>
    <n v="8"/>
    <n v="45"/>
    <s v="Construction of Gram Panchayat office (Frame structure) at Village Lakhanka Taluka: Ghogha Dist. Bhavnagar"/>
    <m/>
    <s v="Ghogha"/>
    <s v="Bhavnagar"/>
    <s v="Building"/>
    <s v="Gram Panchayat"/>
    <n v="199644"/>
    <m/>
    <d v="2025-06-29T00:00:00"/>
    <d v="2025-07-10T00:00:00"/>
    <d v="2025-07-11T00:00:00"/>
    <d v="2025-11-07T00:00:00"/>
    <n v="2079935.08"/>
    <m/>
    <n v="2036048.45"/>
    <n v="-2.11"/>
    <s v="Below"/>
    <s v="Twenty Lakh Thirty Six Thousand Forty Eight Rupees and Forty Five Paise Only"/>
    <s v="Division"/>
    <m/>
    <n v="2036048.45"/>
    <x v="33"/>
    <s v="PARTH Kiritkumar MEHTA"/>
    <s v="Plot No. 1578/I, New Champa Tenament, Divadi Road, Rupani Circle, Bhavnagar - 364002"/>
    <n v="7990934709"/>
    <m/>
    <s v="CDP-5"/>
    <m/>
    <m/>
    <m/>
    <n v="4"/>
    <n v="102000"/>
    <d v="2027-03-08T00:00:00"/>
    <n v="5000"/>
    <n v="0"/>
    <d v="2026-01-17T00:00:00"/>
    <d v="2027-01-07T00:00:00"/>
    <n v="1089"/>
    <d v="2025-08-07T00:00:00"/>
    <m/>
    <m/>
    <m/>
    <m/>
    <m/>
    <m/>
    <m/>
    <m/>
    <m/>
    <m/>
    <m/>
    <m/>
    <m/>
    <d v="2025-08-15T00:00:00"/>
    <m/>
    <m/>
    <m/>
    <m/>
    <m/>
    <m/>
    <m/>
    <m/>
    <m/>
  </r>
  <r>
    <n v="152"/>
    <m/>
    <s v="2025-26"/>
    <n v="8"/>
    <n v="46"/>
    <s v="Construction of Gram Panchayat office (Frame structure) at Village Kankot Taluka: Ghogha Dist. Bhavnagar"/>
    <m/>
    <s v="Ghogha"/>
    <s v="Bhavnagar"/>
    <s v="Building"/>
    <s v="Gram Panchayat"/>
    <n v="199645"/>
    <m/>
    <d v="2025-06-29T00:00:00"/>
    <d v="2025-07-10T00:00:00"/>
    <d v="2025-07-11T00:00:00"/>
    <d v="2025-11-07T00:00:00"/>
    <n v="2079935.08"/>
    <m/>
    <n v="1970322.5"/>
    <n v="-5.27"/>
    <s v="Below"/>
    <s v="Nineteen Lakh Seventy Thousand Three Hundred Twenty Two Rupees and Five Paise Only"/>
    <s v="Division"/>
    <m/>
    <n v="1970322.5"/>
    <x v="32"/>
    <s v="Pratapbhai Lakhubhai Beparia"/>
    <s v="At Lothpur, Ta. Jafarabad, Dist. Amreli - 365540"/>
    <n v="9727987777"/>
    <m/>
    <s v="CDP-5"/>
    <m/>
    <m/>
    <m/>
    <n v="4"/>
    <n v="99000"/>
    <d v="2027-04-04T00:00:00"/>
    <n v="4900"/>
    <n v="0"/>
    <d v="2026-02-13T00:00:00"/>
    <d v="2027-02-03T00:00:00"/>
    <n v="1088"/>
    <d v="2025-08-07T00:00:00"/>
    <s v="2025-26"/>
    <n v="151"/>
    <d v="2025-09-11T00:00:00"/>
    <s v="FDR"/>
    <s v="ICICI BANK"/>
    <s v="162313004874"/>
    <n v="99000"/>
    <d v="2025-08-20T00:00:00"/>
    <m/>
    <m/>
    <m/>
    <m/>
    <m/>
    <d v="2025-09-11T00:00:00"/>
    <n v="1296"/>
    <d v="2025-09-11T00:00:00"/>
    <m/>
    <m/>
    <m/>
    <m/>
    <m/>
    <m/>
    <m/>
  </r>
  <r>
    <n v="153"/>
    <m/>
    <s v="2025-26"/>
    <n v="8"/>
    <n v="47"/>
    <s v="Construction of Gram Panchayat office (Frame structure) at Village Bhandar Taluka: Ghogha Dist. Bhavnagar"/>
    <m/>
    <s v="Ghogha"/>
    <s v="Bhavnagar"/>
    <s v="Building"/>
    <s v="Gram Panchayat"/>
    <n v="199647"/>
    <m/>
    <d v="2025-06-29T00:00:00"/>
    <d v="2025-07-10T00:00:00"/>
    <d v="2025-07-11T00:00:00"/>
    <d v="2025-11-07T00:00:00"/>
    <n v="2079935.08"/>
    <m/>
    <n v="1972194.44"/>
    <n v="-5.18"/>
    <s v="Below"/>
    <s v="Nineteen Lakh Seventy Two Thousand One Hundred Ninety Four Rupees and Forty Four Paise Only"/>
    <s v="Division"/>
    <m/>
    <n v="1972194.44"/>
    <x v="32"/>
    <s v="Pratapbhai Lakhubhai Beparia"/>
    <s v="At Lothpur, Ta. Jafarabad, Dist. Amreli - 365540"/>
    <n v="9727987777"/>
    <m/>
    <s v="CDP-5"/>
    <m/>
    <m/>
    <m/>
    <n v="4"/>
    <n v="99000"/>
    <d v="2027-04-04T00:00:00"/>
    <n v="4900"/>
    <n v="0"/>
    <d v="2026-02-13T00:00:00"/>
    <d v="2027-02-03T00:00:00"/>
    <n v="1087"/>
    <d v="2025-08-07T00:00:00"/>
    <s v="2025-26"/>
    <n v="152"/>
    <d v="2025-09-11T00:00:00"/>
    <s v="FDR"/>
    <s v="ICICI BANK"/>
    <s v="162313004876"/>
    <n v="99000"/>
    <d v="2025-08-20T00:00:00"/>
    <m/>
    <m/>
    <m/>
    <m/>
    <m/>
    <d v="2025-09-11T00:00:00"/>
    <n v="1297"/>
    <d v="2025-09-11T00:00:00"/>
    <m/>
    <m/>
    <m/>
    <m/>
    <m/>
    <m/>
    <m/>
  </r>
  <r>
    <n v="154"/>
    <m/>
    <s v="2025-26"/>
    <n v="8"/>
    <n v="48"/>
    <s v="Construction of Gram Panchayat office (Frame structure) at Village Malekvadar Taluka:Ghogha Dist. Bhavnagar"/>
    <m/>
    <s v="Ghogha"/>
    <s v="Bhavnagar"/>
    <s v="Building"/>
    <s v="Gram Panchayat"/>
    <n v="199648"/>
    <m/>
    <d v="2025-06-29T00:00:00"/>
    <d v="2025-07-10T00:00:00"/>
    <d v="2025-07-11T00:00:00"/>
    <d v="2025-11-07T00:00:00"/>
    <n v="2079935.08"/>
    <m/>
    <n v="2036048.45"/>
    <n v="-2.11"/>
    <s v="Below"/>
    <s v="Twenty Lakh Thirty Six Thousand Forty Eight Rupees and Forty Five Paise Only"/>
    <s v="Division"/>
    <m/>
    <n v="2036048.45"/>
    <x v="33"/>
    <s v="PARTH Kiritkumar MEHTA"/>
    <s v="Plot No. 1578/I, New Champa Tenament, Divadi Road, Rupani Circle, Bhavnagar - 364002"/>
    <n v="7990934709"/>
    <m/>
    <s v="CDP-5"/>
    <m/>
    <m/>
    <m/>
    <n v="4"/>
    <n v="102000"/>
    <d v="2027-05-08T00:00:00"/>
    <n v="5000"/>
    <n v="0"/>
    <d v="2026-03-19T00:00:00"/>
    <d v="2027-03-09T00:00:00"/>
    <n v="1114"/>
    <d v="2025-08-08T00:00:00"/>
    <s v="2025-26"/>
    <n v="188"/>
    <d v="2025-10-13T00:00:00"/>
    <s v="FDR"/>
    <s v="State Bank of India"/>
    <n v="44461406656"/>
    <n v="102000"/>
    <d v="2025-09-11T00:00:00"/>
    <m/>
    <m/>
    <m/>
    <m/>
    <m/>
    <d v="2025-10-15T00:00:00"/>
    <n v="1472"/>
    <d v="2025-10-13T00:00:00"/>
    <m/>
    <m/>
    <m/>
    <m/>
    <m/>
    <m/>
    <m/>
  </r>
  <r>
    <n v="155"/>
    <m/>
    <s v="2025-26"/>
    <n v="8"/>
    <n v="49"/>
    <s v="Construction of Gram Panchayat office (Frame structure) at Village Ranparda Taluka: Mahuva Dist. Bhavnagar"/>
    <m/>
    <s v="Mahuva"/>
    <s v="Mahuva"/>
    <s v="Building"/>
    <s v="Gram Panchayat"/>
    <n v="199649"/>
    <m/>
    <d v="2025-06-29T00:00:00"/>
    <d v="2025-07-10T00:00:00"/>
    <d v="2025-07-11T00:00:00"/>
    <d v="2025-11-07T00:00:00"/>
    <n v="2079935.08"/>
    <m/>
    <n v="1944947.29"/>
    <n v="-6.49"/>
    <s v="Below"/>
    <s v="Nineteen Lakh Forty Four Thousand Nine Hundred Forty Seven Rupees and Twenty Nine Paise Only"/>
    <s v="Division"/>
    <m/>
    <n v="1944947.29"/>
    <x v="29"/>
    <s v="KISHANKUMAR PATABHAI KALSARIYA"/>
    <s v="Survey No. 374 P/A 2-16, Office No. 2, Left side of Entry Gate of Balkrushna Campus, Gir Gadhada Road, At. Una, Taluka Una, Dist. Gir Somnath - 362560"/>
    <n v="9824251035"/>
    <m/>
    <s v="CDP-5"/>
    <m/>
    <m/>
    <m/>
    <n v="4"/>
    <n v="98000"/>
    <d v="2027-03-23T00:00:00"/>
    <n v="4900"/>
    <n v="0"/>
    <d v="2026-02-01T00:00:00"/>
    <d v="2027-01-22T00:00:00"/>
    <n v="1115"/>
    <d v="2025-08-08T00:00:00"/>
    <s v="2025-26"/>
    <n v="123"/>
    <d v="2025-08-30T00:00:00"/>
    <s v="FDR"/>
    <s v="ICICI BANK"/>
    <s v="771613001587"/>
    <n v="98000"/>
    <d v="2025-08-20T00:00:00"/>
    <m/>
    <m/>
    <m/>
    <m/>
    <m/>
    <d v="2025-08-30T00:00:00"/>
    <n v="1228"/>
    <d v="2025-08-30T00:00:00"/>
    <m/>
    <m/>
    <m/>
    <m/>
    <m/>
    <m/>
    <m/>
  </r>
  <r>
    <n v="156"/>
    <m/>
    <s v="2025-26"/>
    <n v="8"/>
    <n v="5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57"/>
    <m/>
    <s v="2025-26"/>
    <n v="8"/>
    <n v="5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58"/>
    <m/>
    <s v="2025-26"/>
    <n v="8"/>
    <n v="5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59"/>
    <m/>
    <s v="2025-26"/>
    <n v="8"/>
    <n v="53"/>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0"/>
    <m/>
    <s v="2025-26"/>
    <n v="8"/>
    <n v="54"/>
    <s v="Construction of Gram Panchayat office (Frame structure) at Village Titodiya Taluka: Mahuva Dist. Bhavnagar"/>
    <m/>
    <s v="Mahuva"/>
    <s v="Mahuva"/>
    <s v="Building"/>
    <s v="Gram Panchayat"/>
    <n v="199654"/>
    <m/>
    <d v="2025-06-29T00:00:00"/>
    <d v="2025-07-10T00:00:00"/>
    <d v="2025-07-11T00:00:00"/>
    <d v="2025-11-07T00:00:00"/>
    <n v="2079935.08"/>
    <m/>
    <n v="1874021.51"/>
    <n v="-9.9"/>
    <s v="Below"/>
    <s v="Eighteen Lakh Seventy Four Thousand Twenty One Rupees and Fifty One Paise Only"/>
    <s v="Division"/>
    <m/>
    <n v="1874021.51"/>
    <x v="22"/>
    <s v="Labhshankar ladhva"/>
    <s v="At Po. Karmadiya, Via Thaliya, Ta. Mahuva, Dist. Bhavnagar - 364145"/>
    <n v="9825445121"/>
    <m/>
    <s v="CDP-5"/>
    <m/>
    <m/>
    <m/>
    <n v="4"/>
    <n v="94000"/>
    <d v="2027-04-24T00:00:00"/>
    <n v="4700"/>
    <n v="0"/>
    <d v="2026-03-05T00:00:00"/>
    <d v="2027-02-23T00:00:00"/>
    <n v="1116"/>
    <d v="2025-08-08T00:00:00"/>
    <s v="2025-26"/>
    <n v="169"/>
    <d v="2025-10-01T00:00:00"/>
    <s v="FDR"/>
    <s v="SAURASHTRA GRAMIN BANK"/>
    <n v="78048996947"/>
    <n v="94000"/>
    <d v="2025-08-18T00:00:00"/>
    <m/>
    <m/>
    <m/>
    <m/>
    <m/>
    <d v="2025-10-01T00:00:00"/>
    <n v="1409"/>
    <d v="2025-10-01T00:00:00"/>
    <m/>
    <m/>
    <m/>
    <m/>
    <m/>
    <m/>
    <m/>
  </r>
  <r>
    <n v="161"/>
    <m/>
    <s v="2025-26"/>
    <n v="8"/>
    <n v="5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2"/>
    <m/>
    <s v="2025-26"/>
    <n v="8"/>
    <n v="56"/>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3"/>
    <m/>
    <s v="2025-26"/>
    <n v="8"/>
    <n v="57"/>
    <s v="Construction of Gram Panchayat office (Frame structure) at Village Chardika Taluka: Mahuva Dist. Bhavnagar"/>
    <m/>
    <s v="Mahuva"/>
    <s v="Mahuva"/>
    <s v="Building"/>
    <s v="Gram Panchayat"/>
    <n v="199657"/>
    <m/>
    <d v="2025-06-29T00:00:00"/>
    <d v="2025-07-10T00:00:00"/>
    <d v="2025-07-11T00:00:00"/>
    <d v="2025-11-07T00:00:00"/>
    <n v="2079935.08"/>
    <m/>
    <n v="2077855.14"/>
    <n v="-0.1"/>
    <s v="Below"/>
    <s v="Twenty Lakh Seventy Seven Thousand Eight Hundred Fifty Five Rupees and Fourteen Paise Only"/>
    <s v="Division"/>
    <m/>
    <n v="2077855.14"/>
    <x v="30"/>
    <s v="Khuman Shivrajbhai Dilubhai"/>
    <s v="52, Lion Shopping Center, Near Kohinoor Hotel, Jafarabad Road, Rajula, Dist. Amreli - 365560"/>
    <n v="9909950650"/>
    <m/>
    <s v="CDP-5"/>
    <m/>
    <m/>
    <m/>
    <n v="4"/>
    <n v="104000"/>
    <d v="2027-03-23T00:00:00"/>
    <n v="5100"/>
    <n v="0"/>
    <d v="2026-02-01T00:00:00"/>
    <d v="2027-01-22T00:00:00"/>
    <n v="1117"/>
    <d v="2025-08-08T00:00:00"/>
    <s v="2025-26"/>
    <n v="121"/>
    <d v="2025-08-30T00:00:00"/>
    <s v="FDR"/>
    <s v="HDFC Bank"/>
    <s v="50301205697402"/>
    <n v="104000"/>
    <d v="2025-08-23T00:00:00"/>
    <m/>
    <m/>
    <m/>
    <m/>
    <m/>
    <d v="2025-08-30T00:00:00"/>
    <n v="1226"/>
    <d v="2025-08-30T00:00:00"/>
    <m/>
    <m/>
    <m/>
    <m/>
    <m/>
    <m/>
    <m/>
  </r>
  <r>
    <n v="164"/>
    <m/>
    <s v="2025-26"/>
    <n v="8"/>
    <n v="58"/>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5"/>
    <m/>
    <s v="2025-26"/>
    <n v="8"/>
    <n v="59"/>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6"/>
    <m/>
    <s v="2025-26"/>
    <n v="8"/>
    <n v="6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7"/>
    <m/>
    <s v="2025-26"/>
    <n v="8"/>
    <n v="6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8"/>
    <m/>
    <s v="2025-26"/>
    <n v="8"/>
    <n v="6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9"/>
    <m/>
    <s v="2025-26"/>
    <n v="8"/>
    <n v="63"/>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0"/>
    <m/>
    <s v="2025-26"/>
    <n v="8"/>
    <n v="64"/>
    <s v="Construction of Gram Panchayat office (Frame structure) at Village Nana Pipalva Taluka:Mahuva Dist. Bhavnagar"/>
    <m/>
    <s v="Mahuva"/>
    <s v="Mahuva"/>
    <s v="Building"/>
    <s v="Gram Panchayat"/>
    <n v="199665"/>
    <m/>
    <d v="2025-06-29T00:00:00"/>
    <d v="2025-07-10T00:00:00"/>
    <d v="2025-07-11T00:00:00"/>
    <d v="2025-11-07T00:00:00"/>
    <n v="2079935.08"/>
    <m/>
    <n v="1733625.89"/>
    <n v="-16.649999999999999"/>
    <s v="Below"/>
    <s v="Seventeen Lakh Thirty Three Thousand Six Hundred Twenty Five Rupees and Eighty Nine Paise Only"/>
    <s v="Division"/>
    <m/>
    <n v="1733625.89"/>
    <x v="27"/>
    <s v="Siddharth Parbatbhai Bed"/>
    <s v="At Hemal, Ta. Jafarabad, Dist. Amreli - 365545"/>
    <n v="9586762457"/>
    <m/>
    <s v="CDP-5"/>
    <m/>
    <m/>
    <m/>
    <n v="4"/>
    <n v="87000"/>
    <d v="2027-04-03T00:00:00"/>
    <n v="5700"/>
    <n v="28000"/>
    <d v="2026-02-12T00:00:00"/>
    <d v="2027-02-02T00:00:00"/>
    <n v="1067"/>
    <d v="2025-08-05T00:00:00"/>
    <s v="2025-26"/>
    <n v="144"/>
    <d v="2025-09-10T00:00:00"/>
    <s v="FDR"/>
    <s v="SAURASHTRA GRAMIN BANK"/>
    <n v="78049184800"/>
    <n v="87000"/>
    <d v="2025-09-03T00:00:00"/>
    <s v="FDR"/>
    <s v="SAURASHTRA GRAMIN BANK"/>
    <n v="78049184811"/>
    <n v="28000"/>
    <d v="2025-09-03T00:00:00"/>
    <d v="2025-09-10T00:00:00"/>
    <n v="1287"/>
    <d v="2025-09-10T00:00:00"/>
    <m/>
    <m/>
    <m/>
    <m/>
    <m/>
    <m/>
    <m/>
  </r>
  <r>
    <n v="171"/>
    <m/>
    <s v="2025-26"/>
    <n v="8"/>
    <n v="6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2"/>
    <m/>
    <s v="2025-26"/>
    <n v="8"/>
    <n v="66"/>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3"/>
    <m/>
    <s v="2025-26"/>
    <n v="8"/>
    <n v="67"/>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4"/>
    <m/>
    <s v="2025-26"/>
    <n v="8"/>
    <n v="68"/>
    <s v="Construction of Gram Panchayat office (Frame structure) at Village Navagam Talika:Palitana Dist. Bhavnagar"/>
    <m/>
    <s v="Palitana"/>
    <s v="Palitana"/>
    <s v="Building"/>
    <s v="Gram Panchayat"/>
    <n v="199670"/>
    <m/>
    <d v="2025-06-29T00:00:00"/>
    <d v="2025-07-10T00:00:00"/>
    <d v="2025-07-11T00:00:00"/>
    <d v="2025-11-07T00:00:00"/>
    <n v="2079935.08"/>
    <m/>
    <n v="1907924.45"/>
    <n v="-8.27"/>
    <s v="Below"/>
    <s v="Nineteen Lakh Seven Thousand Nine Hundred Twenty Four Rupees and Forty Five Paise Only"/>
    <s v="Division"/>
    <m/>
    <n v="1907924.45"/>
    <x v="38"/>
    <n v="0"/>
    <s v="Fulwadi Faliya, Uchchhal-2, Tal. Uchchhal, Dist. Tapi- 394375"/>
    <n v="9016414291"/>
    <m/>
    <s v="CDP-5"/>
    <m/>
    <m/>
    <m/>
    <n v="4"/>
    <n v="96000"/>
    <d v="2027-03-25T00:00:00"/>
    <n v="4800"/>
    <n v="0"/>
    <d v="2026-02-03T00:00:00"/>
    <d v="2027-01-24T00:00:00"/>
    <n v="1068"/>
    <d v="2025-08-05T00:00:00"/>
    <s v="2025-26"/>
    <n v="127"/>
    <d v="2025-09-01T00:00:00"/>
    <s v="FDR"/>
    <s v="State Bank of India"/>
    <n v="44393851886"/>
    <n v="96000"/>
    <d v="2025-08-21T00:00:00"/>
    <m/>
    <m/>
    <m/>
    <m/>
    <m/>
    <d v="2025-09-01T00:00:00"/>
    <n v="1234"/>
    <d v="2025-09-01T00:00:00"/>
    <m/>
    <m/>
    <m/>
    <m/>
    <m/>
    <m/>
    <m/>
  </r>
  <r>
    <n v="175"/>
    <m/>
    <s v="2025-26"/>
    <n v="8"/>
    <n v="69"/>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6"/>
    <m/>
    <s v="2025-26"/>
    <n v="8"/>
    <n v="70"/>
    <s v="Construction of Gram Panchayat office (Frame structure) at Village Vadod Taluka: Umrala Dist. Bhavnagar"/>
    <m/>
    <s v="Umrala"/>
    <s v="Vallabhipur"/>
    <s v="Building"/>
    <s v="Gram Panchayat"/>
    <n v="199672"/>
    <m/>
    <d v="2025-06-29T00:00:00"/>
    <d v="2025-07-10T00:00:00"/>
    <d v="2025-07-11T00:00:00"/>
    <d v="2025-11-07T00:00:00"/>
    <n v="2079935.08"/>
    <m/>
    <n v="1869237.66"/>
    <n v="-10.130000000000001"/>
    <s v="Below"/>
    <s v="Eighteen Lakh Sixty Nine Thousand Two Hundred Thirty Seven Rupees and Sixty Six Paise Only"/>
    <s v="Division"/>
    <m/>
    <n v="1869237.66"/>
    <x v="39"/>
    <s v="Mangukiya Vishal Gunvantbhai"/>
    <s v="D-10, Vrundavan Complex, Hirawadi Road, Saijpur - bogha, Ahmedabad - 382345"/>
    <n v="9408131313"/>
    <m/>
    <m/>
    <m/>
    <m/>
    <m/>
    <n v="4"/>
    <n v="94000"/>
    <d v="2027-03-08T00:00:00"/>
    <n v="4700"/>
    <n v="1000"/>
    <d v="2026-01-17T00:00:00"/>
    <d v="2027-01-07T00:00:00"/>
    <n v="1069"/>
    <d v="2025-08-05T00:00:00"/>
    <m/>
    <m/>
    <m/>
    <m/>
    <m/>
    <m/>
    <m/>
    <m/>
    <m/>
    <m/>
    <m/>
    <m/>
    <m/>
    <d v="2025-08-15T00:00:00"/>
    <m/>
    <m/>
    <m/>
    <m/>
    <m/>
    <m/>
    <m/>
    <m/>
    <m/>
  </r>
  <r>
    <n v="177"/>
    <m/>
    <s v="2025-26"/>
    <n v="8"/>
    <n v="71"/>
    <s v="Construction of Gram Panchayat office (Frame structure) at Village Ramanka Taluka: Umrala Dist. Bhavnagar"/>
    <m/>
    <s v="Umrala"/>
    <s v="Vallabhipur"/>
    <s v="Building"/>
    <s v="Gram Panchayat"/>
    <n v="199673"/>
    <m/>
    <d v="2025-06-29T00:00:00"/>
    <d v="2025-07-10T00:00:00"/>
    <d v="2025-07-11T00:00:00"/>
    <d v="2025-11-07T00:00:00"/>
    <n v="2079935.08"/>
    <m/>
    <n v="1869653.64"/>
    <n v="-10.11"/>
    <s v="Below"/>
    <s v="Eighteen Lakh Sixty Nine Thousand Six Hundred Fifty Three Rupees and Sixty Four Paise Only"/>
    <s v="Division"/>
    <m/>
    <n v="1869653.64"/>
    <x v="40"/>
    <s v="C. H. Gohil"/>
    <s v="Ground Floor, Shop No.2, House No.151, Near Chabutara, Dadva Road, Dhola, Ta.Umrala, Dist.Bhavnagar"/>
    <n v="9377666263"/>
    <m/>
    <m/>
    <m/>
    <m/>
    <m/>
    <n v="4"/>
    <n v="94000"/>
    <d v="2027-03-08T00:00:00"/>
    <n v="4700"/>
    <n v="1000"/>
    <d v="2026-01-17T00:00:00"/>
    <d v="2027-01-07T00:00:00"/>
    <n v="1070"/>
    <d v="2025-08-05T00:00:00"/>
    <m/>
    <m/>
    <m/>
    <m/>
    <m/>
    <m/>
    <m/>
    <m/>
    <m/>
    <m/>
    <m/>
    <m/>
    <m/>
    <d v="2025-08-15T00:00:00"/>
    <m/>
    <m/>
    <m/>
    <m/>
    <m/>
    <m/>
    <m/>
    <m/>
    <m/>
  </r>
  <r>
    <n v="178"/>
    <m/>
    <s v="2025-26"/>
    <n v="8"/>
    <n v="72"/>
    <s v="Construction of Gram Panchayat office (Frame structure) at Village Dharwala Taluka: Umrala Dist. Bhavnagar"/>
    <m/>
    <s v="Umrala"/>
    <s v="Vallabhipur"/>
    <s v="Building"/>
    <s v="Gram Panchayat"/>
    <n v="199675"/>
    <m/>
    <d v="2025-06-29T00:00:00"/>
    <d v="2025-07-10T00:00:00"/>
    <d v="2025-07-11T00:00:00"/>
    <d v="2025-11-07T00:00:00"/>
    <n v="2079935.08"/>
    <m/>
    <n v="1902932.6"/>
    <n v="-8.51"/>
    <s v="Below"/>
    <s v="Nineteen Lakh Two Thousand Nine Hundred Thirty Two Rupees and Six Paise Only"/>
    <s v="Division"/>
    <m/>
    <n v="1902932.6"/>
    <x v="21"/>
    <s v="D. H. Gohil"/>
    <s v="At. Vangadhra, Ta.Umrala, Dist. Bhavnagar"/>
    <n v="8780286268"/>
    <m/>
    <m/>
    <m/>
    <m/>
    <m/>
    <n v="4"/>
    <n v="96000"/>
    <d v="2027-03-08T00:00:00"/>
    <n v="4800"/>
    <n v="0"/>
    <d v="2026-01-17T00:00:00"/>
    <d v="2027-01-07T00:00:00"/>
    <n v="1071"/>
    <d v="2025-08-05T00:00:00"/>
    <m/>
    <m/>
    <m/>
    <m/>
    <m/>
    <m/>
    <m/>
    <m/>
    <m/>
    <m/>
    <m/>
    <m/>
    <m/>
    <d v="2025-08-15T00:00:00"/>
    <m/>
    <m/>
    <m/>
    <m/>
    <m/>
    <m/>
    <m/>
    <m/>
    <m/>
  </r>
  <r>
    <n v="179"/>
    <m/>
    <s v="2025-26"/>
    <n v="8"/>
    <n v="73"/>
    <s v="Construction of Gram Panchayat office (Frame structure) at Village Ingorala Taluka: Umrala Dist. Bhavnagar"/>
    <m/>
    <s v="Umrala"/>
    <s v="Vallabhipur"/>
    <s v="Building"/>
    <s v="Gram Panchayat"/>
    <n v="199677"/>
    <m/>
    <d v="2025-06-29T00:00:00"/>
    <d v="2025-07-10T00:00:00"/>
    <d v="2025-07-11T00:00:00"/>
    <d v="2025-11-07T00:00:00"/>
    <n v="2079935.08"/>
    <m/>
    <n v="1785832.26"/>
    <n v="-14.14"/>
    <s v="Below"/>
    <s v="Seventeen Lakh Eighty Five Thousand Eight Hundred Thirty Two Rupees and Twenty Six Paise Only"/>
    <s v="Division"/>
    <m/>
    <n v="1785832.26"/>
    <x v="40"/>
    <s v="C. H. Gohil"/>
    <s v="Ground Floor, Shop No.2, House No.151, Near Chabutara, Dadva Road, Dhola, Ta.Umrala, Dist.Bhavnagar"/>
    <n v="9377666263"/>
    <m/>
    <m/>
    <m/>
    <m/>
    <m/>
    <n v="4"/>
    <n v="90000"/>
    <d v="2027-03-08T00:00:00"/>
    <n v="5300"/>
    <n v="18000"/>
    <d v="2026-01-17T00:00:00"/>
    <d v="2027-01-07T00:00:00"/>
    <n v="1072"/>
    <d v="2025-08-05T00:00:00"/>
    <m/>
    <m/>
    <m/>
    <m/>
    <m/>
    <m/>
    <m/>
    <m/>
    <m/>
    <m/>
    <m/>
    <m/>
    <m/>
    <d v="2025-08-15T00:00:00"/>
    <m/>
    <m/>
    <m/>
    <m/>
    <m/>
    <m/>
    <m/>
    <m/>
    <m/>
  </r>
  <r>
    <n v="180"/>
    <m/>
    <s v="2025-26"/>
    <n v="8"/>
    <n v="74"/>
    <s v="Construction of Gram Panchayat office (Frame structure) at Village Hadmatiya Taluka: Umrala Dist. Bhavnagar"/>
    <m/>
    <s v="Umrala"/>
    <s v="Vallabhipur"/>
    <s v="Building"/>
    <s v="Gram Panchayat"/>
    <n v="199678"/>
    <m/>
    <d v="2025-06-29T00:00:00"/>
    <d v="2025-07-10T00:00:00"/>
    <d v="2025-07-11T00:00:00"/>
    <d v="2025-11-07T00:00:00"/>
    <n v="2079935.08"/>
    <m/>
    <n v="1827846.95"/>
    <n v="-12.12"/>
    <s v="Below"/>
    <s v="Eighteen Lakh Twenty Seven Thousand Eight Hundred Forty Six Rupees and Ninety Five Paise Only"/>
    <s v="Division"/>
    <m/>
    <n v="1827846.95"/>
    <x v="40"/>
    <s v="C. H. Gohil"/>
    <s v="Ground Floor, Shop No.2, House No.151, Near Chabutara, Dadva Road, Dhola, Ta.Umrala, Dist.Bhavnagar"/>
    <n v="9377666263"/>
    <m/>
    <m/>
    <m/>
    <m/>
    <m/>
    <n v="4"/>
    <n v="92000"/>
    <d v="2027-03-08T00:00:00"/>
    <n v="5000"/>
    <n v="9000"/>
    <d v="2026-01-17T00:00:00"/>
    <d v="2027-01-07T00:00:00"/>
    <n v="1123"/>
    <d v="2025-08-08T00:00:00"/>
    <m/>
    <m/>
    <m/>
    <m/>
    <m/>
    <m/>
    <m/>
    <m/>
    <m/>
    <m/>
    <m/>
    <m/>
    <m/>
    <d v="2025-08-15T00:00:00"/>
    <m/>
    <m/>
    <m/>
    <m/>
    <m/>
    <m/>
    <m/>
    <m/>
    <m/>
  </r>
  <r>
    <n v="181"/>
    <m/>
    <s v="2025-26"/>
    <n v="8"/>
    <n v="7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82"/>
    <m/>
    <s v="2025-26"/>
    <n v="8"/>
    <n v="76"/>
    <s v="Construction of Gram Panchayat office (Frame structure) at Village Samadhiyala Taluka: Umrala Dist. Bhavnagar"/>
    <m/>
    <s v="Umrala"/>
    <s v="Vallabhipur"/>
    <s v="Building"/>
    <s v="Gram Panchayat"/>
    <n v="199680"/>
    <m/>
    <d v="2025-06-29T00:00:00"/>
    <d v="2025-07-10T00:00:00"/>
    <d v="2025-07-11T00:00:00"/>
    <d v="2025-11-07T00:00:00"/>
    <n v="2079935.08"/>
    <m/>
    <n v="1786248.25"/>
    <n v="-14.12"/>
    <s v="Below"/>
    <s v="Seventeen Lakh Eighty Six Thousand Two Hundred Forty Eight Rupees and Twenty Five Paise Only"/>
    <s v="Division"/>
    <m/>
    <n v="1786248.25"/>
    <x v="40"/>
    <s v="C. H. Gohil"/>
    <s v="Ground Floor, Shop No.2, House No.151, Near Chabutara, Dadva Road, Dhola, Ta.Umrala, Dist.Bhavnagar"/>
    <n v="9377666263"/>
    <m/>
    <s v="CDP-5"/>
    <m/>
    <m/>
    <m/>
    <n v="4"/>
    <n v="90000"/>
    <d v="2027-04-24T00:00:00"/>
    <n v="5300"/>
    <n v="18000"/>
    <d v="2026-03-05T00:00:00"/>
    <d v="2027-02-23T00:00:00"/>
    <n v="1111"/>
    <d v="2025-08-08T00:00:00"/>
    <s v="2025-26"/>
    <n v="166"/>
    <d v="2025-10-01T00:00:00"/>
    <s v="FDR"/>
    <s v="State Bank of India"/>
    <n v="44480666780"/>
    <n v="90000"/>
    <d v="2025-09-18T00:00:00"/>
    <m/>
    <m/>
    <m/>
    <m/>
    <m/>
    <d v="2025-10-01T00:00:00"/>
    <n v="1407"/>
    <d v="2025-10-01T00:00:00"/>
    <m/>
    <m/>
    <m/>
    <m/>
    <m/>
    <m/>
    <m/>
  </r>
  <r>
    <n v="183"/>
    <m/>
    <s v="2025-26"/>
    <n v="8"/>
    <n v="77"/>
    <s v="Construction of Gram Panchayat office (Frame structure) at Village Khijadiya Taluka: Umrala Dist. Bhavnagar"/>
    <m/>
    <s v="Umrala"/>
    <s v="Vallabhipur"/>
    <s v="Building"/>
    <s v="Gram Panchayat"/>
    <n v="199681"/>
    <m/>
    <d v="2025-06-29T00:00:00"/>
    <d v="2025-07-10T00:00:00"/>
    <d v="2025-07-11T00:00:00"/>
    <d v="2025-11-07T00:00:00"/>
    <n v="2079935.08"/>
    <m/>
    <n v="1872149.57"/>
    <n v="-9.99"/>
    <s v="Below"/>
    <s v="Eighteen Lakh Seventy Two Thousand One Hundred Forty Nine Rupees and Fifty Seven Paise Only"/>
    <s v="Division"/>
    <m/>
    <n v="1872149.57"/>
    <x v="21"/>
    <s v="D. H. Gohil"/>
    <s v="At. Vangadhra, Ta.Umrala, Dist. Bhavnagar"/>
    <n v="8780286268"/>
    <m/>
    <m/>
    <m/>
    <m/>
    <m/>
    <n v="4"/>
    <n v="94000"/>
    <d v="2027-03-08T00:00:00"/>
    <n v="4700"/>
    <n v="0"/>
    <d v="2026-01-17T00:00:00"/>
    <d v="2027-01-07T00:00:00"/>
    <n v="1112"/>
    <d v="2025-08-08T00:00:00"/>
    <m/>
    <m/>
    <m/>
    <m/>
    <m/>
    <m/>
    <m/>
    <m/>
    <m/>
    <m/>
    <m/>
    <m/>
    <m/>
    <d v="2025-08-15T00:00:00"/>
    <m/>
    <m/>
    <m/>
    <m/>
    <m/>
    <m/>
    <m/>
    <m/>
    <m/>
  </r>
  <r>
    <n v="184"/>
    <m/>
    <s v="2025-26"/>
    <n v="8"/>
    <n v="78"/>
    <s v="Construction of Gram Panchayat office (Frame structure) at Village Budhana Taluka: Shihor Dist. Bhavnagar"/>
    <m/>
    <s v="Shihor"/>
    <s v="Shihor"/>
    <s v="Building"/>
    <s v="Gram Panchayat"/>
    <n v="199683"/>
    <n v="1"/>
    <d v="2025-06-29T00:00:00"/>
    <d v="2025-07-10T00:00:00"/>
    <d v="2025-07-11T00:00:00"/>
    <d v="2025-11-07T00:00:00"/>
    <n v="2079935.08"/>
    <m/>
    <n v="1955346.97"/>
    <n v="-5.99"/>
    <s v="Below"/>
    <s v="Nineteen Lakh Fifty Five Thousand Three Hundred Forty Six Rupees and Ninety Seven Paise Only"/>
    <s v="Division"/>
    <m/>
    <n v="1955346.97"/>
    <x v="41"/>
    <s v="KEVAL BUDHESHBHAI BHAYANI"/>
    <s v="235, Momai Krupa, Bhayani Sheri, Madhada, Ta. Shihor, Dist. Bhavnagar - 364240"/>
    <n v="8905890589"/>
    <m/>
    <m/>
    <m/>
    <m/>
    <m/>
    <n v="4"/>
    <n v="98000"/>
    <d v="2027-03-11T00:00:00"/>
    <n v="4900"/>
    <n v="0"/>
    <d v="2026-01-20T00:00:00"/>
    <d v="2027-01-10T00:00:00"/>
    <n v="1063"/>
    <d v="2025-08-04T00:00:00"/>
    <s v="2025-26"/>
    <n v="86"/>
    <d v="2025-08-18T00:00:00"/>
    <s v="FDR"/>
    <s v="State Bank of India"/>
    <s v="00000044367295159"/>
    <n v="98000"/>
    <d v="2025-08-11T00:00:00"/>
    <m/>
    <m/>
    <m/>
    <m/>
    <m/>
    <d v="2025-08-18T00:00:00"/>
    <n v="1165"/>
    <d v="2025-08-18T00:00:00"/>
    <m/>
    <m/>
    <m/>
    <m/>
    <m/>
    <m/>
    <m/>
  </r>
  <r>
    <n v="185"/>
    <m/>
    <s v="2025-26"/>
    <n v="8"/>
    <n v="79"/>
    <s v="Construction of Gram Panchayat office (Frame structure) at Village Dhundhsar Taluka:Shihor Dist. Bhavnagar"/>
    <m/>
    <s v="Shihor"/>
    <s v="Shihor"/>
    <s v="Building"/>
    <s v="Gram Panchayat"/>
    <n v="199684"/>
    <m/>
    <d v="2025-06-29T00:00:00"/>
    <d v="2025-07-10T00:00:00"/>
    <d v="2025-07-11T00:00:00"/>
    <d v="2025-11-07T00:00:00"/>
    <n v="2079935.08"/>
    <m/>
    <n v="1955346.97"/>
    <n v="-5.99"/>
    <s v="Below"/>
    <s v="Nineteen Lakh Fifty Five Thousand Three Hundred Forty Six Rupees and Ninety Seven Paise Only"/>
    <s v="Division"/>
    <m/>
    <n v="1955346.97"/>
    <x v="19"/>
    <s v="ASHOKBHAI PARSHOTAMBHAI_x000a_BARAIYA"/>
    <s v="At Lapaliya, Post- Nani Rajsthali, Tal. Palitana - 364270"/>
    <n v="9898775037"/>
    <m/>
    <s v="CDP-5"/>
    <m/>
    <m/>
    <m/>
    <n v="4"/>
    <n v="98000"/>
    <d v="2027-04-24T00:00:00"/>
    <n v="4900"/>
    <n v="0"/>
    <d v="2026-03-05T00:00:00"/>
    <d v="2027-02-23T00:00:00"/>
    <n v="1113"/>
    <d v="2025-08-08T00:00:00"/>
    <s v="2025-26"/>
    <n v="163"/>
    <d v="2025-10-01T00:00:00"/>
    <s v="FDR"/>
    <s v="SAURASHTRA GRAMIN BANK"/>
    <n v="78049121883"/>
    <n v="98000"/>
    <d v="2025-08-29T00:00:00"/>
    <m/>
    <m/>
    <m/>
    <m/>
    <m/>
    <d v="2025-10-01T00:00:00"/>
    <n v="1404"/>
    <d v="2025-10-01T00:00:00"/>
    <m/>
    <m/>
    <m/>
    <m/>
    <m/>
    <m/>
    <m/>
  </r>
  <r>
    <n v="186"/>
    <m/>
    <s v="2025-26"/>
    <n v="8"/>
    <n v="8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87"/>
    <m/>
    <s v="2025-26"/>
    <n v="8"/>
    <n v="81"/>
    <s v="Construction of Gram Panchayat office (Frame structure) at Village Bhutiya Taluka: Shihor Dist. Bhavnagar"/>
    <m/>
    <s v="Shihor"/>
    <s v="Shihor"/>
    <s v="Building"/>
    <s v="Gram Panchayat"/>
    <n v="199694"/>
    <m/>
    <d v="2025-06-29T00:00:00"/>
    <d v="2025-07-10T00:00:00"/>
    <d v="2025-07-11T00:00:00"/>
    <d v="2025-11-07T00:00:00"/>
    <n v="2079935.08"/>
    <m/>
    <n v="1966578.62"/>
    <n v="-5.45"/>
    <s v="Below"/>
    <s v="Nineteen Lakh Sixty Six Thousand Five Hundred Seventy Eight Rupees and Sixty Two Paise Only"/>
    <s v="Division"/>
    <m/>
    <n v="1966578.62"/>
    <x v="42"/>
    <s v="Sanjaykumar Nandlal Raiyani"/>
    <s v="A-302 Shree Nand Elite, Nr.Ustav velly Flat, Nikol Gam Road, Ahemdabad                         Pin-382350"/>
    <n v="9979476626"/>
    <m/>
    <s v="CDP-5"/>
    <m/>
    <m/>
    <m/>
    <n v="4"/>
    <n v="99000"/>
    <d v="2027-04-24T00:00:00"/>
    <n v="4900"/>
    <n v="0"/>
    <d v="2026-03-05T00:00:00"/>
    <d v="2027-02-23T00:00:00"/>
    <n v="1100"/>
    <d v="2025-08-08T00:00:00"/>
    <s v="2025-26"/>
    <n v="164"/>
    <d v="2025-10-01T00:00:00"/>
    <s v="FDR"/>
    <s v="Punjab National Bank"/>
    <s v="753700MP00002883"/>
    <n v="99100"/>
    <d v="2025-08-28T00:00:00"/>
    <m/>
    <m/>
    <m/>
    <m/>
    <m/>
    <d v="2025-10-01T00:00:00"/>
    <n v="1405"/>
    <d v="2025-10-01T00:00:00"/>
    <m/>
    <m/>
    <m/>
    <m/>
    <m/>
    <m/>
    <m/>
  </r>
  <r>
    <n v="188"/>
    <m/>
    <s v="2025-26"/>
    <n v="8"/>
    <n v="82"/>
    <s v="Construction of Gram Panchayat office (Frame structure) at Village Karmadiya Taluka: Shihor Dist. Bhavnagar"/>
    <m/>
    <s v="Shihor"/>
    <s v="Shihor"/>
    <s v="Building"/>
    <s v="Gram Panchayat"/>
    <n v="199695"/>
    <m/>
    <d v="2025-06-29T00:00:00"/>
    <d v="2025-07-10T00:00:00"/>
    <d v="2025-07-11T00:00:00"/>
    <d v="2025-11-07T00:00:00"/>
    <n v="2079935.08"/>
    <m/>
    <n v="2027312.72"/>
    <n v="-2.5299999999999998"/>
    <s v="Below"/>
    <s v="Twenty Lakh Twenty Seven Thousand Three Hundred Twelve Rupees and Seventy Two Paise Only"/>
    <s v="Division"/>
    <m/>
    <n v="2027312.72"/>
    <x v="43"/>
    <n v="0"/>
    <s v="At Tana, Tal. Shihor, Dist. Bhavnagar - 364260"/>
    <n v="9510343132"/>
    <m/>
    <s v="CDP-5"/>
    <m/>
    <m/>
    <m/>
    <n v="4"/>
    <n v="102000"/>
    <d v="2027-03-26T00:00:00"/>
    <n v="5000"/>
    <n v="0"/>
    <d v="2026-02-04T00:00:00"/>
    <d v="2027-01-25T00:00:00"/>
    <n v="1107"/>
    <d v="2025-08-08T00:00:00"/>
    <s v="2025-26"/>
    <n v="142"/>
    <d v="2025-09-02T00:00:00"/>
    <s v="FDR"/>
    <s v="Bank of Baroda"/>
    <s v="91640300004640"/>
    <n v="102000"/>
    <d v="2025-08-22T00:00:00"/>
    <m/>
    <m/>
    <m/>
    <m/>
    <m/>
    <d v="2025-09-02T00:00:00"/>
    <n v="1253"/>
    <d v="2025-09-02T00:00:00"/>
    <m/>
    <m/>
    <m/>
    <m/>
    <m/>
    <m/>
    <m/>
  </r>
  <r>
    <n v="189"/>
    <m/>
    <s v="2025-26"/>
    <n v="8"/>
    <n v="83"/>
    <s v="Construction of Gram Panchayat office (Frame structure) at Village Sakhvadar Taluka.Shihor Dist. Bhavnagar"/>
    <m/>
    <s v="Shihor"/>
    <s v="Shihor"/>
    <s v="Building"/>
    <s v="Gram Panchayat"/>
    <n v="199696"/>
    <m/>
    <d v="2025-06-29T00:00:00"/>
    <d v="2025-07-10T00:00:00"/>
    <d v="2025-07-11T00:00:00"/>
    <d v="2025-11-07T00:00:00"/>
    <n v="2079935.08"/>
    <m/>
    <n v="1968034.57"/>
    <n v="-5.38"/>
    <s v="Below"/>
    <s v="Nineteen Lakh Sixty Eight Thousand Thirty Four Rupees and Fifty Seven Paise Only"/>
    <s v="Division"/>
    <m/>
    <n v="1968034.57"/>
    <x v="42"/>
    <s v="Sanjaykumar Nandlal Raiyani"/>
    <s v="A-302 Shree Nand Elite, Nr.Ustav velly Flat, Nikol Gam Road, Ahemdabad                         Pin-382350"/>
    <n v="9979476626"/>
    <m/>
    <s v="CDP-5"/>
    <m/>
    <m/>
    <m/>
    <n v="4"/>
    <n v="99000"/>
    <d v="2027-04-24T00:00:00"/>
    <n v="4900"/>
    <n v="0"/>
    <d v="2026-03-05T00:00:00"/>
    <d v="2027-02-23T00:00:00"/>
    <n v="1106"/>
    <d v="2025-08-08T00:00:00"/>
    <s v="2025-26"/>
    <n v="165"/>
    <d v="2025-10-01T00:00:00"/>
    <s v="FDR"/>
    <s v="Punjab National Bank"/>
    <s v="753700MP00002874"/>
    <n v="99100"/>
    <d v="2025-08-28T00:00:00"/>
    <m/>
    <m/>
    <m/>
    <m/>
    <m/>
    <d v="2025-10-01T00:00:00"/>
    <n v="1406"/>
    <d v="2025-10-01T00:00:00"/>
    <m/>
    <m/>
    <m/>
    <m/>
    <m/>
    <m/>
    <m/>
  </r>
  <r>
    <n v="190"/>
    <m/>
    <s v="2025-26"/>
    <n v="8"/>
    <n v="84"/>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1"/>
    <m/>
    <s v="2025-26"/>
    <n v="8"/>
    <n v="85"/>
    <s v="Construction of Gram Panchayat office (Frame structure) at Village Dhankankunda Taluka:Shihor Dist. Bhavnagar"/>
    <m/>
    <s v="Shihor"/>
    <s v="Shihor"/>
    <s v="Building"/>
    <s v="Gram Panchayat"/>
    <n v="199699"/>
    <m/>
    <d v="2025-06-29T00:00:00"/>
    <d v="2025-07-10T00:00:00"/>
    <d v="2025-07-11T00:00:00"/>
    <d v="2025-11-07T00:00:00"/>
    <n v="2079935.08"/>
    <m/>
    <n v="1907924.45"/>
    <n v="-8.27"/>
    <s v="Below"/>
    <s v="Nineteen Lakh Seven Thousand Nine Hundred Twenty Four Rupees and Forty Five Paise Only"/>
    <s v="Division"/>
    <m/>
    <n v="1907924.45"/>
    <x v="38"/>
    <n v="0"/>
    <s v="Fulwadi Faliya, Uchchhal-2, Tal. Uchchhal, Dist. Tapi- 394375"/>
    <n v="9016414291"/>
    <m/>
    <s v="CDP-5"/>
    <m/>
    <m/>
    <m/>
    <n v="4"/>
    <n v="96000"/>
    <d v="2027-03-25T00:00:00"/>
    <n v="4800"/>
    <n v="0"/>
    <d v="2026-02-03T00:00:00"/>
    <d v="2027-01-24T00:00:00"/>
    <n v="1108"/>
    <d v="2025-08-08T00:00:00"/>
    <s v="2025-26"/>
    <n v="128"/>
    <d v="2025-09-01T00:00:00"/>
    <s v="FDR"/>
    <s v="State Bank of India"/>
    <n v="44393949350"/>
    <n v="96000"/>
    <d v="2025-08-21T00:00:00"/>
    <m/>
    <m/>
    <m/>
    <m/>
    <m/>
    <d v="2025-09-01T00:00:00"/>
    <n v="1235"/>
    <d v="2025-09-01T00:00:00"/>
    <m/>
    <m/>
    <m/>
    <m/>
    <m/>
    <m/>
    <m/>
  </r>
  <r>
    <n v="192"/>
    <m/>
    <s v="2025-26"/>
    <n v="8"/>
    <n v="86"/>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3"/>
    <m/>
    <s v="2025-26"/>
    <n v="8"/>
    <n v="87"/>
    <s v="Construction of Gram Panchayat office (Frame structure) at Village Khakhariya Taluka: Shihor Dist. Bhavnagar"/>
    <m/>
    <s v="Shihor"/>
    <s v="Shihor"/>
    <s v="Building"/>
    <s v="Gram Panchayat"/>
    <n v="199701"/>
    <m/>
    <d v="2025-06-29T00:00:00"/>
    <d v="2025-07-10T00:00:00"/>
    <d v="2025-07-11T00:00:00"/>
    <d v="2025-11-07T00:00:00"/>
    <n v="2079935.08"/>
    <m/>
    <n v="1944531.31"/>
    <n v="-6.51"/>
    <s v="Below"/>
    <s v="Nineteen Lakh Forty Four Thousand Five Hundred Thirty One Rupees and Thirty One Paise Only"/>
    <s v="Division"/>
    <m/>
    <n v="1944531.31"/>
    <x v="16"/>
    <s v="ALIGBHAI LAKHUBHAI BARAL"/>
    <s v="At Bhandariya, Ta. Palitana, Dist. Bhavnagar"/>
    <n v="8780428967"/>
    <m/>
    <s v="CDP-5"/>
    <m/>
    <m/>
    <m/>
    <n v="4"/>
    <n v="98000"/>
    <d v="2027-03-11T00:00:00"/>
    <n v="4900"/>
    <n v="0"/>
    <d v="2026-01-20T00:00:00"/>
    <d v="2027-01-10T00:00:00"/>
    <n v="1095"/>
    <d v="2025-08-08T00:00:00"/>
    <s v="2025-26"/>
    <n v="99"/>
    <d v="2025-08-18T00:00:00"/>
    <s v="FDR"/>
    <s v="SAURASHTRA GRAMIN BANK"/>
    <n v="78048990945"/>
    <n v="98000"/>
    <d v="2025-08-18T00:00:00"/>
    <m/>
    <m/>
    <m/>
    <m/>
    <m/>
    <d v="2025-08-18T00:00:00"/>
    <n v="1179"/>
    <d v="2025-08-18T00:00:00"/>
    <m/>
    <m/>
    <m/>
    <m/>
    <m/>
    <m/>
    <m/>
  </r>
  <r>
    <n v="194"/>
    <m/>
    <s v="2025-26"/>
    <n v="8"/>
    <n v="88"/>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5"/>
    <m/>
    <s v="2025-26"/>
    <n v="8"/>
    <n v="89"/>
    <s v="Construction of Gram Panchayat office (Frame structure) at Village Khari Taluka:shihor Dist. Bhavnagar"/>
    <m/>
    <s v="Shihor"/>
    <s v="Shihor"/>
    <s v="Building"/>
    <s v="Gram Panchayat"/>
    <n v="199704"/>
    <m/>
    <d v="2025-06-29T00:00:00"/>
    <d v="2025-07-10T00:00:00"/>
    <d v="2025-07-11T00:00:00"/>
    <d v="2025-11-07T00:00:00"/>
    <n v="2079935.08"/>
    <m/>
    <n v="1951395.09"/>
    <n v="-6.18"/>
    <s v="Below"/>
    <s v="Nineteen Lakh Fifty One Thousand Three Hundred Ninety Five Rupees and Nine Paise Only"/>
    <s v="Division"/>
    <m/>
    <n v="1951395.09"/>
    <x v="44"/>
    <s v="Majithiya Dhruvin Nareshbhai"/>
    <s v="82/1, Bajaran Society, Near Gayatri Temple, Chitra, Bhavnagar-364004"/>
    <n v="8200557028"/>
    <m/>
    <s v="CDP-5"/>
    <m/>
    <m/>
    <m/>
    <n v="4"/>
    <n v="98000"/>
    <d v="2027-04-03T00:00:00"/>
    <n v="4900"/>
    <n v="0"/>
    <d v="2026-02-12T00:00:00"/>
    <d v="2027-02-02T00:00:00"/>
    <n v="1098"/>
    <d v="2025-08-08T00:00:00"/>
    <s v="2025-26"/>
    <n v="148"/>
    <d v="2025-09-10T00:00:00"/>
    <s v="FDR"/>
    <s v="Union Bank of India"/>
    <s v="348803060081616"/>
    <n v="98000"/>
    <d v="2025-08-28T00:00:00"/>
    <m/>
    <m/>
    <m/>
    <m/>
    <m/>
    <d v="2025-09-10T00:00:00"/>
    <n v="1292"/>
    <d v="2025-09-10T00:00:00"/>
    <m/>
    <m/>
    <m/>
    <m/>
    <m/>
    <m/>
    <m/>
  </r>
  <r>
    <n v="196"/>
    <m/>
    <s v="2025-26"/>
    <n v="8"/>
    <n v="90"/>
    <s v="Construction of Gram Panchayat office (Frame structure) at Village Madhada Taluka:Shihor Dist. Bhavnagar"/>
    <m/>
    <s v="Shihor"/>
    <s v="Shihor"/>
    <s v="Building"/>
    <s v="Gram Panchayat"/>
    <n v="199706"/>
    <n v="1"/>
    <d v="2025-06-29T00:00:00"/>
    <d v="2025-07-10T00:00:00"/>
    <d v="2025-07-11T00:00:00"/>
    <d v="2025-11-07T00:00:00"/>
    <n v="2079935.08"/>
    <m/>
    <n v="1915620.21"/>
    <n v="-7.9"/>
    <s v="Below"/>
    <s v="Nineteen Lakh Fifteen Thousand Six Hundred Twenty Rupees and Twenty One Paise Only"/>
    <s v="Division"/>
    <m/>
    <n v="1915620.21"/>
    <x v="41"/>
    <s v="KEVAL BUDHESHBHAI BHAYANI"/>
    <s v="235, Momai Krupa, Bhayani Sheri, Madhada, Ta. Shihor, Dist. Bhavnagar - 364240"/>
    <n v="8905890589"/>
    <m/>
    <m/>
    <m/>
    <m/>
    <m/>
    <n v="4"/>
    <n v="96000"/>
    <d v="2027-03-11T00:00:00"/>
    <n v="4800"/>
    <n v="0"/>
    <d v="2026-01-20T00:00:00"/>
    <d v="2027-01-10T00:00:00"/>
    <n v="1064"/>
    <d v="2025-08-04T00:00:00"/>
    <s v="2025-26"/>
    <n v="87"/>
    <d v="2025-08-18T00:00:00"/>
    <s v="FDR"/>
    <s v="State Bank of India"/>
    <s v="00000044367322253"/>
    <n v="96000"/>
    <d v="2025-08-11T00:00:00"/>
    <m/>
    <m/>
    <m/>
    <m/>
    <m/>
    <d v="2025-08-18T00:00:00"/>
    <n v="1166"/>
    <d v="2025-08-18T00:00:00"/>
    <m/>
    <m/>
    <m/>
    <m/>
    <m/>
    <m/>
    <m/>
  </r>
  <r>
    <n v="197"/>
    <m/>
    <s v="2025-26"/>
    <n v="8"/>
    <n v="9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8"/>
    <m/>
    <s v="2025-26"/>
    <n v="8"/>
    <n v="9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9"/>
    <m/>
    <s v="2025-26"/>
    <n v="8"/>
    <n v="93"/>
    <s v="Construction of Gram Panchayat office (Frame structure) at Village Sandhida Taluka: Shihor Dist. Bhavnagar"/>
    <m/>
    <s v="Shihor"/>
    <s v="Shihor"/>
    <s v="Building"/>
    <s v="Gram Panchayat"/>
    <n v="199709"/>
    <n v="1"/>
    <d v="2025-06-29T00:00:00"/>
    <d v="2025-07-10T00:00:00"/>
    <d v="2025-07-11T00:00:00"/>
    <d v="2025-11-07T00:00:00"/>
    <n v="2079935.08"/>
    <m/>
    <n v="1923731.96"/>
    <n v="-7.51"/>
    <s v="Below"/>
    <s v="Nineteen Lakh Twenty Three Thousand Seven Hundred Thirty One Rupees and Ninety Six Paise Only"/>
    <s v="Division"/>
    <m/>
    <n v="1923731.96"/>
    <x v="17"/>
    <s v="UDAYBHAI RAMKUBHAI LUNSAR"/>
    <s v="Shop No. 5, First Floor, Nilkanth Arcade, Opp. Arjun Tokiz, Palitana Road, Gariyadhar- 364505"/>
    <n v="9824226646"/>
    <m/>
    <s v="CDP-5"/>
    <m/>
    <m/>
    <m/>
    <n v="4"/>
    <n v="97000"/>
    <d v="2027-03-22T00:00:00"/>
    <n v="4800"/>
    <n v="0"/>
    <d v="2026-01-31T00:00:00"/>
    <d v="2027-01-21T00:00:00"/>
    <n v="1093"/>
    <d v="2025-08-08T00:00:00"/>
    <s v="2025-26"/>
    <n v="117"/>
    <d v="2025-08-29T00:00:00"/>
    <s v="FDR"/>
    <s v="State Bank of India"/>
    <n v="44407033346"/>
    <n v="97000"/>
    <d v="2025-08-26T00:00:00"/>
    <m/>
    <m/>
    <m/>
    <m/>
    <m/>
    <d v="2025-08-29T00:00:00"/>
    <n v="1219"/>
    <d v="2025-08-29T00:00:00"/>
    <m/>
    <m/>
    <m/>
    <m/>
    <m/>
    <m/>
    <m/>
  </r>
  <r>
    <n v="200"/>
    <m/>
    <s v="2025-26"/>
    <n v="8"/>
    <n v="94"/>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201"/>
    <m/>
    <s v="2025-26"/>
    <n v="8"/>
    <n v="9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202"/>
    <m/>
    <s v="2025-26"/>
    <n v="8"/>
    <n v="96"/>
    <s v="Construction of Gram Panchayat office (Frame structure) at Village Zariya Taluka:Shihor Dist. Bhavnagar"/>
    <m/>
    <s v="Shihor"/>
    <s v="Shihor"/>
    <s v="Building"/>
    <s v="Gram Panchayat"/>
    <n v="199712"/>
    <m/>
    <d v="2025-06-29T00:00:00"/>
    <d v="2025-07-10T00:00:00"/>
    <d v="2025-07-11T00:00:00"/>
    <d v="2025-11-07T00:00:00"/>
    <n v="2079935.08"/>
    <m/>
    <n v="1971778.46"/>
    <n v="-5.2"/>
    <s v="Below"/>
    <s v="Nineteen Lakh Seventy One Thousand Seven Hundred Seventy Eight Rupees and Forty Six Paise Only"/>
    <s v="Division"/>
    <m/>
    <n v="1971778.46"/>
    <x v="19"/>
    <s v="ASHOKBHAI PARSHOTAMBHAI_x000a_BARAIYA"/>
    <s v="At Lapaliya, Post- Nani Rajsthali, Tal. Palitana - 364270"/>
    <n v="9898775037"/>
    <m/>
    <m/>
    <m/>
    <m/>
    <m/>
    <n v="4"/>
    <n v="99000"/>
    <d v="2027-03-08T00:00:00"/>
    <n v="4900"/>
    <n v="0"/>
    <d v="2026-01-17T00:00:00"/>
    <d v="2027-01-07T00:00:00"/>
    <n v="1104"/>
    <d v="2025-08-08T00:00:00"/>
    <m/>
    <m/>
    <m/>
    <m/>
    <m/>
    <m/>
    <m/>
    <m/>
    <m/>
    <m/>
    <m/>
    <m/>
    <m/>
    <d v="2025-08-15T00:00:00"/>
    <m/>
    <m/>
    <m/>
    <m/>
    <m/>
    <m/>
    <m/>
    <m/>
    <m/>
  </r>
  <r>
    <n v="203"/>
    <m/>
    <s v="2025-26"/>
    <n v="8"/>
    <n v="97"/>
    <s v="Construction of Gram Panchayat office (Frame structure) at Village Juni Chhapari Taluka: Talaja Dist. Bhavnagar"/>
    <m/>
    <s v="Talaja"/>
    <s v="Talaja"/>
    <s v="Building"/>
    <s v="Gram Panchayat"/>
    <n v="200162"/>
    <m/>
    <d v="2025-06-29T00:00:00"/>
    <d v="2025-07-10T00:00:00"/>
    <d v="2025-07-11T00:00:00"/>
    <d v="2025-11-07T00:00:00"/>
    <n v="2079935.08"/>
    <m/>
    <n v="1938499.49"/>
    <n v="-6.8"/>
    <s v="Below"/>
    <s v="Nineteen Lakh Thirty Eight Thousand Four Hundred Ninety Nine Rupees and Forty Nine Paise Only"/>
    <s v="Division"/>
    <m/>
    <n v="1938499.49"/>
    <x v="29"/>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2"/>
    <d v="2025-08-08T00:00:00"/>
    <s v="2025-26"/>
    <n v="124"/>
    <d v="2025-08-30T00:00:00"/>
    <s v="FDR"/>
    <s v="ICICI BANK"/>
    <s v="771613001585"/>
    <n v="97000"/>
    <d v="2025-08-20T00:00:00"/>
    <m/>
    <m/>
    <m/>
    <m/>
    <m/>
    <d v="2025-08-30T00:00:00"/>
    <n v="1229"/>
    <d v="2025-08-30T00:00:00"/>
    <m/>
    <m/>
    <m/>
    <m/>
    <m/>
    <m/>
    <m/>
  </r>
  <r>
    <n v="204"/>
    <m/>
    <s v="2025-26"/>
    <n v="8"/>
    <n v="98"/>
    <s v="Construction of Gram Panchayat office (Frame structure) at Village Vejodari Taluka: Talaja Dist. Bhavnagar"/>
    <m/>
    <s v="Talaja"/>
    <s v="Talaja"/>
    <s v="Building"/>
    <s v="Gram Panchayat"/>
    <n v="200169"/>
    <m/>
    <d v="2025-06-29T00:00:00"/>
    <d v="2025-07-10T00:00:00"/>
    <d v="2025-07-11T00:00:00"/>
    <d v="2025-11-07T00:00:00"/>
    <n v="2079935.08"/>
    <m/>
    <n v="1934339.62"/>
    <n v="-7"/>
    <s v="Below"/>
    <s v="Nineteen Lakh Thirty Four Thousand Three Hundred Thirty Nine Rupees and Sixty Two Paise Only"/>
    <s v="Division"/>
    <m/>
    <n v="1934339.62"/>
    <x v="45"/>
    <s v="Modi Bhavik Nareshkumar"/>
    <s v="27, Ganesh Villa Bunglows, Rasian Nagar Society Same, Sidhdhapur Highway Road, Patan"/>
    <n v="7069196333"/>
    <m/>
    <s v="CDP-5"/>
    <m/>
    <m/>
    <m/>
    <n v="4"/>
    <n v="97000"/>
    <d v="2027-05-08T00:00:00"/>
    <n v="4800"/>
    <n v="0"/>
    <d v="2026-03-19T00:00:00"/>
    <d v="2027-03-09T00:00:00"/>
    <n v="1085"/>
    <d v="2025-08-07T00:00:00"/>
    <s v="2025-26"/>
    <n v="181"/>
    <d v="2025-10-13T00:00:00"/>
    <s v="FDR"/>
    <s v="The Mehsana Urban Co-Op. Bank Ltd. Mehsana"/>
    <s v="43201100017171"/>
    <n v="97000"/>
    <d v="2025-09-17T00:00:00"/>
    <m/>
    <m/>
    <m/>
    <m/>
    <m/>
    <d v="2025-10-15T00:00:00"/>
    <n v="1466"/>
    <d v="2025-10-13T00:00:00"/>
    <m/>
    <m/>
    <m/>
    <m/>
    <m/>
    <m/>
    <m/>
  </r>
  <r>
    <n v="205"/>
    <m/>
    <s v="2025-26"/>
    <n v="8"/>
    <n v="99"/>
    <s v="Construction of Gram Panchayat office (Frame structure) at Village Bhalar Taluka: Talaja Dist. Bhavnagar"/>
    <m/>
    <s v="Talaja"/>
    <s v="Talaja"/>
    <s v="Building"/>
    <s v="Gram Panchayat"/>
    <n v="200174"/>
    <m/>
    <d v="2025-06-29T00:00:00"/>
    <d v="2025-07-10T00:00:00"/>
    <d v="2025-07-11T00:00:00"/>
    <d v="2025-11-07T00:00:00"/>
    <n v="2079935.08"/>
    <m/>
    <n v="1948275.19"/>
    <n v="-6.33"/>
    <s v="Below"/>
    <s v="Nineteen Lakh Forty Eight Thousand Two Hundred Seventy Five Rupees and Nineteen Paise Only"/>
    <s v="Division"/>
    <m/>
    <n v="1948275.19"/>
    <x v="26"/>
    <s v="(1) Batiya Vishalbhai Vinubhai_x000a_(2) Dhandhukiya Umeshbhai "/>
    <s v="At. Dihor, Tana Varal Road, Shak Market, Ta. Talaja, Dist. Bhavnagar-364150"/>
    <n v="9067752267"/>
    <m/>
    <m/>
    <m/>
    <m/>
    <m/>
    <n v="4"/>
    <n v="98000"/>
    <d v="2027-03-08T00:00:00"/>
    <n v="4900"/>
    <n v="0"/>
    <d v="2026-01-17T00:00:00"/>
    <d v="2027-01-07T00:00:00"/>
    <n v="1097"/>
    <d v="2025-08-08T00:00:00"/>
    <m/>
    <m/>
    <m/>
    <m/>
    <m/>
    <m/>
    <m/>
    <m/>
    <m/>
    <m/>
    <m/>
    <m/>
    <m/>
    <d v="2025-08-15T00:00:00"/>
    <m/>
    <m/>
    <m/>
    <m/>
    <m/>
    <m/>
    <m/>
    <m/>
    <m/>
  </r>
  <r>
    <n v="206"/>
    <m/>
    <s v="2025-26"/>
    <n v="8"/>
    <n v="100"/>
    <s v="Construction of Gram Panchayat office (Frame structure) at Village Mangela Taluka: Talaja Dist. Bhavnagar"/>
    <m/>
    <s v="Talaja"/>
    <s v="Talaja"/>
    <s v="Building"/>
    <s v="Gram Panchayat"/>
    <n v="200178"/>
    <m/>
    <d v="2025-06-29T00:00:00"/>
    <d v="2025-07-10T00:00:00"/>
    <d v="2025-07-11T00:00:00"/>
    <d v="2025-11-07T00:00:00"/>
    <n v="2079935.08"/>
    <m/>
    <n v="1938915.48"/>
    <n v="-6.78"/>
    <s v="Below"/>
    <s v="Nineteen Lakh Thirty Eight Thousand Nine Hundred Fifteen Rupees and Forty Eight Paise Only"/>
    <s v="Division"/>
    <m/>
    <n v="1938915.48"/>
    <x v="29"/>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6"/>
    <d v="2025-08-08T00:00:00"/>
    <s v="2025-26"/>
    <n v="125"/>
    <d v="2025-08-30T00:00:00"/>
    <s v="FDR"/>
    <s v="ICICI BANK"/>
    <s v="771613001588"/>
    <n v="97000"/>
    <d v="2025-08-20T00:00:00"/>
    <m/>
    <m/>
    <m/>
    <m/>
    <m/>
    <d v="2025-08-30T00:00:00"/>
    <n v="1230"/>
    <d v="2025-08-30T00:00:00"/>
    <m/>
    <m/>
    <m/>
    <m/>
    <m/>
    <m/>
    <m/>
  </r>
  <r>
    <n v="207"/>
    <m/>
    <s v="2025-26"/>
    <n v="8"/>
    <n v="101"/>
    <s v="Construction of Gram Panchayat office (Frame structure) at Village Gadhesar Taluka:Talaja Dist. Bhavnagar"/>
    <m/>
    <s v="Talaja"/>
    <s v="Talaja"/>
    <s v="Building"/>
    <s v="Gram Panchayat"/>
    <n v="200180"/>
    <m/>
    <d v="2025-06-29T00:00:00"/>
    <d v="2025-07-10T00:00:00"/>
    <d v="2025-07-11T00:00:00"/>
    <d v="2025-11-07T00:00:00"/>
    <n v="2079935.08"/>
    <m/>
    <n v="1938499.49"/>
    <n v="-6.8"/>
    <s v="Below"/>
    <s v="Nineteen Lakh Thirty Eight Thousand Four Hundred Ninety Nine Rupees and Forty Nine Paise Only"/>
    <s v="Division"/>
    <m/>
    <n v="1938499.49"/>
    <x v="29"/>
    <s v="KISHANKUMAR PATABHAI KALSARIYA"/>
    <s v="Survey No. 374 P/A 2-16, Office No. 2, Left side of Entry Gate of Balkrushna Campus, Gir Gadhada Road, At. Una, Taluka Una, Dist. Gir Somnath - 362560"/>
    <n v="9824251035"/>
    <m/>
    <s v="CDP-5"/>
    <m/>
    <m/>
    <m/>
    <m/>
    <n v="97000"/>
    <d v="2026-11-23T00:00:00"/>
    <n v="4800"/>
    <n v="0"/>
    <d v="2025-10-04T00:00:00"/>
    <d v="2026-09-24T00:00:00"/>
    <n v="1083"/>
    <d v="2025-08-07T00:00:00"/>
    <s v="2025-26"/>
    <n v="126"/>
    <d v="2025-08-30T00:00:00"/>
    <s v="FDR"/>
    <s v="ICICI BANK"/>
    <s v="771613001586"/>
    <n v="97000"/>
    <d v="2025-08-20T00:00:00"/>
    <m/>
    <m/>
    <m/>
    <m/>
    <m/>
    <d v="2025-08-30T00:00:00"/>
    <n v="1231"/>
    <d v="2025-08-30T00:00:00"/>
    <m/>
    <m/>
    <m/>
    <m/>
    <m/>
    <m/>
    <m/>
  </r>
  <r>
    <n v="208"/>
    <m/>
    <s v="2025-26"/>
    <n v="8"/>
    <n v="102"/>
    <s v="Construction of Gram Panchayat office (Frame structure) at Village Vavadi Taluka: Talaja Dist. Bhavnagar"/>
    <m/>
    <s v="Talaja"/>
    <s v="Talaja"/>
    <s v="Building"/>
    <s v="Gram Panchayat"/>
    <n v="200181"/>
    <m/>
    <d v="2025-06-29T00:00:00"/>
    <d v="2025-07-10T00:00:00"/>
    <d v="2025-07-11T00:00:00"/>
    <d v="2025-11-07T00:00:00"/>
    <n v="2079935.08"/>
    <m/>
    <n v="1916036.2"/>
    <n v="-7.88"/>
    <s v="Below"/>
    <s v="Nineteen Lakh Sixteen Thousand Thirty Six Rupees and Two Paise Only"/>
    <s v="Division"/>
    <m/>
    <n v="1916036.2"/>
    <x v="28"/>
    <n v="0"/>
    <s v="At Bordi, Post - Borda, Ta. Talaja, Dist. Bhavnagar - 364130"/>
    <n v="0"/>
    <m/>
    <s v="CDP-5"/>
    <m/>
    <m/>
    <m/>
    <n v="4"/>
    <n v="96000"/>
    <d v="2027-03-26T00:00:00"/>
    <n v="4800"/>
    <n v="0"/>
    <d v="2026-02-04T00:00:00"/>
    <d v="2027-01-25T00:00:00"/>
    <n v="1103"/>
    <d v="2025-08-08T00:00:00"/>
    <s v="2025-26"/>
    <n v="140"/>
    <d v="2025-09-02T00:00:00"/>
    <s v="FDR"/>
    <s v="Central Bank of India"/>
    <n v="5856183073"/>
    <n v="96000"/>
    <d v="2025-08-18T00:00:00"/>
    <m/>
    <m/>
    <m/>
    <m/>
    <m/>
    <d v="2025-09-02T00:00:00"/>
    <n v="1251"/>
    <d v="2025-09-02T00:00:00"/>
    <m/>
    <m/>
    <m/>
    <m/>
    <m/>
    <m/>
    <m/>
  </r>
  <r>
    <n v="209"/>
    <m/>
    <s v="2025-26"/>
    <n v="8"/>
    <n v="103"/>
    <s v="Construction of Gram Panchayat office (Frame structure) at Village Ghantarvala Taluka: Talaja Dist. Bhavnagar"/>
    <m/>
    <s v="Talaja"/>
    <s v="Talaja"/>
    <s v="Building"/>
    <s v="Gram Panchayat"/>
    <n v="200182"/>
    <m/>
    <d v="2025-06-29T00:00:00"/>
    <d v="2025-07-10T00:00:00"/>
    <d v="2025-07-11T00:00:00"/>
    <d v="2025-11-07T00:00:00"/>
    <n v="2079935.08"/>
    <m/>
    <n v="1927059.85"/>
    <n v="-7.35"/>
    <s v="Below"/>
    <s v="Nineteen Lakh Twenty Seven Thousand Fifty Nine Rupees and Eighty Five Paise Only"/>
    <s v="Division"/>
    <m/>
    <n v="1927059.85"/>
    <x v="46"/>
    <n v="0"/>
    <s v="Plot No. 37, Street No. 5, Gautameshvar Nagar-2, Chitra, Bhavnagar - 364001"/>
    <n v="9427233858"/>
    <m/>
    <s v="CDP-5"/>
    <m/>
    <m/>
    <m/>
    <n v="4"/>
    <n v="97000"/>
    <d v="2027-03-26T00:00:00"/>
    <n v="4800"/>
    <n v="0"/>
    <d v="2026-02-04T00:00:00"/>
    <d v="2027-01-25T00:00:00"/>
    <n v="1102"/>
    <d v="2025-08-08T00:00:00"/>
    <s v="2025-26"/>
    <n v="137"/>
    <d v="2025-09-02T00:00:00"/>
    <s v="FDR"/>
    <s v="SAURASHTRA GRAMIN BANK"/>
    <n v="78049045980"/>
    <n v="97000"/>
    <d v="2025-08-22T00:00:00"/>
    <m/>
    <m/>
    <m/>
    <m/>
    <m/>
    <d v="2025-09-02T00:00:00"/>
    <n v="1248"/>
    <d v="2025-09-02T00:00:00"/>
    <m/>
    <m/>
    <m/>
    <m/>
    <m/>
    <m/>
    <m/>
  </r>
  <r>
    <n v="210"/>
    <m/>
    <s v="2025-26"/>
    <n v="8"/>
    <n v="104"/>
    <s v="Construction of Gram Panchayat office (Frame structure) at Village Bhadraval-1 Taluka: Talaja Dist. Bhavnagar"/>
    <m/>
    <s v="Talaja"/>
    <s v="Talaja"/>
    <s v="Building"/>
    <s v="Gram Panchayat"/>
    <n v="200183"/>
    <m/>
    <d v="2025-06-29T00:00:00"/>
    <d v="2025-07-10T00:00:00"/>
    <d v="2025-07-11T00:00:00"/>
    <d v="2025-11-07T00:00:00"/>
    <n v="2079935.08"/>
    <m/>
    <n v="1927059.85"/>
    <n v="-7.35"/>
    <s v="Below"/>
    <s v="Nineteen Lakh Twenty Seven Thousand Fifty Nine Rupees and Eighty Five Paise Only"/>
    <s v="Division"/>
    <m/>
    <n v="1927059.85"/>
    <x v="46"/>
    <n v="0"/>
    <s v="Plot No. 37, Street No. 5, Gautameshvar Nagar-2, Chitra, Bhavnagar - 364001"/>
    <n v="9427233858"/>
    <m/>
    <s v="CDP-5"/>
    <m/>
    <m/>
    <m/>
    <n v="4"/>
    <n v="97000"/>
    <d v="2027-03-26T00:00:00"/>
    <n v="4800"/>
    <n v="0"/>
    <d v="2026-02-04T00:00:00"/>
    <d v="2027-01-25T00:00:00"/>
    <n v="1101"/>
    <d v="2025-08-08T00:00:00"/>
    <s v="2025-26"/>
    <n v="138"/>
    <d v="2025-09-02T00:00:00"/>
    <s v="FDR"/>
    <s v="SAURASHTRA GRAMIN BANK"/>
    <n v="78049046008"/>
    <n v="97000"/>
    <d v="2025-08-22T00:00:00"/>
    <m/>
    <m/>
    <m/>
    <m/>
    <m/>
    <d v="2025-09-02T00:00:00"/>
    <n v="1249"/>
    <d v="2025-09-02T00:00:00"/>
    <m/>
    <m/>
    <m/>
    <m/>
    <m/>
    <m/>
    <m/>
  </r>
  <r>
    <n v="211"/>
    <m/>
    <s v="2025-26"/>
    <n v="8"/>
    <n v="10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212"/>
    <m/>
    <s v="2025-26"/>
    <n v="8"/>
    <n v="106"/>
    <s v="Construction of Gram Panchayat office (Frame structure) at Village Ayavej-1 Tal. Jesar Dist. Bhavnagar"/>
    <m/>
    <s v="Jesar"/>
    <s v="Mahuva"/>
    <s v="Building"/>
    <s v="Gram Panchayat"/>
    <n v="200188"/>
    <m/>
    <d v="2025-06-29T00:00:00"/>
    <d v="2025-07-10T00:00:00"/>
    <d v="2025-07-11T00:00:00"/>
    <d v="2025-11-07T00:00:00"/>
    <n v="2079935.08"/>
    <m/>
    <n v="1895028.85"/>
    <n v="-8.89"/>
    <s v="Below"/>
    <s v="Eighteen Lakh Ninety Five Thousand Twenty Eight Rupees and Eighty Five Paise Only"/>
    <s v="Division"/>
    <m/>
    <n v="1895028.85"/>
    <x v="22"/>
    <s v="Labhshankar ladhva"/>
    <s v="At Po. Karmadiya, Via Thaliya, Ta. Mahuva, Dist. Bhavnagar - 364145"/>
    <n v="9825445121"/>
    <m/>
    <s v="CDP-5"/>
    <m/>
    <m/>
    <m/>
    <n v="4"/>
    <n v="95000"/>
    <d v="2027-03-25T00:00:00"/>
    <n v="4700"/>
    <n v="0"/>
    <d v="2026-02-03T00:00:00"/>
    <d v="2027-01-24T00:00:00"/>
    <n v="1091"/>
    <d v="2025-08-08T00:00:00"/>
    <m/>
    <m/>
    <m/>
    <m/>
    <m/>
    <m/>
    <m/>
    <d v="2025-08-18T00:00:00"/>
    <m/>
    <m/>
    <m/>
    <m/>
    <m/>
    <d v="2025-09-01T00:00:00"/>
    <m/>
    <m/>
    <m/>
    <m/>
    <m/>
    <m/>
    <m/>
    <m/>
    <m/>
  </r>
  <r>
    <n v="213"/>
    <m/>
    <s v="2025-26"/>
    <n v="8"/>
    <n v="107"/>
    <s v="Construction of Gram Panchayat office (Frame structure) at Village Datretiya Taluka: Vallabhipur Dist. Bhavnagar"/>
    <m/>
    <s v="Vallabhipur"/>
    <s v="Vallabhipur"/>
    <s v="Building"/>
    <s v="Gram Panchayat"/>
    <n v="200189"/>
    <m/>
    <d v="2025-06-29T00:00:00"/>
    <d v="2025-07-10T00:00:00"/>
    <d v="2025-07-11T00:00:00"/>
    <d v="2025-11-07T00:00:00"/>
    <n v="2079935.08"/>
    <m/>
    <n v="1806839.6"/>
    <n v="-13.13"/>
    <s v="Below"/>
    <s v="Eighteen Lakh Six Thousand Eight Hundred Thirty Nine Rupees and Six Paise Only"/>
    <s v="Division"/>
    <m/>
    <n v="1806839.6"/>
    <x v="47"/>
    <s v="Pandya Dhairya Bhanushankar"/>
    <s v="At Block No. 296, Street No. 11, Rayjinagar Society, Motibaug Road, Junagadh, Dist. Junagadh"/>
    <n v="7405745505"/>
    <m/>
    <s v="CDP-5"/>
    <m/>
    <m/>
    <m/>
    <n v="4"/>
    <n v="91000"/>
    <d v="2027-03-25T00:00:00"/>
    <n v="5200"/>
    <n v="14000"/>
    <d v="2026-02-03T00:00:00"/>
    <d v="2027-01-24T00:00:00"/>
    <n v="1082"/>
    <d v="2025-08-07T00:00:00"/>
    <s v="2025-26"/>
    <n v="132"/>
    <d v="2025-09-01T00:00:00"/>
    <s v="FDR"/>
    <s v="INDIAN BANK"/>
    <n v="81157135161"/>
    <n v="91000"/>
    <d v="2025-08-25T00:00:00"/>
    <s v="FDR"/>
    <s v="INDIAN BANK"/>
    <n v="8115723852"/>
    <n v="14000"/>
    <d v="2025-08-25T00:00:00"/>
    <d v="2025-09-01T00:00:00"/>
    <n v="1242"/>
    <d v="2025-09-01T00:00:00"/>
    <m/>
    <m/>
    <m/>
    <m/>
    <m/>
    <m/>
    <m/>
  </r>
  <r>
    <n v="214"/>
    <m/>
    <s v="2025-26"/>
    <n v="8"/>
    <n v="108"/>
    <s v="Construction of Gram Panchayat office (Frame structure) at Village Kalyanpur Taluka:Vallabhipur Dist. Bhavnagar"/>
    <m/>
    <s v="Vallabhipur"/>
    <s v="Vallabhipur"/>
    <s v="Building"/>
    <s v="Gram Panchayat"/>
    <n v="200191"/>
    <m/>
    <d v="2025-06-29T00:00:00"/>
    <d v="2025-07-10T00:00:00"/>
    <d v="2025-07-11T00:00:00"/>
    <d v="2025-11-07T00:00:00"/>
    <n v="2079935.08"/>
    <m/>
    <n v="1808919.54"/>
    <n v="-13.03"/>
    <s v="Below"/>
    <s v="Eighteen Lakh Eight Thousand Nine Hundred Nineteen Rupees and Fifty Four Paise Only"/>
    <s v="Division"/>
    <m/>
    <n v="1808919.54"/>
    <x v="47"/>
    <s v="Pandya Dhairya Bhanushankar"/>
    <s v="At Block No. 296, Street No. 11, Rayjinagar Society, Motibaug Road, Junagadh, Dist. Junagadh"/>
    <n v="7405745505"/>
    <m/>
    <s v="CDP-5"/>
    <m/>
    <m/>
    <m/>
    <n v="4"/>
    <n v="91000"/>
    <d v="2027-03-25T00:00:00"/>
    <n v="5100"/>
    <n v="13000"/>
    <d v="2026-02-03T00:00:00"/>
    <d v="2027-01-24T00:00:00"/>
    <n v="1109"/>
    <d v="2025-08-08T00:00:00"/>
    <s v="2025-26"/>
    <n v="133"/>
    <d v="2025-09-01T00:00:00"/>
    <s v="FDR"/>
    <s v="INDIAN BANK"/>
    <n v="8115717464"/>
    <n v="91000"/>
    <d v="2025-08-25T00:00:00"/>
    <s v="FDR"/>
    <s v="INDIAN BANK"/>
    <n v="8115724641"/>
    <n v="13000"/>
    <d v="2025-08-25T00:00:00"/>
    <d v="2025-09-01T00:00:00"/>
    <n v="1243"/>
    <d v="2025-09-01T00:00:00"/>
    <m/>
    <m/>
    <m/>
    <m/>
    <m/>
    <m/>
    <m/>
  </r>
  <r>
    <n v="215"/>
    <m/>
    <s v="2025-26"/>
    <n v="8"/>
    <n v="109"/>
    <s v="Construction of Gram Panchayat office (Frame structure) at Village Meghavadar Taluka: Vallbhipur Dist. Bhavnagar"/>
    <m/>
    <s v="Vallabhipur"/>
    <s v="Vallabhipur"/>
    <s v="Building"/>
    <s v="Gram Panchayat"/>
    <n v="200193"/>
    <m/>
    <d v="2025-06-29T00:00:00"/>
    <d v="2025-07-10T00:00:00"/>
    <d v="2025-07-11T00:00:00"/>
    <d v="2025-11-07T00:00:00"/>
    <n v="2079935.08"/>
    <m/>
    <n v="1809543.52"/>
    <n v="-13"/>
    <s v="Below"/>
    <s v="Eighteen Lakh Nine Thousand Five Hundred Forty Three Rupees and Fifty Two Paise Only"/>
    <s v="Division"/>
    <m/>
    <n v="1809543.52"/>
    <x v="47"/>
    <s v="Pandya Dhairya Bhanushankar"/>
    <s v="At Block No. 296, Street No. 11, Rayjinagar Society, Motibaug Road, Junagadh, Dist. Junagadh"/>
    <n v="7405745505"/>
    <m/>
    <s v="CDP-5"/>
    <m/>
    <m/>
    <m/>
    <n v="4"/>
    <n v="91000"/>
    <d v="2027-03-25T00:00:00"/>
    <n v="5100"/>
    <n v="13000"/>
    <d v="2026-02-03T00:00:00"/>
    <d v="2027-01-24T00:00:00"/>
    <n v="1081"/>
    <d v="2025-08-07T00:00:00"/>
    <s v="2025-26"/>
    <n v="134"/>
    <d v="2025-09-01T00:00:00"/>
    <s v="FDR"/>
    <s v="INDIAN BANK"/>
    <n v="8115717689"/>
    <n v="91000"/>
    <d v="2025-08-25T00:00:00"/>
    <s v="FDR"/>
    <s v="INDIAN BANK"/>
    <n v="8115724562"/>
    <n v="13000"/>
    <d v="2025-08-25T00:00:00"/>
    <d v="2025-09-01T00:00:00"/>
    <n v="1244"/>
    <d v="2025-09-01T00:00:00"/>
    <m/>
    <m/>
    <m/>
    <m/>
    <m/>
    <m/>
    <m/>
  </r>
  <r>
    <n v="216"/>
    <m/>
    <s v="2025-26"/>
    <n v="8"/>
    <n v="110"/>
    <s v="Construction of Gram Panchayat office (Frame structure) at Village Pipariya Taluka:Vallabhipur Dist. Bhavnagar"/>
    <m/>
    <s v="Vallabhipur"/>
    <s v="Vallabhipur"/>
    <s v="Building"/>
    <s v="Gram Panchayat"/>
    <n v="200194"/>
    <m/>
    <d v="2025-06-29T00:00:00"/>
    <d v="2025-07-10T00:00:00"/>
    <d v="2025-07-11T00:00:00"/>
    <d v="2025-11-07T00:00:00"/>
    <n v="2079935.08"/>
    <m/>
    <n v="1827846.95"/>
    <n v="-12.12"/>
    <s v="Below"/>
    <s v="Eighteen Lakh Twenty Seven Thousand Eight Hundred Forty Six Rupees and Ninety Five Paise Only"/>
    <s v="Division"/>
    <m/>
    <n v="1827846.95"/>
    <x v="47"/>
    <s v="Pandya Dhairya Bhanushankar"/>
    <s v="At Block No. 296, Street No. 11, Rayjinagar Society, Motibaug Road, Junagadh, Dist. Junagadh"/>
    <n v="7405745505"/>
    <m/>
    <s v="CDP-5"/>
    <m/>
    <m/>
    <m/>
    <n v="4"/>
    <n v="92000"/>
    <d v="2027-03-25T00:00:00"/>
    <n v="5000"/>
    <n v="9000"/>
    <d v="2026-02-03T00:00:00"/>
    <d v="2027-01-24T00:00:00"/>
    <n v="1084"/>
    <d v="2025-08-07T00:00:00"/>
    <s v="2025-26"/>
    <n v="135"/>
    <d v="2025-09-01T00:00:00"/>
    <s v="FDR"/>
    <s v="INDIAN BANK"/>
    <n v="8115717747"/>
    <n v="92000"/>
    <d v="2025-08-25T00:00:00"/>
    <s v="FDR"/>
    <s v="INDIAN BANK"/>
    <n v="8115723976"/>
    <n v="9000"/>
    <d v="2025-08-25T00:00:00"/>
    <d v="2025-09-01T00:00:00"/>
    <n v="1245"/>
    <d v="2025-09-01T00:00:00"/>
    <m/>
    <m/>
    <m/>
    <m/>
    <m/>
    <m/>
    <m/>
  </r>
  <r>
    <n v="217"/>
    <m/>
    <s v="2025-26"/>
    <n v="8"/>
    <n v="111"/>
    <s v="Construction of Gram Panchayat office (Frame structure) at Village Chada Taluka: Vallabhipur Dist. Bhavnagar"/>
    <m/>
    <s v="Vallabhipur"/>
    <s v="Vallabhipur"/>
    <s v="Building"/>
    <s v="Gram Panchayat"/>
    <n v="200196"/>
    <n v="1"/>
    <d v="2025-06-29T00:00:00"/>
    <d v="2025-07-10T00:00:00"/>
    <d v="2025-07-11T00:00:00"/>
    <d v="2025-11-07T00:00:00"/>
    <n v="2079935.08"/>
    <m/>
    <n v="1848854.29"/>
    <n v="-11.11"/>
    <s v="Below"/>
    <s v="Eighteen Lakh Forty Eight Thousand Eight Hundred Fifty Four Rupees and Twenty Nine Paise Only"/>
    <s v="Division"/>
    <m/>
    <n v="1848854.29"/>
    <x v="47"/>
    <s v="Pandya Dhairya Bhanushankar"/>
    <s v="At Block No. 296, Street No. 11, Rayjinagar Society, Motibaug Road, Junagadh, Dist. Junagadh"/>
    <n v="7405745505"/>
    <m/>
    <s v="CDP-5"/>
    <m/>
    <m/>
    <m/>
    <n v="4"/>
    <n v="93000"/>
    <d v="2027-03-25T00:00:00"/>
    <n v="4900"/>
    <n v="5000"/>
    <d v="2026-02-03T00:00:00"/>
    <d v="2027-01-24T00:00:00"/>
    <n v="1086"/>
    <d v="2025-08-07T00:00:00"/>
    <s v="2025-26"/>
    <n v="136"/>
    <d v="2025-09-01T00:00:00"/>
    <s v="FDR"/>
    <s v="INDIAN BANK"/>
    <n v="8115718242"/>
    <n v="93000"/>
    <d v="2025-08-25T00:00:00"/>
    <s v="FDR"/>
    <s v="INDIAN BANK"/>
    <n v="8115724028"/>
    <n v="5000"/>
    <d v="2025-08-25T00:00:00"/>
    <d v="2025-09-01T00:00:00"/>
    <n v="1246"/>
    <d v="2025-09-01T00:00:00"/>
    <m/>
    <m/>
    <m/>
    <m/>
    <m/>
    <m/>
    <m/>
  </r>
  <r>
    <n v="218"/>
    <m/>
    <s v="2025-26"/>
    <n v="8"/>
    <n v="112"/>
    <s v="Construction of Gram Panchayat office ( for Population from 5000- 10000) at Village Boradi Tal. Mahuva Dist. Bhavnagar"/>
    <m/>
    <s v="Mahuva"/>
    <s v="Mahuva"/>
    <s v="Building"/>
    <s v="Gram Panchayat"/>
    <n v="200221"/>
    <n v="1"/>
    <d v="2025-06-29T00:00:00"/>
    <d v="2025-07-10T00:00:00"/>
    <d v="2025-07-11T00:00:00"/>
    <d v="2025-11-07T00:00:00"/>
    <n v="2880130.57"/>
    <m/>
    <n v="2880130.57"/>
    <n v="0"/>
    <s v="Equals"/>
    <s v="Twenty Eight Lakh Eighty Thousand One Hundred Thirty Rupees and Fifty Seven Paise Only"/>
    <s v="Division"/>
    <m/>
    <n v="2880130.57"/>
    <x v="48"/>
    <n v="0"/>
    <s v="At Village Chardika, Ta. Mahuva, Dist. Bhavnagar - "/>
    <n v="9537101694"/>
    <m/>
    <s v="DMF"/>
    <m/>
    <m/>
    <m/>
    <n v="4"/>
    <n v="145000"/>
    <d v="2027-04-24T00:00:00"/>
    <n v="7200"/>
    <n v="0"/>
    <d v="2026-03-05T00:00:00"/>
    <d v="2027-02-23T00:00:00"/>
    <n v="1264"/>
    <d v="2025-09-04T00:00:00"/>
    <s v="2025-26"/>
    <n v="170"/>
    <d v="2025-10-01T00:00:00"/>
    <s v="FDR"/>
    <s v="State Bank of India"/>
    <n v="44485205124"/>
    <n v="145000"/>
    <d v="2025-09-19T00:00:00"/>
    <m/>
    <m/>
    <m/>
    <m/>
    <m/>
    <d v="2025-10-01T00:00:00"/>
    <n v="1411"/>
    <d v="2025-10-01T00:00:00"/>
    <m/>
    <m/>
    <m/>
    <m/>
    <m/>
    <m/>
    <m/>
  </r>
  <r>
    <n v="219"/>
    <m/>
    <s v="2025-26"/>
    <n v="8"/>
    <n v="113"/>
    <s v="Construction of Gram Panchayat office ( for Population from 5000- 10000) at Village Uncha Kotda Tal. Mahuva Dist. Bhavnagar"/>
    <m/>
    <s v="Mahuva"/>
    <s v="Mahuva"/>
    <s v="Building"/>
    <s v="Gram Panchayat"/>
    <n v="200222"/>
    <m/>
    <d v="2025-06-29T00:00:00"/>
    <d v="2025-07-10T00:00:00"/>
    <d v="2025-07-11T00:00:00"/>
    <d v="2025-11-07T00:00:00"/>
    <n v="2880130.57"/>
    <m/>
    <n v="2785662.29"/>
    <n v="-3.28"/>
    <s v="Below"/>
    <s v="Twenty Seven Lakh Eighty Five Thousand Six Hundred Sixty Two Rupees and Twenty Nine Paise Only"/>
    <s v="Division"/>
    <m/>
    <n v="2785662.29"/>
    <x v="32"/>
    <s v="Pratapbhai Lakhubhai Beparia"/>
    <s v="At Lothpur, Ta. Jafarabad, Dist. Amreli - 365540"/>
    <n v="9727987777"/>
    <m/>
    <s v="DMF"/>
    <m/>
    <m/>
    <m/>
    <n v="4"/>
    <n v="140000"/>
    <d v="2027-04-04T00:00:00"/>
    <n v="6900"/>
    <n v="0"/>
    <d v="2026-02-13T00:00:00"/>
    <d v="2027-02-03T00:00:00"/>
    <n v="1105"/>
    <d v="2025-08-08T00:00:00"/>
    <s v="2025-26"/>
    <n v="153"/>
    <d v="2025-09-11T00:00:00"/>
    <s v="FDR"/>
    <s v="ICICI BANK"/>
    <s v="162313004877"/>
    <n v="140000"/>
    <d v="2025-08-20T00:00:00"/>
    <m/>
    <m/>
    <m/>
    <m/>
    <m/>
    <d v="2025-09-11T00:00:00"/>
    <n v="1298"/>
    <d v="2025-09-11T00:00:00"/>
    <m/>
    <m/>
    <m/>
    <m/>
    <m/>
    <m/>
    <m/>
  </r>
  <r>
    <n v="220"/>
    <m/>
    <s v="2025-26"/>
    <n v="8"/>
    <n v="114"/>
    <s v="Construction of Primary School Room at Navajaliya Ta:Shihor Dist:Bhavnagar"/>
    <m/>
    <s v="Shihor"/>
    <s v="Shihor"/>
    <s v="Building"/>
    <s v="School Room"/>
    <n v="200223"/>
    <n v="1"/>
    <d v="2025-06-29T00:00:00"/>
    <d v="2025-07-10T00:00:00"/>
    <d v="2025-07-11T00:00:00"/>
    <d v="2025-11-07T00:00:00"/>
    <n v="1634615.63"/>
    <m/>
    <n v="1547490.62"/>
    <n v="-5.33"/>
    <s v="Below"/>
    <s v="Fifteen Lakh Forty Seven Thousand Four Hundred Ninety Rupees and Sixty Two Paise Only"/>
    <s v="Division"/>
    <m/>
    <n v="1547490.62"/>
    <x v="49"/>
    <n v="0"/>
    <s v="467, RAMAPIRDHAR, DIHOR, TALAJA, DIST.  BHAVNAGAR -364150"/>
    <n v="9825755273"/>
    <m/>
    <m/>
    <m/>
    <m/>
    <m/>
    <n v="4"/>
    <n v="78000"/>
    <d v="2027-03-11T00:00:00"/>
    <n v="3900"/>
    <n v="0"/>
    <d v="2026-01-20T00:00:00"/>
    <d v="2027-01-10T00:00:00"/>
    <n v="1004"/>
    <d v="2025-07-23T00:00:00"/>
    <s v="2025-26"/>
    <n v="85"/>
    <d v="2025-08-18T00:00:00"/>
    <s v="FDR"/>
    <s v="State Bank of India"/>
    <n v="44347721147"/>
    <n v="78000"/>
    <d v="2025-08-05T00:00:00"/>
    <m/>
    <m/>
    <m/>
    <m/>
    <m/>
    <d v="2025-08-18T00:00:00"/>
    <n v="1164"/>
    <d v="2025-08-18T00:00:00"/>
    <m/>
    <m/>
    <m/>
    <m/>
    <m/>
    <m/>
    <m/>
  </r>
  <r>
    <n v="221"/>
    <m/>
    <s v="2025-26"/>
    <n v="8"/>
    <n v="115"/>
    <s v="Construction of Primary School Room at Khambha Ta:Shihor Dist:Bhavnagar"/>
    <m/>
    <s v="Shihor"/>
    <s v="Shihor"/>
    <s v="Building"/>
    <s v="School Room"/>
    <n v="200224"/>
    <n v="1"/>
    <d v="2025-06-29T00:00:00"/>
    <d v="2025-07-10T00:00:00"/>
    <d v="2025-07-11T00:00:00"/>
    <d v="2025-11-07T00:00:00"/>
    <n v="1634615.63"/>
    <m/>
    <n v="1471317.53"/>
    <n v="-9.99"/>
    <s v="Below"/>
    <s v="Fourteen Lakh Seventy One Thousand Three Hundred Seventeen Rupees and Fifty Three Paise Only"/>
    <s v="Division"/>
    <m/>
    <n v="1471317.53"/>
    <x v="17"/>
    <s v="UDAYBHAI RAMKUBHAI LUNSAR"/>
    <s v="Shop No. 5, First Floor, Nilkanth Arcade, Opp. Arjun Tokiz, Palitana Road, Gariyadhar- 364505"/>
    <n v="9824226646"/>
    <m/>
    <s v="MP Grant - Shri Masukhbhai Mandaviya Fund - 2023-24"/>
    <m/>
    <m/>
    <m/>
    <n v="4"/>
    <n v="74000"/>
    <d v="2027-03-25T00:00:00"/>
    <n v="3700"/>
    <n v="0"/>
    <d v="2026-02-03T00:00:00"/>
    <d v="2027-01-24T00:00:00"/>
    <n v="1005"/>
    <d v="2025-07-23T00:00:00"/>
    <s v="2025-26"/>
    <n v="130"/>
    <d v="2025-09-01T00:00:00"/>
    <s v="FDR"/>
    <s v="State Bank of India"/>
    <n v="44407093384"/>
    <n v="74000"/>
    <d v="2025-08-26T00:00:00"/>
    <m/>
    <m/>
    <m/>
    <m/>
    <m/>
    <d v="2025-09-01T00:00:00"/>
    <n v="1237"/>
    <d v="2025-09-01T00:00:00"/>
    <m/>
    <m/>
    <m/>
    <m/>
    <m/>
    <m/>
    <m/>
  </r>
  <r>
    <n v="222"/>
    <m/>
    <s v="2025-26"/>
    <n v="8"/>
    <n v="116"/>
    <s v="Construction of Primary School Room at Khambha Plot Ta:Shihor Dist:Bhavnagar"/>
    <m/>
    <s v="Shihor"/>
    <s v="Shihor"/>
    <s v="Building"/>
    <s v="School Room"/>
    <n v="200225"/>
    <n v="1"/>
    <d v="2025-06-29T00:00:00"/>
    <d v="2025-07-10T00:00:00"/>
    <d v="2025-07-11T00:00:00"/>
    <d v="2025-11-07T00:00:00"/>
    <n v="1634615.63"/>
    <m/>
    <n v="1487663.68"/>
    <n v="-8.99"/>
    <s v="Below"/>
    <s v="Fourteen Lakh Eighty Seven Thousand Six Hundred Sixty Three Rupees and Sixty Eight Paise Only"/>
    <s v="Division"/>
    <m/>
    <n v="1487663.68"/>
    <x v="17"/>
    <s v="UDAYBHAI RAMKUBHAI LUNSAR"/>
    <s v="Shop No. 5, First Floor, Nilkanth Arcade, Opp. Arjun Tokiz, Palitana Road, Gariyadhar- 364505"/>
    <n v="9824226646"/>
    <m/>
    <s v="MP Grant - Shri Masukhbhai Mandaviya Fund - 2023-24"/>
    <m/>
    <m/>
    <m/>
    <n v="4"/>
    <n v="75000"/>
    <d v="2027-04-24T00:00:00"/>
    <n v="3700"/>
    <n v="0"/>
    <d v="2026-03-05T00:00:00"/>
    <d v="2027-02-23T00:00:00"/>
    <n v="1006"/>
    <d v="2025-07-23T00:00:00"/>
    <s v="2025-26"/>
    <n v="158"/>
    <d v="2025-09-11T00:00:00"/>
    <s v="FDR"/>
    <s v="State Bank of India"/>
    <n v="44407033363"/>
    <n v="75000"/>
    <d v="2025-08-30T00:00:00"/>
    <m/>
    <m/>
    <m/>
    <m/>
    <m/>
    <d v="2025-10-01T00:00:00"/>
    <n v="1401"/>
    <d v="2025-10-01T00:00:00"/>
    <m/>
    <m/>
    <m/>
    <m/>
    <m/>
    <m/>
    <m/>
  </r>
  <r>
    <n v="223"/>
    <m/>
    <s v="2025-26"/>
    <n v="8"/>
    <n v="117"/>
    <s v="Construction of Primary School Room at Juna Loinchada Ta. Palitana Dist:Bhavnagar"/>
    <m/>
    <s v="Palitana"/>
    <s v="Palitana"/>
    <s v="Building"/>
    <s v="School Room"/>
    <n v="200227"/>
    <n v="1"/>
    <d v="2025-06-29T00:00:00"/>
    <d v="2025-07-10T00:00:00"/>
    <d v="2025-07-11T00:00:00"/>
    <d v="2025-11-07T00:00:00"/>
    <n v="1634615.63"/>
    <m/>
    <n v="1514798.3"/>
    <n v="-7.33"/>
    <s v="Below"/>
    <s v="Fifteen Lakh Fourteen Thousand Seven Hundred Ninety Eight Rupees and Three Paise Only"/>
    <s v="Division"/>
    <m/>
    <n v="1514798.3"/>
    <x v="24"/>
    <n v="0"/>
    <s v="Shetrunji Dam, Nani Paniyali, Palitana, Bhavnagar-364270"/>
    <n v="8140303377"/>
    <m/>
    <s v="MP Grant - Shri Masukhbhai Mandaviya Fund - 2023-24"/>
    <m/>
    <m/>
    <m/>
    <n v="4"/>
    <n v="76000"/>
    <d v="2027-03-19T00:00:00"/>
    <n v="3800"/>
    <n v="0"/>
    <d v="2026-01-28T00:00:00"/>
    <d v="2027-01-18T00:00:00"/>
    <n v="1007"/>
    <d v="2025-07-23T00:00:00"/>
    <s v="2025-26"/>
    <n v="105"/>
    <d v="2025-08-26T00:00:00"/>
    <s v="FDR"/>
    <s v="SAURASHTRA GRAMIN BANK"/>
    <n v="78049077886"/>
    <n v="76000"/>
    <d v="2025-08-25T00:00:00"/>
    <m/>
    <m/>
    <m/>
    <m/>
    <m/>
    <d v="2025-08-26T00:00:00"/>
    <n v="1195"/>
    <d v="2025-08-26T00:00:00"/>
    <m/>
    <m/>
    <m/>
    <m/>
    <m/>
    <m/>
    <m/>
  </r>
  <r>
    <n v="224"/>
    <m/>
    <s v="2025-26"/>
    <n v="8"/>
    <n v="118"/>
    <s v="Construction of Primary School Room at Navagam Ta.Palitana Dist:Bhavnagar"/>
    <m/>
    <s v="Palitana"/>
    <s v="Palitana"/>
    <s v="Building"/>
    <s v="School Room"/>
    <n v="200229"/>
    <n v="1"/>
    <d v="2025-06-29T00:00:00"/>
    <d v="2025-07-10T00:00:00"/>
    <d v="2025-07-11T00:00:00"/>
    <d v="2025-11-07T00:00:00"/>
    <n v="1634615.63"/>
    <m/>
    <n v="1499432.92"/>
    <n v="-8.27"/>
    <s v="Below"/>
    <s v="Fourteen Lakh Ninety Nine Thousand Four Hundred Thirty Two Rupees and Ninety Two Paise Only"/>
    <s v="Division"/>
    <m/>
    <n v="1499432.92"/>
    <x v="38"/>
    <n v="0"/>
    <s v="Fulwadi Faliya, Uchchhal-2, Tal. Uchchhal, Dist. Tapi- 394375"/>
    <n v="9016414291"/>
    <m/>
    <s v="MP Grant - Shri Masukhbhai Mandaviya Fund - 2023-24"/>
    <m/>
    <m/>
    <m/>
    <n v="4"/>
    <n v="75000"/>
    <d v="2027-03-18T00:00:00"/>
    <n v="3700"/>
    <n v="0"/>
    <d v="2026-01-27T00:00:00"/>
    <d v="2027-01-17T00:00:00"/>
    <n v="1008"/>
    <d v="2025-07-23T00:00:00"/>
    <s v="2025-26"/>
    <n v="103"/>
    <d v="2025-08-25T00:00:00"/>
    <s v="FDR"/>
    <s v="State Bank of India"/>
    <n v="44393877928"/>
    <n v="75000"/>
    <d v="2025-08-21T00:00:00"/>
    <m/>
    <m/>
    <m/>
    <m/>
    <m/>
    <d v="2025-08-25T00:00:00"/>
    <n v="1188"/>
    <d v="2025-08-25T00:00:00"/>
    <m/>
    <m/>
    <m/>
    <m/>
    <m/>
    <m/>
    <m/>
  </r>
  <r>
    <n v="225"/>
    <m/>
    <s v="2025-26"/>
    <n v="8"/>
    <n v="119"/>
    <s v="Construction of Primary School Room at Anida (Kumbhan) Ta. Palitana Dist:Bhavnagar"/>
    <m/>
    <s v="Palitana"/>
    <s v="Palitana"/>
    <s v="Building"/>
    <s v="School Room"/>
    <n v="200231"/>
    <n v="1"/>
    <d v="2025-06-29T00:00:00"/>
    <d v="2025-07-10T00:00:00"/>
    <d v="2025-07-11T00:00:00"/>
    <d v="2025-11-07T00:00:00"/>
    <n v="1634615.63"/>
    <m/>
    <n v="1499432.92"/>
    <n v="-8.27"/>
    <s v="Below"/>
    <s v="Fourteen Lakh Ninety Nine Thousand Four Hundred Thirty Two Rupees and Ninety Two Paise Only"/>
    <s v="Division"/>
    <m/>
    <n v="1499432.92"/>
    <x v="38"/>
    <n v="0"/>
    <s v="Fulwadi Faliya, Uchchhal-2, Tal. Uchchhal, Dist. Tapi- 394375"/>
    <n v="9016414291"/>
    <m/>
    <s v="MP Grant - Shri Masukhbhai Mandaviya Fund - 2023-24"/>
    <m/>
    <m/>
    <m/>
    <n v="4"/>
    <n v="75000"/>
    <d v="2027-03-18T00:00:00"/>
    <n v="3700"/>
    <n v="0"/>
    <d v="2026-01-27T00:00:00"/>
    <d v="2027-01-17T00:00:00"/>
    <n v="1009"/>
    <d v="2025-07-23T00:00:00"/>
    <s v="2025-26"/>
    <n v="104"/>
    <d v="2025-08-25T00:00:00"/>
    <s v="FDR"/>
    <s v="State Bank of India"/>
    <n v="44393950207"/>
    <n v="75000"/>
    <d v="2025-08-21T00:00:00"/>
    <m/>
    <m/>
    <m/>
    <m/>
    <m/>
    <d v="2025-08-25T00:00:00"/>
    <n v="1189"/>
    <d v="2025-08-25T00:00:00"/>
    <m/>
    <m/>
    <m/>
    <m/>
    <m/>
    <m/>
    <m/>
  </r>
  <r>
    <n v="226"/>
    <m/>
    <s v="2025-26"/>
    <n v="8"/>
    <n v="120"/>
    <s v="Construction of Primary School Room at Luvarvav Ta. Palitana Dist:Bhavnagar"/>
    <m/>
    <s v="Palitana"/>
    <s v="Palitana"/>
    <s v="Building"/>
    <s v="School Room"/>
    <n v="200322"/>
    <n v="1"/>
    <d v="2025-06-29T00:00:00"/>
    <d v="2025-07-10T00:00:00"/>
    <d v="2025-07-11T00:00:00"/>
    <d v="2025-11-07T00:00:00"/>
    <n v="806983.54"/>
    <m/>
    <n v="731691.98"/>
    <n v="-9.33"/>
    <s v="Below"/>
    <s v="Seven Lakh Thirty One Thousand Six Hundred Ninety One Rupees and Ninety Eight Paise Only"/>
    <s v="Division"/>
    <m/>
    <n v="731691.98"/>
    <x v="24"/>
    <n v="0"/>
    <s v="Shetrunji Dam, Nani Paniyali, Palitana, Bhavnagar-364270"/>
    <n v="8140303377"/>
    <m/>
    <s v="MP Grant - Shri Masukhbhai Mandaviya Fund - 2023-24"/>
    <m/>
    <m/>
    <m/>
    <n v="3"/>
    <n v="37000"/>
    <d v="2027-02-17T00:00:00"/>
    <n v="1900"/>
    <n v="0"/>
    <d v="2025-12-29T00:00:00"/>
    <d v="2026-12-19T00:00:00"/>
    <n v="1010"/>
    <d v="2025-07-23T00:00:00"/>
    <s v="2025-26"/>
    <n v="106"/>
    <d v="2025-08-26T00:00:00"/>
    <s v="FDR"/>
    <s v="SAURASHTRA GRAMIN BANK"/>
    <n v="78049077842"/>
    <n v="37000"/>
    <d v="2025-08-25T00:00:00"/>
    <m/>
    <m/>
    <m/>
    <m/>
    <m/>
    <d v="2025-08-26T00:00:00"/>
    <n v="1196"/>
    <d v="2025-08-26T00:00:00"/>
    <m/>
    <m/>
    <m/>
    <m/>
    <m/>
    <m/>
    <m/>
  </r>
  <r>
    <n v="227"/>
    <m/>
    <s v="2025-26"/>
    <n v="8"/>
    <n v="121"/>
    <s v="Construction of Primary School Room at Jaliya (Anko) Ta. Palitana Dist:Bhavnagar"/>
    <m/>
    <s v="Palitana"/>
    <s v="Palitana"/>
    <s v="Building"/>
    <s v="School Room"/>
    <n v="200341"/>
    <n v="1"/>
    <d v="2025-06-29T00:00:00"/>
    <d v="2025-07-10T00:00:00"/>
    <d v="2025-07-11T00:00:00"/>
    <d v="2025-11-07T00:00:00"/>
    <n v="806983.54"/>
    <m/>
    <n v="747831.65"/>
    <n v="-7.33"/>
    <s v="Below"/>
    <s v="Seven Lakh Forty Seven Thousand Eight Hundred Thirty One Rupees and Sixty Five Paise Only"/>
    <s v="Division"/>
    <m/>
    <n v="747831.65"/>
    <x v="24"/>
    <n v="0"/>
    <s v="Shetrunji Dam, Nani Paniyali, Palitana, Bhavnagar-364270"/>
    <n v="8140303377"/>
    <m/>
    <s v="MP Grant - Shri Masukhbhai Mandaviya Fund - 2023-24"/>
    <m/>
    <m/>
    <m/>
    <n v="3"/>
    <n v="38000"/>
    <d v="2027-02-17T00:00:00"/>
    <n v="1900"/>
    <n v="0"/>
    <d v="2025-12-29T00:00:00"/>
    <d v="2026-12-19T00:00:00"/>
    <n v="1011"/>
    <d v="2025-07-23T00:00:00"/>
    <s v="2025-26"/>
    <n v="107"/>
    <d v="2025-08-26T00:00:00"/>
    <s v="FDR"/>
    <s v="SAURASHTRA GRAMIN BANK"/>
    <n v="78049077922"/>
    <n v="38000"/>
    <d v="2025-08-25T00:00:00"/>
    <m/>
    <m/>
    <m/>
    <m/>
    <m/>
    <d v="2025-08-26T00:00:00"/>
    <n v="1197"/>
    <d v="2025-08-26T00:00:00"/>
    <m/>
    <m/>
    <m/>
    <m/>
    <m/>
    <m/>
    <m/>
  </r>
  <r>
    <n v="228"/>
    <m/>
    <s v="2025-26"/>
    <n v="8"/>
    <n v="122"/>
    <s v="Construction of Primary School Room at Bhundarakha-2 Ta. Palitana Dist:Bhavnagar"/>
    <m/>
    <s v="Palitana"/>
    <s v="Palitana"/>
    <s v="Building"/>
    <s v="School Room"/>
    <n v="200352"/>
    <n v="1"/>
    <d v="2025-06-29T00:00:00"/>
    <d v="2025-07-10T00:00:00"/>
    <d v="2025-07-11T00:00:00"/>
    <d v="2025-11-07T00:00:00"/>
    <n v="806983.54"/>
    <m/>
    <n v="723622.14"/>
    <n v="-10.33"/>
    <s v="Below"/>
    <s v="Seven Lakh Twenty Three Thousand Six Hundred Twenty Two Rupees and Fourteen Paise Only"/>
    <s v="Division"/>
    <m/>
    <n v="723622.14"/>
    <x v="24"/>
    <n v="0"/>
    <s v="Shetrunji Dam, Nani Paniyali, Palitana, Bhavnagar-364270"/>
    <n v="8140303377"/>
    <m/>
    <s v="MP Grant - Shri Masukhbhai Mandaviya Fund - 2023-24"/>
    <m/>
    <m/>
    <m/>
    <n v="3"/>
    <n v="37000"/>
    <d v="2027-02-19T00:00:00"/>
    <n v="1900"/>
    <n v="1000"/>
    <d v="2025-12-31T00:00:00"/>
    <d v="2026-12-21T00:00:00"/>
    <n v="1012"/>
    <d v="2025-07-23T00:00:00"/>
    <s v="2025-26"/>
    <n v="114"/>
    <d v="2025-08-28T00:00:00"/>
    <s v="FDR"/>
    <s v="SAURASHTRA GRAMIN BANK"/>
    <n v="78049076791"/>
    <n v="37000"/>
    <d v="2025-08-25T00:00:00"/>
    <s v="FDR"/>
    <s v="SAURASHTRA GRAMIN BANK"/>
    <n v="78049106365"/>
    <n v="1000"/>
    <d v="2025-08-28T00:00:00"/>
    <d v="2025-08-28T00:00:00"/>
    <n v="1198"/>
    <d v="2025-08-28T00:00:00"/>
    <m/>
    <m/>
    <m/>
    <m/>
    <m/>
    <m/>
    <m/>
  </r>
  <r>
    <n v="229"/>
    <m/>
    <s v="2025-26"/>
    <n v="8"/>
    <n v="123"/>
    <s v="Construction of Primary School Room at Motishree Ta. Palitana Dist:Bhavnagar"/>
    <m/>
    <s v="Palitana"/>
    <s v="Palitana"/>
    <s v="Building"/>
    <s v="School Room"/>
    <n v="200385"/>
    <n v="1"/>
    <d v="2025-06-29T00:00:00"/>
    <d v="2025-07-10T00:00:00"/>
    <d v="2025-07-11T00:00:00"/>
    <d v="2025-11-07T00:00:00"/>
    <n v="1303576.82"/>
    <m/>
    <n v="1210892.51"/>
    <n v="-7.11"/>
    <s v="Below"/>
    <s v="Twelve Lakh Ten Thousand Eight Hundred Ninety Two Rupees and Fifty One Paise Only"/>
    <s v="Division"/>
    <m/>
    <n v="1210892.51"/>
    <x v="50"/>
    <s v="JATINKUMAR RAMESHBHAI GOYANI"/>
    <s v="SHOP NO. 3, GROUND FLOOR, PARVADI GAM, GARIYADHAR SANOSARA ROAD, PARAVADI, TA. GARIYADHAR, DIST. BHAVNAGAR-364505"/>
    <n v="9016319324"/>
    <m/>
    <s v="MP Grant - Shri Masukhbhai Mandaviya Fund - 2023-24"/>
    <m/>
    <m/>
    <m/>
    <n v="4"/>
    <n v="61000"/>
    <d v="2027-03-05T00:00:00"/>
    <n v="3000"/>
    <n v="0"/>
    <d v="2026-01-14T00:00:00"/>
    <d v="2027-01-04T00:00:00"/>
    <n v="1013"/>
    <d v="2025-07-23T00:00:00"/>
    <s v="2025-26"/>
    <n v="81"/>
    <d v="2025-08-12T00:00:00"/>
    <s v="FDR"/>
    <s v="SAURASHTRA GRAMIN BANK"/>
    <n v="78048848377"/>
    <n v="61000"/>
    <d v="2025-08-04T00:00:00"/>
    <m/>
    <m/>
    <m/>
    <m/>
    <m/>
    <d v="2025-08-12T00:00:00"/>
    <n v="1059"/>
    <d v="2025-08-12T00:00:00"/>
    <m/>
    <m/>
    <m/>
    <m/>
    <m/>
    <m/>
    <m/>
  </r>
  <r>
    <n v="230"/>
    <m/>
    <s v="2025-26"/>
    <n v="8"/>
    <n v="124"/>
    <s v="Construction of Primary School Room at Anida (LA) Ta. Palitana Dist:Bhavnagar"/>
    <m/>
    <s v="Palitana"/>
    <s v="Palitana"/>
    <s v="Building"/>
    <s v="School Room"/>
    <n v="200392"/>
    <n v="1"/>
    <d v="2025-06-29T00:00:00"/>
    <d v="2025-07-10T00:00:00"/>
    <d v="2025-07-11T00:00:00"/>
    <d v="2025-11-07T00:00:00"/>
    <n v="2420954.2000000002"/>
    <m/>
    <n v="2170869.63"/>
    <n v="-10.33"/>
    <s v="Below"/>
    <s v="Twenty One Lakh Seventy Thousand Eight Hundred Sixty Nine Rupees and Sixty Three Paise Only"/>
    <s v="Division"/>
    <m/>
    <n v="2170869.63"/>
    <x v="24"/>
    <n v="0"/>
    <s v="Shetrunji Dam, Nani Paniyali, Palitana, Bhavnagar-364270"/>
    <n v="8140303377"/>
    <m/>
    <s v="MP Grant - Shri Masukhbhai Mandaviya Fund - 2023-24"/>
    <m/>
    <m/>
    <m/>
    <n v="4"/>
    <n v="109000"/>
    <d v="2027-03-21T00:00:00"/>
    <n v="5500"/>
    <n v="2000"/>
    <d v="2026-01-30T00:00:00"/>
    <d v="2027-01-20T00:00:00"/>
    <n v="1014"/>
    <d v="2025-07-23T00:00:00"/>
    <s v="2025-26"/>
    <n v="115"/>
    <d v="2025-08-28T00:00:00"/>
    <s v="FDR"/>
    <s v="SAURASHTRA GRAMIN BANK"/>
    <n v="78049077853"/>
    <n v="109000"/>
    <d v="2025-08-25T00:00:00"/>
    <s v="FDR"/>
    <s v="SAURASHTRA GRAMIN BANK"/>
    <n v="78049106332"/>
    <n v="2000"/>
    <d v="2025-08-28T00:00:00"/>
    <d v="2025-08-28T00:00:00"/>
    <n v="1199"/>
    <d v="2025-08-28T00:00:00"/>
    <m/>
    <m/>
    <m/>
    <m/>
    <m/>
    <m/>
    <m/>
  </r>
  <r>
    <n v="231"/>
    <m/>
    <s v="2025-26"/>
    <n v="8"/>
    <n v="125"/>
    <m/>
    <m/>
    <m/>
    <e v="#N/A"/>
    <s v="Building"/>
    <s v="School Room"/>
    <m/>
    <n v="1"/>
    <d v="2025-06-29T00:00:00"/>
    <d v="2025-07-10T00:00:00"/>
    <d v="2025-07-11T00:00:00"/>
    <d v="2025-11-07T00:00:00"/>
    <m/>
    <s v="Yes"/>
    <m/>
    <m/>
    <s v="Equals"/>
    <s v="Zero Rupees Only"/>
    <s v="Division"/>
    <m/>
    <n v="0"/>
    <x v="3"/>
    <n v="0"/>
    <n v="0"/>
    <n v="0"/>
    <m/>
    <s v="MP Grant - Shri Masukhbhai Mandaviya Fund - 2023-24"/>
    <m/>
    <m/>
    <m/>
    <m/>
    <n v="0"/>
    <d v="1901-03-25T00:00:00"/>
    <n v="0"/>
    <n v="0"/>
    <d v="1900-02-03T00:00:00"/>
    <d v="1901-01-24T00:00:00"/>
    <m/>
    <m/>
    <m/>
    <m/>
    <m/>
    <m/>
    <m/>
    <m/>
    <m/>
    <m/>
    <m/>
    <m/>
    <m/>
    <m/>
    <m/>
    <m/>
    <m/>
    <m/>
    <m/>
    <m/>
    <m/>
    <m/>
    <m/>
    <m/>
    <m/>
  </r>
  <r>
    <n v="232"/>
    <m/>
    <s v="2025-26"/>
    <n v="8"/>
    <n v="126"/>
    <s v="Construction of Primary School Room at Medha Ta.Palitana Dist:Bhavnagar"/>
    <m/>
    <s v="Palitana"/>
    <s v="Palitana"/>
    <s v="Building"/>
    <s v="School Room"/>
    <n v="200400"/>
    <n v="1"/>
    <d v="2025-06-29T00:00:00"/>
    <d v="2025-07-10T00:00:00"/>
    <d v="2025-07-11T00:00:00"/>
    <d v="2025-11-07T00:00:00"/>
    <n v="2420954.2000000002"/>
    <m/>
    <n v="2122450.5499999998"/>
    <n v="-12.33"/>
    <s v="Below"/>
    <s v="Twenty One Lakh Twenty Two Thousand Four Hundred Fifty Rupees and Fifty Five Paise Only"/>
    <s v="Division"/>
    <m/>
    <n v="2122450.5499999998"/>
    <x v="24"/>
    <n v="0"/>
    <s v="Shetrunji Dam, Nani Paniyali, Palitana, Bhavnagar-364270"/>
    <n v="8140303377"/>
    <m/>
    <s v="MP Grant - Shri Masukhbhai Mandaviya Fund - 2023-24"/>
    <m/>
    <m/>
    <m/>
    <n v="4"/>
    <n v="107000"/>
    <d v="2027-03-21T00:00:00"/>
    <n v="5900"/>
    <n v="12000"/>
    <d v="2026-01-30T00:00:00"/>
    <d v="2027-01-20T00:00:00"/>
    <n v="1015"/>
    <d v="2025-07-23T00:00:00"/>
    <s v="2025-26"/>
    <n v="116"/>
    <d v="2025-08-28T00:00:00"/>
    <s v="FDR"/>
    <s v="SAURASHTRA GRAMIN BANK"/>
    <n v="78049077864"/>
    <n v="107000"/>
    <d v="2025-08-25T00:00:00"/>
    <s v="FDR"/>
    <s v="SAURASHTRA GRAMIN BANK"/>
    <n v="78049106321"/>
    <n v="12000"/>
    <d v="2025-08-28T00:00:00"/>
    <d v="2025-08-28T00:00:00"/>
    <n v="1200"/>
    <d v="2025-08-28T00:00:00"/>
    <m/>
    <m/>
    <m/>
    <m/>
    <m/>
    <m/>
    <m/>
  </r>
  <r>
    <n v="233"/>
    <m/>
    <s v="2025-26"/>
    <n v="8"/>
    <n v="127"/>
    <s v="Construction of Primary School Room at Borada Ta. Talaja Dist:Bhavnagar"/>
    <m/>
    <s v="Talaja"/>
    <s v="Talaja"/>
    <s v="Building"/>
    <s v="School Room"/>
    <n v="200232"/>
    <n v="1"/>
    <d v="2025-06-29T00:00:00"/>
    <d v="2025-07-10T00:00:00"/>
    <d v="2025-07-11T00:00:00"/>
    <d v="2025-11-07T00:00:00"/>
    <n v="1634615.63"/>
    <m/>
    <n v="1514961.77"/>
    <n v="-7.32"/>
    <s v="Below"/>
    <s v="Fifteen Lakh Fourteen Thousand Nine Hundred Sixty One Rupees and Seventy Seven Paise Only"/>
    <s v="Division"/>
    <m/>
    <n v="1514961.77"/>
    <x v="29"/>
    <s v="KISHANKUMAR PATABHAI KALSARIYA"/>
    <s v="Survey No. 374 P/A 2-16, Office No. 2, Left side of Entry Gate of Balkrushna Campus, Gir Gadhada Road, At. Una, Taluka Una, Dist. Gir Somnath - 362560"/>
    <n v="9824251035"/>
    <m/>
    <s v="MP Grant - Shri Masukhbhai Mandaviya Fund - 2023-24"/>
    <m/>
    <m/>
    <m/>
    <n v="4"/>
    <n v="76000"/>
    <d v="2027-03-05T00:00:00"/>
    <n v="3800"/>
    <n v="0"/>
    <d v="2026-01-14T00:00:00"/>
    <d v="2027-01-04T00:00:00"/>
    <n v="1016"/>
    <d v="2025-07-23T00:00:00"/>
    <s v="2025-26"/>
    <n v="82"/>
    <d v="2025-08-12T00:00:00"/>
    <s v="FDR"/>
    <s v="ICICI BANK"/>
    <n v="771613001573"/>
    <n v="76000"/>
    <d v="2025-07-30T00:00:00"/>
    <m/>
    <m/>
    <m/>
    <m/>
    <m/>
    <d v="2025-08-12T00:00:00"/>
    <n v="1060"/>
    <d v="2025-08-12T00:00:00"/>
    <m/>
    <m/>
    <m/>
    <m/>
    <m/>
    <m/>
    <m/>
  </r>
  <r>
    <n v="234"/>
    <m/>
    <s v="2025-26"/>
    <n v="8"/>
    <n v="128"/>
    <s v="Construction of Primary School Room at Makhaniya Ta. Talaja Dist:Bhavnagar"/>
    <m/>
    <s v="Talaja"/>
    <s v="Talaja"/>
    <s v="Building"/>
    <s v="School Room"/>
    <n v="200234"/>
    <n v="1"/>
    <d v="2025-06-29T00:00:00"/>
    <d v="2025-07-10T00:00:00"/>
    <d v="2025-07-11T00:00:00"/>
    <d v="2025-11-07T00:00:00"/>
    <n v="1634615.63"/>
    <m/>
    <n v="1580182.93"/>
    <n v="-3.33"/>
    <s v="Below"/>
    <s v="Fifteen Lakh Eighty Thousand One Hundred Eighty Two Rupees and Ninety Three Paise Only"/>
    <s v="Division"/>
    <m/>
    <n v="1580182.93"/>
    <x v="26"/>
    <s v="(1) Batiya Vishalbhai Vinubhai_x000a_(2) Dhandhukiya Umeshbhai "/>
    <s v="At. Dihor, Tana Varal Road, Shak Market, Ta. Talaja, Dist. Bhavnagar-364150"/>
    <n v="9067752267"/>
    <m/>
    <s v="MP Grant - Shri Masukhbhai Mandaviya Fund - 2023-24"/>
    <m/>
    <m/>
    <m/>
    <n v="4"/>
    <n v="80000"/>
    <d v="2027-03-18T00:00:00"/>
    <n v="4000"/>
    <n v="0"/>
    <d v="2026-01-27T00:00:00"/>
    <d v="2027-01-17T00:00:00"/>
    <n v="1017"/>
    <d v="2025-07-23T00:00:00"/>
    <s v="2025-26"/>
    <n v="101"/>
    <d v="2025-08-25T00:00:00"/>
    <s v="FDR"/>
    <s v="State Bank of India"/>
    <n v="44378510403"/>
    <n v="80000"/>
    <d v="2025-08-14T00:00:00"/>
    <m/>
    <m/>
    <m/>
    <m/>
    <m/>
    <d v="2025-08-25T00:00:00"/>
    <n v="1186"/>
    <d v="2025-08-25T00:00:00"/>
    <m/>
    <m/>
    <m/>
    <m/>
    <m/>
    <m/>
    <m/>
  </r>
  <r>
    <n v="235"/>
    <m/>
    <s v="2025-26"/>
    <n v="8"/>
    <n v="129"/>
    <s v="Construction of Primary School Room at Juni Chhapari Ta. Talaja Dist:Bhavnagar"/>
    <m/>
    <s v="Talaja"/>
    <s v="Talaja"/>
    <s v="Building"/>
    <s v="School Room"/>
    <n v="200236"/>
    <n v="1"/>
    <d v="2025-06-29T00:00:00"/>
    <d v="2025-07-10T00:00:00"/>
    <d v="2025-07-11T00:00:00"/>
    <d v="2025-11-07T00:00:00"/>
    <n v="1634615.63"/>
    <m/>
    <n v="1522154.07"/>
    <n v="-6.88"/>
    <s v="Below"/>
    <s v="Fifteen Lakh Twenty Two Thousand One Hundred Fifty Four Rupees and Seven Paise Only"/>
    <s v="Division"/>
    <m/>
    <n v="1522154.07"/>
    <x v="26"/>
    <s v="(1) Batiya Vishalbhai Vinubhai_x000a_(2) Dhandhukiya Umeshbhai "/>
    <s v="At. Dihor, Tana Varal Road, Shak Market, Ta. Talaja, Dist. Bhavnagar-364150"/>
    <n v="9067752267"/>
    <m/>
    <s v="MP Grant - Shri Masukhbhai Mandaviya Fund - 2023-24"/>
    <m/>
    <m/>
    <m/>
    <n v="4"/>
    <n v="77000"/>
    <d v="2027-02-22T00:00:00"/>
    <n v="3800"/>
    <n v="0"/>
    <d v="2026-01-03T00:00:00"/>
    <d v="2026-12-24T00:00:00"/>
    <n v="1018"/>
    <d v="2025-07-23T00:00:00"/>
    <s v="2025-26"/>
    <n v="160"/>
    <d v="2025-09-22T00:00:00"/>
    <s v="FDR"/>
    <s v="State Bank of India"/>
    <n v="44347236849"/>
    <n v="78000"/>
    <d v="2025-09-12T00:00:00"/>
    <m/>
    <m/>
    <m/>
    <m/>
    <m/>
    <d v="2025-08-01T00:00:00"/>
    <n v="1373"/>
    <d v="2025-09-22T00:00:00"/>
    <m/>
    <m/>
    <m/>
    <m/>
    <m/>
    <m/>
    <m/>
  </r>
  <r>
    <n v="236"/>
    <m/>
    <s v="2025-26"/>
    <n v="8"/>
    <n v="130"/>
    <s v="Construction of Primary School Room at Sosiya Ta. Talaja Dist:Bhavnagar"/>
    <m/>
    <s v="Talaja"/>
    <s v="Talaja"/>
    <s v="Building"/>
    <s v="School Room"/>
    <n v="200237"/>
    <n v="1"/>
    <d v="2025-06-29T00:00:00"/>
    <d v="2025-07-10T00:00:00"/>
    <d v="2025-07-11T00:00:00"/>
    <d v="2025-11-07T00:00:00"/>
    <n v="1634615.63"/>
    <m/>
    <n v="1607481.01"/>
    <n v="-1.66"/>
    <s v="Below"/>
    <s v="Sixteen Lakh Seven Thousand Four Hundred Eighty One Rupees and One Paise Only"/>
    <s v="Division"/>
    <m/>
    <n v="1607481.01"/>
    <x v="51"/>
    <n v="0"/>
    <s v="185, Reliya Plot Vistar, Reliya, Tal. Talaja, Dist. Bhavnagar-364135"/>
    <n v="9737944545"/>
    <m/>
    <s v="MP Grant - Shri Masukhbhai Mandaviya Fund - 2023-24"/>
    <m/>
    <m/>
    <m/>
    <n v="4"/>
    <n v="81000"/>
    <d v="2027-03-05T00:00:00"/>
    <n v="4000"/>
    <n v="0"/>
    <d v="2026-01-14T00:00:00"/>
    <d v="2027-01-04T00:00:00"/>
    <n v="1019"/>
    <d v="2025-07-23T00:00:00"/>
    <s v="2025-26"/>
    <n v="77"/>
    <d v="2025-08-12T00:00:00"/>
    <s v="FDR"/>
    <s v="State Bank of India"/>
    <n v="44339292582"/>
    <n v="81000"/>
    <d v="2025-08-02T00:00:00"/>
    <m/>
    <m/>
    <m/>
    <m/>
    <m/>
    <d v="2025-08-12T00:00:00"/>
    <n v="1055"/>
    <d v="2025-08-12T00:00:00"/>
    <m/>
    <m/>
    <m/>
    <m/>
    <m/>
    <m/>
    <m/>
  </r>
  <r>
    <n v="237"/>
    <m/>
    <s v="2025-26"/>
    <n v="8"/>
    <n v="131"/>
    <s v="Construction of Primary School Room at Nichadi Ta. Talaja Dist:Bhavnagar"/>
    <m/>
    <s v="Talaja"/>
    <s v="Talaja"/>
    <s v="Building"/>
    <s v="School Room"/>
    <n v="200360"/>
    <n v="1"/>
    <d v="2025-06-29T00:00:00"/>
    <d v="2025-07-10T00:00:00"/>
    <d v="2025-07-11T00:00:00"/>
    <d v="2025-11-07T00:00:00"/>
    <n v="806983.54"/>
    <m/>
    <n v="772928.83"/>
    <n v="-4.22"/>
    <s v="Below"/>
    <s v="Seven Lakh Seventy Two Thousand Nine Hundred Twenty Eight Rupees and Eighty Three Paise Only"/>
    <s v="Division"/>
    <m/>
    <n v="772928.83"/>
    <x v="52"/>
    <n v="0"/>
    <s v="F-8, 1st Floor, Radhe City Center, Bapa Sitaram Chowk, Talaja, Dist. Bhavnagar_x000a_"/>
    <n v="7984290006"/>
    <m/>
    <s v="MP Grant - Shri Masukhbhai Mandaviya Fund - 2023-24"/>
    <m/>
    <m/>
    <m/>
    <n v="3"/>
    <n v="39000"/>
    <d v="2027-02-23T00:00:00"/>
    <n v="2000"/>
    <n v="0"/>
    <d v="2026-01-04T00:00:00"/>
    <d v="2026-12-25T00:00:00"/>
    <n v="1020"/>
    <d v="2025-07-23T00:00:00"/>
    <s v="2025-26"/>
    <n v="129"/>
    <d v="2025-09-01T00:00:00"/>
    <s v="FDR"/>
    <s v="State Bank of India"/>
    <n v="44344833241"/>
    <n v="39000"/>
    <d v="2025-08-04T00:00:00"/>
    <m/>
    <m/>
    <m/>
    <m/>
    <m/>
    <d v="2025-09-01T00:00:00"/>
    <n v="1236"/>
    <d v="2025-09-01T00:00:00"/>
    <m/>
    <m/>
    <m/>
    <m/>
    <m/>
    <m/>
    <m/>
  </r>
  <r>
    <n v="238"/>
    <m/>
    <s v="2025-26"/>
    <n v="8"/>
    <n v="132"/>
    <s v="Construction of Primary School Room at Paniyali Ta.Talaja Dist:Bhavnagar"/>
    <m/>
    <s v="Talaja"/>
    <s v="Talaja"/>
    <s v="Building"/>
    <s v="School Room"/>
    <n v="200362"/>
    <n v="1"/>
    <d v="2025-06-29T00:00:00"/>
    <d v="2025-07-10T00:00:00"/>
    <d v="2025-07-11T00:00:00"/>
    <d v="2025-11-07T00:00:00"/>
    <n v="806983.54"/>
    <m/>
    <n v="776318.17"/>
    <n v="-3.8"/>
    <s v="Below"/>
    <s v="Seven Lakh Seventy Six Thousand Three Hundred Eighteen Rupees and Seventeen Paise Only"/>
    <s v="Division"/>
    <m/>
    <n v="776318.17"/>
    <x v="53"/>
    <s v="NANKUBHAI DUDABHAI BARAL"/>
    <s v="UMARLA, Ta. TALAJA, Dist. BHAVNAGAR-364150"/>
    <n v="9510897273"/>
    <m/>
    <s v="MP Grant - Shri Masukhbhai Mandaviya Fund - 2023-24"/>
    <m/>
    <m/>
    <m/>
    <n v="3"/>
    <n v="39000"/>
    <d v="2027-02-03T00:00:00"/>
    <n v="2000"/>
    <n v="0"/>
    <d v="2025-12-15T00:00:00"/>
    <d v="2026-12-05T00:00:00"/>
    <n v="1021"/>
    <d v="2025-07-23T00:00:00"/>
    <s v="2025-26"/>
    <n v="79"/>
    <d v="2025-08-12T00:00:00"/>
    <s v="FDR"/>
    <s v="SAURASHTRA GRAMIN BANK"/>
    <n v="78048938022"/>
    <n v="39000"/>
    <d v="2025-08-11T00:00:00"/>
    <m/>
    <m/>
    <m/>
    <m/>
    <m/>
    <d v="2025-08-12T00:00:00"/>
    <n v="1057"/>
    <d v="2025-08-12T00:00:00"/>
    <m/>
    <m/>
    <m/>
    <m/>
    <m/>
    <m/>
    <m/>
  </r>
  <r>
    <n v="239"/>
    <m/>
    <s v="2025-26"/>
    <n v="8"/>
    <n v="133"/>
    <s v="Construction of Primary School Room at Sakhavadar Ta. Talaja Dist:Bhavnagar"/>
    <m/>
    <s v="Talaja"/>
    <s v="Talaja"/>
    <s v="Building"/>
    <s v="School Room"/>
    <n v="200365"/>
    <n v="1"/>
    <d v="2025-06-29T00:00:00"/>
    <d v="2025-07-10T00:00:00"/>
    <d v="2025-07-11T00:00:00"/>
    <d v="2025-11-07T00:00:00"/>
    <n v="806983.54"/>
    <m/>
    <n v="765746.68"/>
    <n v="-5.1100000000000003"/>
    <s v="Below"/>
    <s v="Seven Lakh Sixty Five Thousand Seven Hundred Forty Six Rupees and Sixty Eight Paise Only"/>
    <s v="Division"/>
    <m/>
    <n v="765746.68"/>
    <x v="53"/>
    <s v="NANKUBHAI DUDABHAI BARAL"/>
    <s v="UMARLA, Ta. TALAJA, Dist. BHAVNAGAR-364150"/>
    <n v="9510897273"/>
    <m/>
    <s v="MP Grant - Shri Masukhbhai Mandaviya Fund - 2023-24"/>
    <m/>
    <m/>
    <m/>
    <n v="3"/>
    <n v="39000"/>
    <d v="2027-02-03T00:00:00"/>
    <n v="2000"/>
    <n v="0"/>
    <d v="2025-12-15T00:00:00"/>
    <d v="2026-12-05T00:00:00"/>
    <n v="1022"/>
    <d v="2025-07-23T00:00:00"/>
    <s v="2025-26"/>
    <n v="78"/>
    <d v="2025-08-12T00:00:00"/>
    <s v="FDR"/>
    <s v="SAURASHTRA GRAMIN BANK"/>
    <n v="78048938044"/>
    <n v="39000"/>
    <d v="2025-08-11T00:00:00"/>
    <m/>
    <m/>
    <m/>
    <m/>
    <m/>
    <d v="2025-08-12T00:00:00"/>
    <n v="1056"/>
    <d v="2025-08-12T00:00:00"/>
    <m/>
    <m/>
    <m/>
    <m/>
    <m/>
    <m/>
    <m/>
  </r>
  <r>
    <n v="240"/>
    <m/>
    <s v="2025-26"/>
    <n v="8"/>
    <n v="134"/>
    <s v="Construction of Primary School Room at Gorkhi Ta. Talaja Dist:Bhavnagar"/>
    <m/>
    <s v="Talaja"/>
    <s v="Talaja"/>
    <s v="Building"/>
    <s v="School Room"/>
    <n v="200369"/>
    <n v="1"/>
    <d v="2025-06-29T00:00:00"/>
    <d v="2025-07-10T00:00:00"/>
    <d v="2025-07-11T00:00:00"/>
    <d v="2025-11-07T00:00:00"/>
    <n v="806983.54"/>
    <m/>
    <n v="767602.74"/>
    <n v="-4.88"/>
    <s v="Below"/>
    <s v="Seven Lakh Sixty Seven Thousand Six Hundred Two Rupees and Seventy Four Paise Only"/>
    <s v="Division"/>
    <m/>
    <n v="767602.74"/>
    <x v="26"/>
    <s v="(1) Batiya Vishalbhai Vinubhai_x000a_(2) Dhandhukiya Umeshbhai "/>
    <s v="At. Dihor, Tana Varal Road, Shak Market, Ta. Talaja, Dist. Bhavnagar-364150"/>
    <n v="9067752267"/>
    <m/>
    <s v="MP Grant - Shri Masukhbhai Mandaviya Fund - 2023-24"/>
    <m/>
    <m/>
    <m/>
    <n v="3"/>
    <n v="39000"/>
    <d v="2026-02-16T00:00:00"/>
    <n v="2000"/>
    <n v="0"/>
    <d v="2024-12-28T00:00:00"/>
    <d v="2025-12-18T00:00:00"/>
    <n v="1023"/>
    <d v="2025-07-23T00:00:00"/>
    <s v="2025-26"/>
    <n v="102"/>
    <d v="2025-08-25T00:00:00"/>
    <s v="FDR"/>
    <s v="State Bank of India"/>
    <n v="44378495825"/>
    <n v="39000"/>
    <d v="2025-08-14T00:00:00"/>
    <m/>
    <m/>
    <m/>
    <m/>
    <m/>
    <d v="2024-08-25T00:00:00"/>
    <n v="1187"/>
    <d v="2025-08-25T00:00:00"/>
    <m/>
    <m/>
    <m/>
    <m/>
    <m/>
    <m/>
    <m/>
  </r>
  <r>
    <n v="241"/>
    <m/>
    <s v="2025-26"/>
    <n v="8"/>
    <n v="135"/>
    <s v="Construction of Primary School Room at Pratapara Ta. Talaja Dist:Bhavnagar"/>
    <m/>
    <s v="Talaja"/>
    <s v="Talaja"/>
    <s v="Building"/>
    <s v="School Room"/>
    <n v="200373"/>
    <n v="1"/>
    <d v="2025-06-29T00:00:00"/>
    <d v="2025-07-10T00:00:00"/>
    <d v="2025-07-11T00:00:00"/>
    <d v="2025-11-07T00:00:00"/>
    <n v="806983.54"/>
    <m/>
    <n v="796250.66"/>
    <n v="-1.33"/>
    <s v="Below"/>
    <s v="Seven Lakh Ninety Six Thousand Two Hundred Fifty Rupees and Sixty Six Paise Only"/>
    <s v="Division"/>
    <m/>
    <n v="796250.66"/>
    <x v="51"/>
    <n v="0"/>
    <s v="185, Reliya Plot Vistar, Reliya, Tal. Talaja, Dist. Bhavnagar-364135"/>
    <n v="9737944545"/>
    <m/>
    <s v="MP Grant - Shri Masukhbhai Mandaviya Fund - 2023-24"/>
    <m/>
    <m/>
    <m/>
    <n v="3"/>
    <n v="40000"/>
    <d v="2027-02-03T00:00:00"/>
    <n v="2000"/>
    <n v="0"/>
    <d v="2025-12-15T00:00:00"/>
    <d v="2026-12-05T00:00:00"/>
    <n v="1024"/>
    <d v="2025-07-23T00:00:00"/>
    <s v="2025-26"/>
    <n v="76"/>
    <d v="2025-08-12T00:00:00"/>
    <s v="FDR"/>
    <s v="State Bank of India"/>
    <n v="44339498163"/>
    <n v="40000"/>
    <d v="2025-08-02T00:00:00"/>
    <m/>
    <m/>
    <m/>
    <m/>
    <m/>
    <d v="2025-08-12T00:00:00"/>
    <n v="1054"/>
    <d v="2025-08-12T00:00:00"/>
    <m/>
    <m/>
    <m/>
    <m/>
    <m/>
    <m/>
    <m/>
  </r>
  <r>
    <n v="242"/>
    <m/>
    <s v="2025-26"/>
    <n v="8"/>
    <n v="136"/>
    <s v="Construction of Primary School Room at Keriya_x000a_Ta. Umrala Dist:Bhavnagar"/>
    <m/>
    <s v="Umrala"/>
    <s v="Vallabhipur"/>
    <s v="Building"/>
    <s v="School Room"/>
    <n v="200240"/>
    <n v="1"/>
    <d v="2025-06-29T00:00:00"/>
    <d v="2025-07-10T00:00:00"/>
    <d v="2025-07-11T00:00:00"/>
    <d v="2025-11-07T00:00:00"/>
    <n v="1634615.63"/>
    <s v="Yes"/>
    <m/>
    <m/>
    <s v="Equals"/>
    <s v="Zero Rupees Only"/>
    <s v="Division"/>
    <m/>
    <n v="0"/>
    <x v="3"/>
    <n v="0"/>
    <n v="0"/>
    <n v="0"/>
    <m/>
    <s v="MP Grant - Shri Masukhbhai Mandaviya Fund - 2023-24"/>
    <m/>
    <m/>
    <m/>
    <m/>
    <n v="0"/>
    <d v="1901-03-25T00:00:00"/>
    <n v="0"/>
    <n v="0"/>
    <d v="1900-02-03T00:00:00"/>
    <d v="1901-01-24T00:00:00"/>
    <m/>
    <m/>
    <m/>
    <m/>
    <m/>
    <m/>
    <m/>
    <m/>
    <m/>
    <m/>
    <m/>
    <m/>
    <m/>
    <m/>
    <m/>
    <m/>
    <m/>
    <m/>
    <m/>
    <m/>
    <m/>
    <m/>
    <m/>
    <m/>
    <m/>
  </r>
  <r>
    <n v="243"/>
    <m/>
    <s v="2025-26"/>
    <n v="8"/>
    <n v="137"/>
    <s v="Construction of Primary School Room at Chitravav_x000a_Ta. Umrala Dist:Bhavnagar"/>
    <m/>
    <s v="Umrala"/>
    <s v="Vallabhipur"/>
    <s v="Building"/>
    <s v="School Room"/>
    <m/>
    <n v="1"/>
    <d v="2025-06-29T00:00:00"/>
    <d v="2025-07-10T00:00:00"/>
    <d v="2025-07-11T00:00:00"/>
    <d v="2025-11-07T00:00:00"/>
    <n v="1634615.63"/>
    <s v="Yes"/>
    <m/>
    <m/>
    <s v="Equals"/>
    <s v="Zero Rupees Only"/>
    <s v="Division"/>
    <m/>
    <n v="0"/>
    <x v="3"/>
    <n v="0"/>
    <n v="0"/>
    <n v="0"/>
    <m/>
    <s v="MP Grant - Shri Masukhbhai Mandaviya Fund - 2023-24"/>
    <m/>
    <m/>
    <m/>
    <m/>
    <n v="0"/>
    <d v="1901-03-25T00:00:00"/>
    <n v="0"/>
    <n v="0"/>
    <d v="1900-02-03T00:00:00"/>
    <d v="1901-01-24T00:00:00"/>
    <m/>
    <m/>
    <m/>
    <m/>
    <m/>
    <m/>
    <m/>
    <m/>
    <m/>
    <m/>
    <m/>
    <m/>
    <m/>
    <m/>
    <m/>
    <m/>
    <m/>
    <m/>
    <m/>
    <m/>
    <m/>
    <m/>
    <m/>
    <m/>
    <m/>
  </r>
  <r>
    <n v="244"/>
    <m/>
    <s v="2025-26"/>
    <n v="8"/>
    <n v="138"/>
    <s v="Construction of Primary School Room at Dudadhar Ta. Vallabhipur Dist:Bhavnagar"/>
    <m/>
    <s v="Vallabhipur"/>
    <s v="Vallabhipur"/>
    <s v="Building"/>
    <s v="School Room"/>
    <n v="200376"/>
    <n v="1"/>
    <d v="2025-06-29T00:00:00"/>
    <d v="2025-07-10T00:00:00"/>
    <d v="2025-07-11T00:00:00"/>
    <d v="2025-11-07T00:00:00"/>
    <n v="806983.54"/>
    <m/>
    <n v="741214.38"/>
    <n v="-8.15"/>
    <s v="Below"/>
    <s v="Seven Lakh Forty One Thousand Two Hundred Fourteen Rupees and Thirty Eight Paise Only"/>
    <s v="Division"/>
    <m/>
    <n v="741214.38"/>
    <x v="54"/>
    <s v="KOTAR PRAFULKUMAR RAMESHBHAI"/>
    <s v="Plot No. 15, Survey No. 166/1, GIDC, At. Timbi, Tal. Umrala, Dist. Bhavnagar- 364320"/>
    <n v="9662631888"/>
    <m/>
    <s v="MP Grant - Shri Masukhbhai Mandaviya Fund - 2023-24"/>
    <m/>
    <m/>
    <m/>
    <n v="3"/>
    <n v="38000"/>
    <d v="2027-02-08T00:00:00"/>
    <n v="1900"/>
    <n v="0"/>
    <d v="2025-12-20T00:00:00"/>
    <d v="2026-12-10T00:00:00"/>
    <n v="1025"/>
    <d v="2025-07-23T00:00:00"/>
    <s v="2025-26"/>
    <n v="80"/>
    <d v="2025-08-12T00:00:00"/>
    <s v="FDR"/>
    <s v="State Bank of India"/>
    <n v="44344794120"/>
    <n v="38000"/>
    <d v="2025-08-04T00:00:00"/>
    <m/>
    <m/>
    <m/>
    <m/>
    <m/>
    <d v="2025-08-17T00:00:00"/>
    <n v="1058"/>
    <d v="2025-08-12T00:00:00"/>
    <m/>
    <m/>
    <m/>
    <m/>
    <m/>
    <m/>
    <m/>
  </r>
  <r>
    <n v="245"/>
    <m/>
    <s v="2025-26"/>
    <n v="8"/>
    <n v="139"/>
    <s v="Construction of Primary School Room at Loliyana Ta. Vallabhipur Dist:Bhavnagar"/>
    <m/>
    <s v="Vallabhipur"/>
    <s v="Vallabhipur"/>
    <s v="Building"/>
    <s v="School Room"/>
    <n v="200380"/>
    <n v="1"/>
    <d v="2025-06-29T00:00:00"/>
    <d v="2025-07-10T00:00:00"/>
    <d v="2025-07-11T00:00:00"/>
    <d v="2025-11-07T00:00:00"/>
    <n v="806983.54"/>
    <m/>
    <n v="705707.11"/>
    <n v="-12.55"/>
    <s v="Below"/>
    <s v="Seven Lakh Five Thousand Seven Hundred Seven Rupees and Eleven Paise Only"/>
    <s v="Division"/>
    <m/>
    <n v="705707.11"/>
    <x v="54"/>
    <s v="KOTAR PRAFULKUMAR RAMESHBHAI"/>
    <s v="Plot No. 15, Survey No. 166/1, GIDC, At. Timbi, Tal. Umrala, Dist. Bhavnagar- 364320"/>
    <n v="9662631888"/>
    <m/>
    <s v="MP Grant - Shri Masukhbhai Mandaviya Fund - 2023-24"/>
    <m/>
    <m/>
    <m/>
    <n v="3"/>
    <n v="36000"/>
    <d v="2027-02-13T00:00:00"/>
    <n v="2100"/>
    <n v="5000"/>
    <d v="2025-12-25T00:00:00"/>
    <d v="2026-12-15T00:00:00"/>
    <n v="1026"/>
    <d v="2025-07-23T00:00:00"/>
    <s v="2025-26"/>
    <n v="100"/>
    <d v="2025-08-22T00:00:00"/>
    <s v="FDR"/>
    <s v="State Bank of India"/>
    <n v="44344808918"/>
    <n v="36000"/>
    <d v="2025-08-04T00:00:00"/>
    <s v="FDR"/>
    <s v="State Bank of India"/>
    <n v="44388132154"/>
    <n v="5000"/>
    <d v="2025-08-19T00:00:00"/>
    <d v="2025-08-22T00:00:00"/>
    <n v="1185"/>
    <d v="2025-08-22T00:00:00"/>
    <m/>
    <m/>
    <m/>
    <m/>
    <m/>
    <m/>
    <m/>
  </r>
  <r>
    <n v="246"/>
    <m/>
    <s v="2025-26"/>
    <n v="8"/>
    <n v="140"/>
    <s v="Construction of Compound wall around Manharkuvarbaa Rajput Vidhyasankul Trust-Bhavnagar Managed by Kanya Vidhyalay &amp; Kanya Chhatralay Campus Vartej. Tal. Bhavnagar Dist. Bhavnagar (Under MP Grant Kesaridevsinh Zala)"/>
    <m/>
    <s v="Bhavnagar"/>
    <s v="Bhavnagar"/>
    <s v="Building"/>
    <s v="Compound Wall"/>
    <n v="200405"/>
    <n v="1"/>
    <d v="2025-06-29T00:00:00"/>
    <d v="2025-07-10T00:00:00"/>
    <d v="2025-07-11T00:00:00"/>
    <d v="2025-11-07T00:00:00"/>
    <n v="2084326.82"/>
    <m/>
    <n v="2063483.55"/>
    <n v="-1"/>
    <s v="Below"/>
    <s v="Twenty Lakh Sixty Three Thousand Four Hundred Eighty Three Rupees and Fifty Five Paise Only"/>
    <s v="Division"/>
    <m/>
    <n v="2063483.55"/>
    <x v="55"/>
    <n v="0"/>
    <s v="MOTI JAGDHAR, MAHUVA, _x000a_BHAVNAGAR-364295"/>
    <n v="0"/>
    <m/>
    <m/>
    <m/>
    <m/>
    <m/>
    <n v="4"/>
    <n v="104000"/>
    <d v="2027-04-08T00:00:00"/>
    <n v="5100"/>
    <n v="0"/>
    <d v="2026-02-17T00:00:00"/>
    <d v="2027-02-07T00:00:00"/>
    <n v="1205"/>
    <d v="2025-07-26T00:00:00"/>
    <m/>
    <m/>
    <m/>
    <m/>
    <m/>
    <m/>
    <m/>
    <m/>
    <m/>
    <m/>
    <m/>
    <m/>
    <m/>
    <d v="2025-09-15T00:00:00"/>
    <m/>
    <m/>
    <m/>
    <m/>
    <m/>
    <m/>
    <m/>
    <m/>
    <m/>
  </r>
  <r>
    <n v="247"/>
    <m/>
    <s v="2025-26"/>
    <n v="8"/>
    <n v="141"/>
    <s v="Construction of Nandghar (Anganvadi) Building at Bordi Tal. Talaja Dist. Bhavnagar"/>
    <m/>
    <s v="Talaja"/>
    <s v="Talaja"/>
    <s v="Building"/>
    <s v="Anganvadi"/>
    <n v="200415"/>
    <m/>
    <d v="2025-06-29T00:00:00"/>
    <d v="2025-07-10T00:00:00"/>
    <d v="2025-07-11T00:00:00"/>
    <d v="2025-11-07T00:00:00"/>
    <n v="1024912.96"/>
    <m/>
    <n v="981661.63"/>
    <n v="-4.22"/>
    <s v="Below"/>
    <s v="Nine Lakh Eighty One Thousand Six Hundred Sixty One Rupees and Sixty Three Paise Only"/>
    <s v="Division"/>
    <m/>
    <n v="981661.63"/>
    <x v="52"/>
    <n v="0"/>
    <s v="F-8, 1st Floor, Radhe City Center, Bapa Sitaram Chowk, Talaja, Dist. Bhavnagar_x000a_"/>
    <n v="7984290006"/>
    <m/>
    <m/>
    <m/>
    <m/>
    <m/>
    <n v="4"/>
    <n v="50000"/>
    <d v="2027-04-08T00:00:00"/>
    <n v="2500"/>
    <n v="0"/>
    <d v="2026-02-17T00:00:00"/>
    <d v="2027-02-07T00:00:00"/>
    <n v="1206"/>
    <d v="2025-07-26T00:00:00"/>
    <m/>
    <m/>
    <m/>
    <m/>
    <m/>
    <m/>
    <m/>
    <m/>
    <m/>
    <m/>
    <m/>
    <m/>
    <m/>
    <d v="2025-09-15T00:00:00"/>
    <m/>
    <m/>
    <m/>
    <m/>
    <m/>
    <m/>
    <m/>
    <m/>
    <m/>
  </r>
  <r>
    <n v="248"/>
    <m/>
    <s v="2025-26"/>
    <n v="9"/>
    <n v="1"/>
    <s v="Resurfacing and Routine Maintenance of Biladi Nana Mota Pipalava Kankot Road (Pipalava to Kankot Section) (MDR) Km. 0/000 to 1/800 Ta.Mahuva, Dist.; Bhavnagar"/>
    <m/>
    <s v="Mahuva"/>
    <s v="Mahuva"/>
    <s v="Road"/>
    <m/>
    <n v="199597"/>
    <n v="2"/>
    <d v="2025-07-03T00:00:00"/>
    <d v="2025-07-14T00:00:00"/>
    <d v="2025-07-15T00:00:00"/>
    <d v="2025-11-11T00:00:00"/>
    <n v="16081866.5"/>
    <m/>
    <n v="18116222.609999999"/>
    <n v="12.65"/>
    <s v="Above"/>
    <s v="One Crore Eighty One Lakh Sixteen Thousand Two Hundred Twenty Two Rupees and Sixty One Paise Only"/>
    <s v="Circle"/>
    <n v="468077.87"/>
    <n v="18584300.48"/>
    <x v="56"/>
    <n v="0"/>
    <s v="4th Floor, Akshar Plaza-1, Diksha Nagar, Zanzarda Chokadi, Junagadh- 362001"/>
    <n v="9825220799"/>
    <d v="2025-07-25T00:00:00"/>
    <s v="5054 MMGSY NORMAL 2024-25"/>
    <s v="Superintending Engineer, Panchayat Road and Building Circle-2, Rajkot"/>
    <s v="RPC-2/Tender/Bhavbagar/236"/>
    <d v="2025-08-21T00:00:00"/>
    <n v="6"/>
    <n v="906000"/>
    <d v="2029-07-20T00:00:00"/>
    <n v="44400"/>
    <n v="0"/>
    <d v="2026-06-11T00:00:00"/>
    <d v="2029-05-21T00:00:00"/>
    <n v="1263"/>
    <d v="2025-09-04T00:00:00"/>
    <s v="2025-26"/>
    <n v="199"/>
    <d v="2025-11-08T00:00:00"/>
    <s v="BG"/>
    <s v="HDFC Bank"/>
    <s v="101GT02252630005"/>
    <n v="906000"/>
    <d v="2025-09-20T00:00:00"/>
    <m/>
    <m/>
    <m/>
    <m/>
    <m/>
    <d v="2025-11-08T00:00:00"/>
    <n v="1504"/>
    <d v="2025-11-08T00:00:00"/>
    <m/>
    <m/>
    <m/>
    <m/>
    <m/>
    <m/>
    <m/>
  </r>
  <r>
    <n v="249"/>
    <m/>
    <s v="2025-26"/>
    <n v="9"/>
    <n v="2"/>
    <s v="Construction of Roads of Bhavnagar District Package No.RPC-2/BVN/MMGSY/BUJ/2024-25/P.01 Ta. Shihor , Dist.; Bhavnagar"/>
    <s v="(1) Ukharala Dambhaliya Road_x000a_(2) Ukharala Kantodiya Road"/>
    <s v="Shihor"/>
    <s v="Shihor"/>
    <s v="Road"/>
    <m/>
    <n v="201032"/>
    <n v="1"/>
    <d v="2025-07-03T00:00:00"/>
    <d v="2025-07-14T00:00:00"/>
    <d v="2025-07-15T00:00:00"/>
    <d v="2025-11-11T00:00:00"/>
    <n v="112916877.26000001"/>
    <m/>
    <n v="94929218.709999993"/>
    <n v="-15.93"/>
    <s v="Below"/>
    <s v="Nine Crore Forty Nine Lakh Twenty Nine Thousand Two Hundred Eighteen Rupees and Seventy One Paise Only"/>
    <s v="Government"/>
    <m/>
    <n v="94929218.709999993"/>
    <x v="57"/>
    <s v="HITENDRASINH GAMBHIRSINH ZALA"/>
    <s v="A-204, LEELA EFCEE, WAGHAWADI ROAD, BHAVNAGAR-364001"/>
    <n v="0"/>
    <d v="2025-08-04T00:00:00"/>
    <s v="BUJ 2024-25"/>
    <s v="Road and Building Department, Ganghinagar"/>
    <s v="RBD/TRF/e-file/16/2025/5176/Section D1"/>
    <d v="2025-09-03T00:00:00"/>
    <n v="11"/>
    <n v="4747000"/>
    <d v="2029-11-23T00:00:00"/>
    <n v="298300"/>
    <n v="1340000"/>
    <d v="2026-10-15T00:00:00"/>
    <d v="2029-09-24T00:00:00"/>
    <n v="1258"/>
    <d v="2025-09-03T00:00:00"/>
    <m/>
    <m/>
    <m/>
    <m/>
    <m/>
    <m/>
    <m/>
    <m/>
    <m/>
    <m/>
    <m/>
    <m/>
    <m/>
    <d v="2025-10-15T00:00:00"/>
    <m/>
    <m/>
    <m/>
    <m/>
    <m/>
    <m/>
    <m/>
    <m/>
    <m/>
  </r>
  <r>
    <n v="250"/>
    <m/>
    <s v="2025-26"/>
    <n v="9"/>
    <n v="3"/>
    <s v="Widening &amp; Strengthening of Tagdi-Thordi-Rajpara- Badi Road Km. 0/000-11/550 (Sec-I Tagdi Thordi Road Km.0/000-4/000), (Sec.II Thordi Rajpara Road Km. 4/000-9/250) &amp; (Sec-III Rajpara Badi Road Km.9/250-11/550) (MDR) Ta.Bhavnagar &amp; Ghogha, Dist.; Bhavnagar"/>
    <m/>
    <s v="Bhavnagar"/>
    <s v="Bhavnagar"/>
    <s v="Road"/>
    <m/>
    <n v="200884"/>
    <n v="1"/>
    <d v="2025-07-03T00:00:00"/>
    <d v="2025-07-14T00:00:00"/>
    <d v="2025-07-15T00:00:00"/>
    <d v="2025-11-11T00:00:00"/>
    <n v="63362712.479999997"/>
    <m/>
    <n v="53668217.469999999"/>
    <n v="-15.3"/>
    <s v="Below"/>
    <s v="Five Crore Thirty Six Lakh Sixty Eight Thousand Two Hundred Seventeen Rupees and Forty Seven Paise Only"/>
    <s v="Government"/>
    <m/>
    <n v="53668217.469999999"/>
    <x v="10"/>
    <n v="0"/>
    <s v="70, Hari Darshan Township, Subhashnagar, Bhavnagar"/>
    <n v="9825209897"/>
    <d v="2025-07-25T00:00:00"/>
    <s v="5054 MMGSY NORMAL 2024-25"/>
    <s v="Road and Building Department, Ganghinagar"/>
    <s v="RBD/TRF/e-file/16/2025/4868/Section D1"/>
    <d v="2025-09-01T00:00:00"/>
    <n v="11"/>
    <n v="2684000"/>
    <d v="2029-11-23T00:00:00"/>
    <n v="164500"/>
    <n v="672000"/>
    <d v="2026-10-15T00:00:00"/>
    <d v="2029-09-24T00:00:00"/>
    <n v="1353"/>
    <d v="2025-09-22T00:00:00"/>
    <m/>
    <m/>
    <m/>
    <m/>
    <m/>
    <m/>
    <m/>
    <m/>
    <m/>
    <m/>
    <m/>
    <m/>
    <m/>
    <d v="2025-10-15T00:00:00"/>
    <m/>
    <m/>
    <m/>
    <m/>
    <m/>
    <m/>
    <m/>
    <m/>
    <m/>
  </r>
  <r>
    <n v="251"/>
    <m/>
    <s v="2025-26"/>
    <n v="9"/>
    <n v="4"/>
    <s v="Construction to Roads of Bhavnagar District Package No. RPC-2/BVN/MMGSY/Normal/2024-25/P.04 Taluka and Dist.; Bhavnagar"/>
    <s v="(1) Bhuteshvar to State Highway Road_x000a_(2) Thalsar to Butbhavani Temple Road"/>
    <s v="Bhavnagar"/>
    <s v="Bhavnagar"/>
    <s v="Road"/>
    <m/>
    <n v="200894"/>
    <n v="1"/>
    <d v="2025-07-03T00:00:00"/>
    <d v="2025-07-14T00:00:00"/>
    <d v="2025-07-15T00:00:00"/>
    <d v="2025-11-11T00:00:00"/>
    <n v="12069061.77"/>
    <m/>
    <n v="8932312.6199999992"/>
    <n v="-25.99"/>
    <s v="Below"/>
    <s v="Eighty Nine Lakh Thirty Two Thousand Three Hundred Twelve Rupees and Sixty Two Paise Only"/>
    <s v="Circle"/>
    <m/>
    <n v="8932312.6199999992"/>
    <x v="9"/>
    <n v="0"/>
    <s v="&quot;Ashapura Nivas&quot;, Shivaji Nagar, Talaja, Ta. Talaja Dist. Bhavnagar"/>
    <n v="9638310999"/>
    <d v="2025-07-25T00:00:00"/>
    <s v="5054 MMGSY NORMAL 2024-25"/>
    <s v="Superintending Engineer, Panchayat Road and Building Circle-2, Rajkot"/>
    <s v="RPC-2/Tender/Bhavbagar/211"/>
    <d v="2025-08-08T00:00:00"/>
    <n v="6"/>
    <n v="447000"/>
    <d v="2029-07-25T00:00:00"/>
    <n v="50300"/>
    <n v="579000"/>
    <d v="2026-06-16T00:00:00"/>
    <d v="2029-05-26T00:00:00"/>
    <n v="1257"/>
    <d v="2025-09-03T00:00:00"/>
    <s v="2025-26"/>
    <n v="203"/>
    <d v="2025-11-13T00:00:00"/>
    <s v="FDR"/>
    <s v="HDFC Bank"/>
    <s v="50301241287737"/>
    <n v="447000"/>
    <d v="2025-11-03T00:00:00"/>
    <s v="FDR"/>
    <s v="HDFC Bank"/>
    <s v="50301241288868"/>
    <n v="579000"/>
    <d v="2025-11-03T00:00:00"/>
    <d v="2025-11-13T00:00:00"/>
    <n v="1525"/>
    <d v="2025-11-13T00:00:00"/>
    <m/>
    <m/>
    <m/>
    <m/>
    <m/>
    <m/>
    <m/>
  </r>
  <r>
    <n v="252"/>
    <m/>
    <s v="2025-26"/>
    <n v="9"/>
    <n v="5"/>
    <s v="Construction of Bhankhal to Piparala Road (NP) Ch.0/000 to 1/850 Ta.Shihor, Dist.; Bhavnagar"/>
    <m/>
    <s v="Shihor"/>
    <s v="Shihor"/>
    <s v="Road"/>
    <m/>
    <n v="199598"/>
    <n v="1"/>
    <d v="2025-07-03T00:00:00"/>
    <d v="2025-07-14T00:00:00"/>
    <d v="2025-07-15T00:00:00"/>
    <d v="2025-11-11T00:00:00"/>
    <n v="31383339.899999999"/>
    <m/>
    <n v="25288695.289999999"/>
    <n v="-19.420000000000002"/>
    <s v="Below"/>
    <s v="Two Crore Fifty Two Lakh Eighty Eight Thousand Six Hundred Ninety Five Rupees and Twenty Nine Paise Only"/>
    <s v="Government"/>
    <m/>
    <n v="25288695.289999999"/>
    <x v="58"/>
    <s v="GULABSINH LAKHUBHAI SARVAIYA"/>
    <s v="PLOT NO. C-4811, KALVIBID, POONAM TENAMENT, BHAVNAGAR-364002"/>
    <n v="9427751520"/>
    <d v="2025-07-25T00:00:00"/>
    <s v="5054 MMGSY NORMAL 2024-25"/>
    <s v="Road and Building Department, Ganghinagar"/>
    <s v="RBD/TRF/e-file/16/2025/4871/Section D1"/>
    <d v="2025-08-18T00:00:00"/>
    <n v="10"/>
    <n v="1265000"/>
    <d v="2029-10-24T00:00:00"/>
    <n v="91000"/>
    <n v="592000"/>
    <d v="2026-09-15T00:00:00"/>
    <d v="2029-08-25T00:00:00"/>
    <n v="1262"/>
    <d v="2025-09-04T00:00:00"/>
    <m/>
    <m/>
    <m/>
    <m/>
    <m/>
    <m/>
    <m/>
    <m/>
    <m/>
    <m/>
    <m/>
    <m/>
    <m/>
    <d v="2025-10-15T00:00:00"/>
    <m/>
    <m/>
    <m/>
    <m/>
    <m/>
    <m/>
    <m/>
    <m/>
    <m/>
  </r>
  <r>
    <n v="253"/>
    <m/>
    <s v="2025-26"/>
    <n v="9"/>
    <n v="6"/>
    <s v="Construction of Ishwariya to Sanosara Railway station Road (NP) Ch.0/000 to 1/650 Ta.Shihor , Dist.; Bhavnagar"/>
    <m/>
    <s v="Shihor"/>
    <s v="Shihor"/>
    <s v="Road"/>
    <m/>
    <n v="199599"/>
    <n v="1"/>
    <d v="2025-07-03T00:00:00"/>
    <d v="2025-07-14T00:00:00"/>
    <d v="2025-07-15T00:00:00"/>
    <d v="2025-11-11T00:00:00"/>
    <n v="14529445.869999999"/>
    <m/>
    <n v="12560705.949999999"/>
    <n v="-13.55"/>
    <s v="Below"/>
    <s v="One Crore Twenty Five Lakh Sixty Thousand Seven Hundred Five Rupees and Ninety Five Paise Only"/>
    <s v="Circle"/>
    <m/>
    <n v="12560705.949999999"/>
    <x v="2"/>
    <n v="0"/>
    <s v="AT JALALPUR, TA. GADHADA, DIST. BOTAD - 364740"/>
    <n v="8849179437"/>
    <d v="2025-07-25T00:00:00"/>
    <s v="5054 MMGSY NORMAL"/>
    <s v="Superintending Engineer, Panchayat Road and Building Circle-2, Rajkot"/>
    <s v="RPC-2/Tender/Bhavbagar/210"/>
    <d v="2025-08-08T00:00:00"/>
    <n v="8"/>
    <n v="629000"/>
    <d v="2029-08-25T00:00:00"/>
    <n v="36000"/>
    <n v="104000"/>
    <d v="2026-07-17T00:00:00"/>
    <d v="2029-06-26T00:00:00"/>
    <n v="1256"/>
    <d v="2025-09-03T00:00:00"/>
    <m/>
    <m/>
    <m/>
    <m/>
    <m/>
    <m/>
    <m/>
    <m/>
    <m/>
    <m/>
    <m/>
    <m/>
    <m/>
    <d v="2025-10-15T00:00:00"/>
    <m/>
    <m/>
    <m/>
    <m/>
    <m/>
    <m/>
    <m/>
    <m/>
    <m/>
  </r>
  <r>
    <n v="254"/>
    <m/>
    <s v="2025-26"/>
    <n v="9"/>
    <n v="7"/>
    <s v="Construction of Panchvada to Meghvadar Road (NP) Ch. 0/000 to 3/750 Ta.Shihor, Dist.; Bhavnagar"/>
    <m/>
    <s v="Shihor"/>
    <s v="Shihor"/>
    <s v="Road"/>
    <m/>
    <n v="199600"/>
    <n v="1"/>
    <d v="2025-07-03T00:00:00"/>
    <d v="2025-07-14T00:00:00"/>
    <d v="2025-07-15T00:00:00"/>
    <d v="2025-11-11T00:00:00"/>
    <n v="21473015.379999999"/>
    <m/>
    <n v="18786741.16"/>
    <n v="-12.51"/>
    <s v="Below"/>
    <s v="One Crore Eighty Seven Lakh Eighty Six Thousand Seven Hundred Forty One Rupees and Sixteen Paise Only"/>
    <s v="Circle"/>
    <m/>
    <n v="18786741.16"/>
    <x v="10"/>
    <n v="0"/>
    <s v="70, Hari Darshan Township, Subhashnagar, Bhavnagar"/>
    <n v="9825209897"/>
    <d v="2025-07-25T00:00:00"/>
    <s v="5054 MMGSY NORMAL 2024-25"/>
    <s v="Road and Building Department, Ganghinagar"/>
    <s v="RBD/TRF/e-file/16/2025/4865/Section D1"/>
    <d v="2025-08-18T00:00:00"/>
    <n v="8"/>
    <n v="940000"/>
    <d v="2029-08-25T00:00:00"/>
    <n v="51400"/>
    <n v="108000"/>
    <d v="2026-07-17T00:00:00"/>
    <d v="2029-06-26T00:00:00"/>
    <n v="1261"/>
    <d v="2025-09-04T00:00:00"/>
    <m/>
    <m/>
    <m/>
    <m/>
    <m/>
    <m/>
    <m/>
    <m/>
    <m/>
    <m/>
    <m/>
    <m/>
    <m/>
    <d v="2025-10-15T00:00:00"/>
    <m/>
    <m/>
    <m/>
    <m/>
    <m/>
    <m/>
    <m/>
    <m/>
    <m/>
  </r>
  <r>
    <n v="255"/>
    <m/>
    <s v="2025-26"/>
    <n v="9"/>
    <n v="8"/>
    <s v="Construction of Kerala to Mangela Road (NP) Ch.0/000 to 4/000 (Sec.0/000-3/200) Ta. Talaja, Dist. Bhavnagar"/>
    <m/>
    <s v="Talaja"/>
    <s v="Talaja"/>
    <s v="Road"/>
    <m/>
    <n v="199601"/>
    <n v="1"/>
    <d v="2025-07-03T00:00:00"/>
    <d v="2025-07-14T00:00:00"/>
    <d v="2025-07-15T00:00:00"/>
    <d v="2025-11-11T00:00:00"/>
    <n v="21756202.609999999"/>
    <s v="Yes"/>
    <m/>
    <m/>
    <s v="Equals"/>
    <s v="Zero Rupees Only"/>
    <s v="Division"/>
    <m/>
    <n v="0"/>
    <x v="3"/>
    <n v="0"/>
    <n v="0"/>
    <n v="0"/>
    <m/>
    <m/>
    <m/>
    <m/>
    <m/>
    <m/>
    <n v="0"/>
    <d v="1903-03-15T00:00:00"/>
    <n v="0"/>
    <n v="0"/>
    <d v="1900-02-03T00:00:00"/>
    <d v="1903-01-14T00:00:00"/>
    <m/>
    <m/>
    <m/>
    <m/>
    <m/>
    <m/>
    <m/>
    <m/>
    <m/>
    <m/>
    <m/>
    <m/>
    <m/>
    <m/>
    <m/>
    <m/>
    <m/>
    <m/>
    <m/>
    <m/>
    <m/>
    <m/>
    <m/>
    <m/>
    <m/>
  </r>
  <r>
    <n v="256"/>
    <m/>
    <s v="2025-26"/>
    <n v="9"/>
    <n v="9"/>
    <s v="Construction of Vejodari to Mangela Road (NP) Ch.0/000 to 2/250 Ta. Talaja, Dist. Bhavnagar"/>
    <m/>
    <s v="Talaja"/>
    <s v="Talaja"/>
    <s v="Road"/>
    <m/>
    <n v="199602"/>
    <n v="1"/>
    <d v="2025-07-03T00:00:00"/>
    <d v="2025-07-14T00:00:00"/>
    <d v="2025-07-15T00:00:00"/>
    <d v="2025-11-11T00:00:00"/>
    <n v="13636075.76"/>
    <s v="Yes"/>
    <m/>
    <m/>
    <s v="Equals"/>
    <s v="Zero Rupees Only"/>
    <s v="Division"/>
    <m/>
    <n v="0"/>
    <x v="3"/>
    <n v="0"/>
    <n v="0"/>
    <n v="0"/>
    <m/>
    <m/>
    <m/>
    <m/>
    <m/>
    <m/>
    <n v="0"/>
    <d v="1903-03-15T00:00:00"/>
    <n v="0"/>
    <n v="0"/>
    <d v="1900-02-03T00:00:00"/>
    <d v="1903-01-14T00:00:00"/>
    <m/>
    <m/>
    <m/>
    <m/>
    <m/>
    <m/>
    <m/>
    <m/>
    <m/>
    <m/>
    <m/>
    <m/>
    <m/>
    <m/>
    <m/>
    <m/>
    <m/>
    <m/>
    <m/>
    <m/>
    <m/>
    <m/>
    <m/>
    <m/>
    <m/>
  </r>
  <r>
    <n v="257"/>
    <m/>
    <s v="2025-26"/>
    <n v="9"/>
    <n v="10"/>
    <s v="Construction of Ratanvav To Paravadi Road (NP) Km.0/000 to 3/500 Ta.Gariyadhar , Dist.; Bhavnagar"/>
    <m/>
    <s v="Gariyadhar"/>
    <s v="Palitana"/>
    <s v="Road"/>
    <m/>
    <n v="199603"/>
    <n v="1"/>
    <d v="2025-07-03T00:00:00"/>
    <d v="2025-07-14T00:00:00"/>
    <d v="2025-07-15T00:00:00"/>
    <d v="2025-11-11T00:00:00"/>
    <n v="41947449.920000002"/>
    <m/>
    <n v="33864176.32"/>
    <n v="-19.27"/>
    <s v="Below"/>
    <s v="Three Crore Thirty Eight Lakh Sixty Four Thousand One Hundred Seventy Six Rupees and Thirty Two Paise Only"/>
    <s v="Government"/>
    <m/>
    <n v="33864176.32"/>
    <x v="5"/>
    <n v="0"/>
    <s v="Shop No. 131/B, First Floor, Shiva Belssing-2, Opp. BMC Office, Bhavnagar"/>
    <n v="9925888787"/>
    <d v="2025-07-25T00:00:00"/>
    <s v="5054 MMGSY NORMAL 2025-26"/>
    <s v="Road and Building Department, Ganghinagar"/>
    <s v="RBD/TRF/e-file/16/2025/4870/Section D1"/>
    <d v="2025-09-01T00:00:00"/>
    <n v="10"/>
    <n v="1694000"/>
    <d v="2029-10-24T00:00:00"/>
    <n v="121200"/>
    <n v="778000"/>
    <d v="2026-09-15T00:00:00"/>
    <d v="2029-08-25T00:00:00"/>
    <n v="1354"/>
    <d v="2025-09-22T00:00:00"/>
    <m/>
    <m/>
    <m/>
    <m/>
    <m/>
    <m/>
    <m/>
    <m/>
    <m/>
    <m/>
    <m/>
    <m/>
    <m/>
    <d v="2025-10-15T00:00:00"/>
    <m/>
    <m/>
    <m/>
    <m/>
    <m/>
    <m/>
    <m/>
    <m/>
    <m/>
  </r>
  <r>
    <n v="258"/>
    <m/>
    <s v="2025-26"/>
    <n v="9"/>
    <n v="11"/>
    <s v="Construction of Ratol To Chuna Road (Remaining Length) (NP) Km.0/000 to 1/400 Ta.Mahuva , Dist.; Bhavnagar"/>
    <m/>
    <s v="Mahuva"/>
    <s v="Mahuva"/>
    <s v="Road"/>
    <m/>
    <n v="199604"/>
    <n v="1"/>
    <d v="2025-07-03T00:00:00"/>
    <d v="2025-07-14T00:00:00"/>
    <d v="2025-07-15T00:00:00"/>
    <d v="2025-11-11T00:00:00"/>
    <n v="10473002.869999999"/>
    <m/>
    <n v="11075200.539999999"/>
    <n v="5.75"/>
    <s v="Above"/>
    <s v="One Crore Ten Lakh Seventy Five Thousand Two Hundred Rupees and Fifty Four Paise Only"/>
    <s v="Circle"/>
    <m/>
    <n v="11075200.539999999"/>
    <x v="5"/>
    <n v="0"/>
    <s v="Shop No. 131/B, First Floor, Shiva Belssing-2, Opp. BMC Office, Bhavnagar"/>
    <n v="9925888787"/>
    <d v="2025-07-25T00:00:00"/>
    <s v="5054 MMGSY NORMAL 2024-25"/>
    <s v="Superintending Engineer, Panchayat Road and Building Circle-2, Rajkot"/>
    <s v="RPC-2/Tender/Bhavbagar/212"/>
    <d v="2025-08-08T00:00:00"/>
    <n v="6"/>
    <n v="554000"/>
    <d v="2029-06-12T00:00:00"/>
    <n v="27200"/>
    <n v="0"/>
    <d v="2026-05-04T00:00:00"/>
    <d v="2029-04-13T00:00:00"/>
    <n v="1254"/>
    <d v="2025-09-03T00:00:00"/>
    <m/>
    <m/>
    <m/>
    <m/>
    <m/>
    <m/>
    <m/>
    <m/>
    <m/>
    <m/>
    <m/>
    <m/>
    <m/>
    <d v="2025-10-01T00:00:00"/>
    <m/>
    <m/>
    <m/>
    <m/>
    <m/>
    <m/>
    <m/>
    <m/>
    <m/>
  </r>
  <r>
    <n v="259"/>
    <m/>
    <s v="2025-26"/>
    <n v="9"/>
    <n v="12"/>
    <s v="Construction of Panchtobra Gangajaliya to Malvali Road to Ratanvav Surnivas Road (NP) Km.0/000 to 2/200 Ta. Gariyadhar , Dist.; Bhavnagar"/>
    <m/>
    <s v="Gariyadhar"/>
    <s v="Palitana"/>
    <s v="Road"/>
    <m/>
    <n v="199605"/>
    <n v="1"/>
    <d v="2025-07-03T00:00:00"/>
    <d v="2025-07-14T00:00:00"/>
    <d v="2025-07-15T00:00:00"/>
    <d v="2025-11-11T00:00:00"/>
    <n v="27666802.899999999"/>
    <m/>
    <n v="21884441.09"/>
    <n v="-20.9"/>
    <s v="Below"/>
    <s v="Two Crore Eighteen Lakh Eighty Four Thousand Four Hundred Forty One Rupees and Nine Paise Only"/>
    <s v="Government"/>
    <m/>
    <n v="21884441.09"/>
    <x v="59"/>
    <n v="0"/>
    <s v="SH-404, Amazing Star, Opp. Vishvamitri Society, Varachha, Surat - 395006"/>
    <n v="0"/>
    <d v="2025-07-25T00:00:00"/>
    <s v="5054 MMGSY NORMAL 2024-25"/>
    <s v="Road and Building Department, Ganghinagar"/>
    <s v="RBD/TRF/e-file/16/2025/4866/Section D1"/>
    <d v="2025-08-18T00:00:00"/>
    <n v="10"/>
    <n v="1095000"/>
    <d v="2029-10-24T00:00:00"/>
    <n v="98000"/>
    <n v="905000"/>
    <d v="2026-09-15T00:00:00"/>
    <d v="2029-08-25T00:00:00"/>
    <n v="1260"/>
    <d v="2025-09-04T00:00:00"/>
    <m/>
    <m/>
    <m/>
    <m/>
    <m/>
    <m/>
    <m/>
    <m/>
    <m/>
    <m/>
    <m/>
    <m/>
    <m/>
    <d v="2025-10-15T00:00:00"/>
    <m/>
    <m/>
    <m/>
    <m/>
    <m/>
    <m/>
    <m/>
    <m/>
    <m/>
  </r>
  <r>
    <n v="260"/>
    <m/>
    <s v="2025-26"/>
    <n v="9"/>
    <n v="13"/>
    <s v="Construction of Slab Drain on Krushnapara Village Joining Highway Road At Ch.0/020 Ta.Shihor , Dist.; Bhavnagar"/>
    <m/>
    <s v="Shihor"/>
    <s v="Shihor"/>
    <s v="Road"/>
    <m/>
    <n v="199608"/>
    <n v="1"/>
    <d v="2025-07-03T00:00:00"/>
    <d v="2025-07-14T00:00:00"/>
    <d v="2025-07-15T00:00:00"/>
    <d v="2025-11-11T00:00:00"/>
    <n v="7466411.8799999999"/>
    <m/>
    <n v="5811855.0099999998"/>
    <n v="-22.16"/>
    <s v="Below"/>
    <s v="Fifty Eight Lakh Eleven Thousand Eight Hundred Fifty Five Rupees and One Paise Only"/>
    <s v="Circle"/>
    <m/>
    <n v="5811855.0099999998"/>
    <x v="60"/>
    <n v="0"/>
    <s v="At Gadhula, Ta. Shihor, Dist. Bhavnagar - 364230"/>
    <n v="9979347794"/>
    <d v="2025-07-25T00:00:00"/>
    <s v="5054 MMGSY NORMAL"/>
    <s v="Superintending Engineer, Panchayat Road and Building Circle-2, Rajkot"/>
    <s v="RPC-2/Tender/Bhavbagar/213"/>
    <d v="2025-08-08T00:00:00"/>
    <n v="6"/>
    <n v="291000"/>
    <d v="2027-07-07T00:00:00"/>
    <n v="27700"/>
    <n v="273000"/>
    <d v="2026-05-18T00:00:00"/>
    <d v="2027-05-08T00:00:00"/>
    <n v="1220"/>
    <d v="2025-08-29T00:00:00"/>
    <s v="2025-26"/>
    <n v="190"/>
    <d v="2025-10-13T00:00:00"/>
    <s v="FDR"/>
    <s v="State Bank of India"/>
    <n v="44461392653"/>
    <n v="291000"/>
    <d v="2025-09-11T00:00:00"/>
    <s v="FDR"/>
    <s v="State Bank of India"/>
    <n v="44461391773"/>
    <n v="273000"/>
    <d v="2025-09-11T00:00:00"/>
    <d v="2025-10-15T00:00:00"/>
    <n v="1474"/>
    <d v="2025-10-13T00:00:00"/>
    <m/>
    <m/>
    <m/>
    <m/>
    <m/>
    <m/>
    <m/>
  </r>
  <r>
    <n v="261"/>
    <m/>
    <s v="2025-26"/>
    <n v="9"/>
    <n v="14"/>
    <s v="Construction to Roads of Bhavnagar District Package No. RPC-2/BVN/Normal/2022-23/P.06, Ta. Talaja"/>
    <s v="(1) Juni Chhapari Juna Sangana Road_x000a_(2) Pasvi Motaghana Road_x000a_(3) Pasvi Bhungar Road"/>
    <s v="Talaja"/>
    <s v="Talaja"/>
    <s v="Road"/>
    <m/>
    <m/>
    <n v="2"/>
    <d v="2025-07-03T00:00:00"/>
    <d v="2025-07-14T00:00:00"/>
    <d v="2025-07-15T00:00:00"/>
    <d v="2025-11-11T00:00:00"/>
    <n v="55033209.789999999"/>
    <s v="Yes"/>
    <m/>
    <m/>
    <s v="Equals"/>
    <s v="Zero Rupees Only"/>
    <s v="Division"/>
    <m/>
    <n v="0"/>
    <x v="3"/>
    <n v="0"/>
    <n v="0"/>
    <n v="0"/>
    <m/>
    <m/>
    <m/>
    <m/>
    <m/>
    <m/>
    <n v="0"/>
    <d v="2028-12-28T00:00:00"/>
    <n v="0"/>
    <n v="0"/>
    <d v="2025-11-19T00:00:00"/>
    <d v="2028-10-29T00:00:00"/>
    <m/>
    <m/>
    <m/>
    <m/>
    <m/>
    <m/>
    <m/>
    <m/>
    <m/>
    <m/>
    <m/>
    <m/>
    <m/>
    <m/>
    <m/>
    <d v="2025-10-15T00:00:00"/>
    <m/>
    <m/>
    <m/>
    <m/>
    <m/>
    <m/>
    <m/>
    <m/>
    <m/>
  </r>
  <r>
    <n v="262"/>
    <m/>
    <s v="2025-26"/>
    <n v="9"/>
    <n v="15"/>
    <s v="Construction of Ambla To Mahadevpara Road (NP) 0/00-3/200 Ta.Talaja Dist.; Bhavnagar."/>
    <m/>
    <s v="Talaja"/>
    <s v="Talaja"/>
    <s v="Road"/>
    <m/>
    <n v="199607"/>
    <n v="2"/>
    <d v="2025-07-03T00:00:00"/>
    <d v="2025-07-14T00:00:00"/>
    <d v="2025-07-15T00:00:00"/>
    <d v="2025-11-11T00:00:00"/>
    <n v="22338543.73"/>
    <m/>
    <n v="27029637.91"/>
    <n v="21"/>
    <s v="Above"/>
    <s v="Two Crore Seventy Lakh Twenty Nine Thousand Six Hundred Thirty Seven Rupees and Ninety One Paise Only"/>
    <s v="Government"/>
    <m/>
    <n v="27029637.91"/>
    <x v="0"/>
    <s v="BHADRESHSINH BHAGWATSING GOHIL"/>
    <s v="A/8, AKSHARDEEP COMPLEX, OPP. DEEPAK MEMORIAL HALL, SANSKAR MANDAL, BHAVNAGAR-364002"/>
    <n v="9925209999"/>
    <d v="2025-07-25T00:00:00"/>
    <s v="5054 MMGSY NORMAL"/>
    <s v="Road and Building Department, Ganghinagar"/>
    <s v="RBD/TRF/e-file/16/2025/4869/Section D1"/>
    <d v="2025-08-12T00:00:00"/>
    <n v="8"/>
    <n v="1352000"/>
    <d v="2029-08-25T00:00:00"/>
    <n v="66300"/>
    <n v="0"/>
    <d v="2026-07-17T00:00:00"/>
    <d v="2029-06-26T00:00:00"/>
    <n v="1255"/>
    <d v="2025-09-03T00:00:00"/>
    <m/>
    <m/>
    <m/>
    <m/>
    <m/>
    <m/>
    <m/>
    <m/>
    <m/>
    <m/>
    <m/>
    <m/>
    <m/>
    <d v="2025-10-15T00:00:00"/>
    <m/>
    <m/>
    <m/>
    <m/>
    <m/>
    <m/>
    <m/>
    <m/>
    <m/>
  </r>
  <r>
    <n v="263"/>
    <m/>
    <s v="2025-26"/>
    <n v="10"/>
    <n v="1"/>
    <s v="Work of Constructing, Strengthening and Resurfacing of various important roads as and when required or in emergency under bhavnagar district (Panchayat) (Annual Rate)"/>
    <m/>
    <m/>
    <e v="#N/A"/>
    <s v="Consultant"/>
    <m/>
    <n v="199490"/>
    <n v="1"/>
    <m/>
    <m/>
    <m/>
    <d v="1900-04-29T00:00:00"/>
    <n v="247012304.03"/>
    <s v="Yes"/>
    <m/>
    <m/>
    <s v="Equals"/>
    <s v="Zero Rupees Only"/>
    <s v="Division"/>
    <m/>
    <n v="0"/>
    <x v="3"/>
    <n v="0"/>
    <n v="0"/>
    <n v="0"/>
    <m/>
    <m/>
    <m/>
    <m/>
    <m/>
    <m/>
    <n v="0"/>
    <d v="1903-03-15T00:00:00"/>
    <n v="0"/>
    <n v="0"/>
    <d v="1900-02-03T00:00:00"/>
    <d v="1903-01-14T00:00:00"/>
    <m/>
    <m/>
    <m/>
    <m/>
    <m/>
    <m/>
    <m/>
    <m/>
    <m/>
    <m/>
    <m/>
    <m/>
    <m/>
    <m/>
    <m/>
    <m/>
    <m/>
    <m/>
    <m/>
    <m/>
    <m/>
    <m/>
    <m/>
    <m/>
    <m/>
  </r>
  <r>
    <n v="264"/>
    <m/>
    <s v="2025-26"/>
    <n v="10"/>
    <n v="2"/>
    <s v="Conctruction Work of New Cross Drainage, Repairing Cross Drainage, Structure and Bridge Repair work and other Misc. work various roads as and when  required or in emergency under bhavnagar district (Panchayat) (Annual Rate)"/>
    <m/>
    <m/>
    <e v="#N/A"/>
    <s v="Consultant"/>
    <m/>
    <n v="199492"/>
    <n v="1"/>
    <m/>
    <m/>
    <m/>
    <d v="1900-04-29T00:00:00"/>
    <n v="248929554.08000001"/>
    <s v="Yes"/>
    <m/>
    <m/>
    <s v="Equals"/>
    <s v="Zero Rupees Only"/>
    <s v="Division"/>
    <m/>
    <n v="0"/>
    <x v="3"/>
    <n v="0"/>
    <n v="0"/>
    <n v="0"/>
    <m/>
    <m/>
    <m/>
    <m/>
    <m/>
    <m/>
    <n v="0"/>
    <d v="1903-03-15T00:00:00"/>
    <n v="0"/>
    <n v="0"/>
    <d v="1900-02-03T00:00:00"/>
    <d v="1903-01-14T00:00:00"/>
    <m/>
    <m/>
    <m/>
    <m/>
    <m/>
    <m/>
    <m/>
    <m/>
    <m/>
    <m/>
    <m/>
    <m/>
    <m/>
    <m/>
    <m/>
    <m/>
    <m/>
    <m/>
    <m/>
    <m/>
    <m/>
    <m/>
    <m/>
    <m/>
    <m/>
  </r>
  <r>
    <n v="265"/>
    <m/>
    <s v="2025-26"/>
    <n v="11"/>
    <n v="1"/>
    <s v="Remaining works of Gram Panchayat office Building (Frame Structure) Gariyadhar Taluka Package No. 2017-18/18 (Shivendranagar, Moti Vavdi, Rupavati), Dist. Bhavnagar"/>
    <m/>
    <s v="Gariyadhar"/>
    <s v="Palitana"/>
    <s v="Building"/>
    <m/>
    <m/>
    <n v="9"/>
    <m/>
    <m/>
    <m/>
    <d v="1900-04-29T00:00:00"/>
    <m/>
    <s v="Yes"/>
    <m/>
    <m/>
    <s v="Equals"/>
    <s v="Zero Rupees Only"/>
    <s v="Division"/>
    <m/>
    <n v="0"/>
    <x v="3"/>
    <n v="0"/>
    <n v="0"/>
    <n v="0"/>
    <m/>
    <m/>
    <m/>
    <m/>
    <m/>
    <m/>
    <n v="0"/>
    <d v="1901-03-25T00:00:00"/>
    <n v="0"/>
    <n v="0"/>
    <d v="1900-02-03T00:00:00"/>
    <d v="1901-01-24T00:00:00"/>
    <m/>
    <m/>
    <m/>
    <m/>
    <m/>
    <m/>
    <m/>
    <m/>
    <m/>
    <m/>
    <m/>
    <m/>
    <m/>
    <m/>
    <m/>
    <m/>
    <m/>
    <m/>
    <m/>
    <m/>
    <m/>
    <m/>
    <m/>
    <m/>
    <m/>
  </r>
  <r>
    <n v="266"/>
    <m/>
    <s v="2025-26"/>
    <n v="11"/>
    <n v="2"/>
    <s v="Remaining works Construction of Gram Panchayat office Building (Frame Structure) at village Pansada Dist. Bhavnagar"/>
    <m/>
    <s v="Gariyadhar"/>
    <s v="Palitana"/>
    <s v="Building"/>
    <m/>
    <m/>
    <n v="9"/>
    <m/>
    <m/>
    <m/>
    <d v="1900-04-29T00:00:00"/>
    <m/>
    <s v="Yes"/>
    <m/>
    <m/>
    <s v="Equals"/>
    <s v="Zero Rupees Only"/>
    <s v="Division"/>
    <m/>
    <n v="0"/>
    <x v="3"/>
    <n v="0"/>
    <n v="0"/>
    <n v="0"/>
    <m/>
    <m/>
    <m/>
    <m/>
    <m/>
    <m/>
    <n v="0"/>
    <d v="1901-03-25T00:00:00"/>
    <n v="0"/>
    <n v="0"/>
    <d v="1900-02-03T00:00:00"/>
    <d v="1901-01-24T00:00:00"/>
    <m/>
    <m/>
    <m/>
    <m/>
    <m/>
    <m/>
    <m/>
    <m/>
    <m/>
    <m/>
    <m/>
    <m/>
    <m/>
    <m/>
    <m/>
    <m/>
    <m/>
    <m/>
    <m/>
    <m/>
    <m/>
    <m/>
    <m/>
    <m/>
    <m/>
  </r>
  <r>
    <n v="267"/>
    <m/>
    <s v="2025-26"/>
    <n v="11"/>
    <n v="3"/>
    <s v="Construction of School Building at Kalivav Primary School (One Class Room)  and Koliyak Kanya P.S. (Four Class Room) Ta. And Dist. Bhavnagar"/>
    <m/>
    <s v="Bhavnagar"/>
    <s v="Bhavnagar"/>
    <s v="Building"/>
    <m/>
    <m/>
    <n v="7"/>
    <m/>
    <m/>
    <m/>
    <d v="1900-04-29T00:00:00"/>
    <m/>
    <s v="Yes"/>
    <m/>
    <m/>
    <s v="Equals"/>
    <s v="Zero Rupees Only"/>
    <s v="Division"/>
    <m/>
    <n v="0"/>
    <x v="3"/>
    <n v="0"/>
    <n v="0"/>
    <n v="0"/>
    <m/>
    <m/>
    <m/>
    <m/>
    <m/>
    <m/>
    <n v="0"/>
    <d v="1901-03-25T00:00:00"/>
    <n v="0"/>
    <n v="0"/>
    <d v="1900-02-03T00:00:00"/>
    <d v="1901-01-24T00:00:00"/>
    <m/>
    <m/>
    <m/>
    <m/>
    <m/>
    <m/>
    <m/>
    <m/>
    <m/>
    <m/>
    <m/>
    <m/>
    <m/>
    <m/>
    <m/>
    <m/>
    <m/>
    <m/>
    <m/>
    <m/>
    <m/>
    <m/>
    <m/>
    <m/>
    <m/>
  </r>
  <r>
    <n v="268"/>
    <m/>
    <s v="2025-26"/>
    <n v="11"/>
    <n v="4"/>
    <s v="Construction of Nandghar (Anganvadi) Building at Undavi-1 (Bhavnagar) Ta. Bhavnagar Dist. Bhavnagar"/>
    <m/>
    <s v="Bhavnagar"/>
    <s v="Bhavnagar"/>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69"/>
    <m/>
    <s v="2025-26"/>
    <n v="11"/>
    <n v="5"/>
    <s v="Construction of Nandghar (Anganvadi) Building at Village Kumbhariy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0"/>
    <m/>
    <s v="2025-26"/>
    <n v="11"/>
    <n v="6"/>
    <s v="Construction of Nandghar (Anganvadi) Building at Village Mota Khuntavada-2,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1"/>
    <m/>
    <s v="2025-26"/>
    <n v="11"/>
    <n v="7"/>
    <s v="Construction of Nandghar (Anganvadi) Building at Village Titodiy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2"/>
    <m/>
    <s v="2025-26"/>
    <n v="11"/>
    <n v="8"/>
    <s v="Construction of Nandghar (Anganvadi) Building at Village Gundarani,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3"/>
    <m/>
    <s v="2025-26"/>
    <n v="11"/>
    <n v="9"/>
    <s v="Construction of Nandghar (Anganvadi) Building at Village Mota Malpar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4"/>
    <m/>
    <s v="2025-26"/>
    <n v="11"/>
    <n v="10"/>
    <s v="Construction of Nandghar (Anganvadi) Building at Village Bagdana-3 Tal. Mahuva Dist. Bhavnagar"/>
    <m/>
    <s v="Mahuva"/>
    <s v="Mahuva"/>
    <s v="Building"/>
    <s v="Anganvadi"/>
    <n v="199528"/>
    <n v="3"/>
    <m/>
    <d v="2025-07-10T00:00:00"/>
    <m/>
    <d v="2025-11-07T00:00:00"/>
    <n v="1024912.96"/>
    <m/>
    <n v="1024912.96"/>
    <n v="0"/>
    <s v="Equals"/>
    <s v="Ten Lakh Twenty Four Thousand Nine Hundred Twelve Rupees and Ninety Six Paise Only"/>
    <s v="Division"/>
    <m/>
    <n v="1024912.96"/>
    <x v="51"/>
    <n v="0"/>
    <s v="185, Reliya Plot Vistar, Reliya, Tal. Talaja, Dist. Bhavnagar-364135"/>
    <n v="9737944545"/>
    <m/>
    <m/>
    <m/>
    <m/>
    <m/>
    <m/>
    <n v="52000"/>
    <d v="2026-12-25T00:00:00"/>
    <n v="2600"/>
    <n v="0"/>
    <d v="2025-11-05T00:00:00"/>
    <d v="2026-10-26T00:00:00"/>
    <n v="1282"/>
    <d v="2025-09-09T00:00:00"/>
    <m/>
    <m/>
    <m/>
    <m/>
    <m/>
    <m/>
    <m/>
    <m/>
    <m/>
    <m/>
    <m/>
    <m/>
    <m/>
    <d v="2025-10-01T00:00:00"/>
    <m/>
    <m/>
    <m/>
    <m/>
    <m/>
    <m/>
    <m/>
    <m/>
    <m/>
  </r>
  <r>
    <n v="275"/>
    <m/>
    <s v="2025-26"/>
    <n v="11"/>
    <n v="11"/>
    <s v="Construction of Nandghar (Anganvadi) Building at Village Mota Khuntavada-3,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6"/>
    <m/>
    <s v="2025-26"/>
    <n v="11"/>
    <n v="12"/>
    <s v="Construction of Nandghar (Anganvadi) Building at Village Vaghvadard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7"/>
    <m/>
    <s v="2025-26"/>
    <n v="11"/>
    <n v="13"/>
    <s v="Construction of Nandghar (Anganvadi) Building at Village Lusadi Tal. Mahuva Dist. Bhavnagar"/>
    <m/>
    <s v="Mahuva"/>
    <s v="Mahuva"/>
    <s v="Building"/>
    <s v="Anganvadi"/>
    <n v="199533"/>
    <n v="3"/>
    <m/>
    <d v="2025-07-10T00:00:00"/>
    <m/>
    <d v="2025-11-07T00:00:00"/>
    <n v="1024912.96"/>
    <m/>
    <n v="988528.55"/>
    <n v="-3.55"/>
    <s v="Below"/>
    <s v="Nine Lakh Eighty Eight Thousand Five Hundred Twenty Eight Rupees and Fifty Five Paise Only"/>
    <s v="Division"/>
    <m/>
    <n v="988528.55"/>
    <x v="27"/>
    <s v="Siddharth Parbatbhai Bed"/>
    <s v="At Hemal, Ta. Jafarabad, Dist. Amreli - 365545"/>
    <n v="9586762457"/>
    <m/>
    <m/>
    <m/>
    <m/>
    <m/>
    <n v="3"/>
    <n v="50000"/>
    <d v="2027-03-04T00:00:00"/>
    <n v="2500"/>
    <n v="0"/>
    <d v="2026-01-13T00:00:00"/>
    <d v="2027-01-03T00:00:00"/>
    <n v="1206"/>
    <d v="2025-08-26T00:00:00"/>
    <s v="2025-26"/>
    <n v="145"/>
    <d v="2025-09-10T00:00:00"/>
    <s v="FDR"/>
    <s v="SAURASHTRA GRAMIN BANK"/>
    <n v="78049184775"/>
    <n v="50000"/>
    <d v="2025-09-03T00:00:00"/>
    <m/>
    <m/>
    <m/>
    <m/>
    <m/>
    <d v="2025-09-10T00:00:00"/>
    <n v="1288"/>
    <d v="2025-09-10T00:00:00"/>
    <m/>
    <m/>
    <m/>
    <m/>
    <m/>
    <m/>
    <m/>
  </r>
  <r>
    <n v="278"/>
    <m/>
    <s v="2025-26"/>
    <n v="11"/>
    <n v="14"/>
    <s v="Construction of Nandghar (Anganvadi) Building at Village Dudan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9"/>
    <m/>
    <s v="2025-26"/>
    <n v="12"/>
    <n v="1"/>
    <s v="Work of Constructing, Strengthening and Resurfacing of various important roads as and when required or in emergency under bhavnagar district (Panchayat) (Annual Rate)"/>
    <m/>
    <s v="Bhavnagar"/>
    <s v="Bhavnagar"/>
    <s v="Consultant"/>
    <m/>
    <n v="203561"/>
    <n v="2"/>
    <d v="2025-07-10T00:00:00"/>
    <d v="2025-07-18T00:00:00"/>
    <d v="2025-07-19T00:00:00"/>
    <d v="2025-11-15T00:00:00"/>
    <n v="247012304.43000001"/>
    <m/>
    <n v="258992401.19"/>
    <n v="4.8499999999999996"/>
    <s v="Above"/>
    <s v="Twenty Five Crore Eighty Nine Lakh Ninety Two Thousand Four Hundred One Rupees and Nineteen Paise Only"/>
    <s v="Government"/>
    <m/>
    <n v="258992401.19"/>
    <x v="61"/>
    <n v="0"/>
    <s v="Opp. Nagar Palika Shoping Center, Swami Vivekanand Park, Devli Road, Kodinar, Dist. Gir Somnath - 362720"/>
    <n v="9898222122"/>
    <d v="2025-08-06T00:00:00"/>
    <m/>
    <s v="Road and Building Department, Ganghinagar"/>
    <s v="RBD/TRF/e-file/16/2025/5166/Section D1"/>
    <d v="2025-09-10T00:00:00"/>
    <n v="12"/>
    <n v="12950000"/>
    <d v="1904-03-09T00:00:00"/>
    <n v="634600"/>
    <n v="0"/>
    <d v="1901-01-29T00:00:00"/>
    <d v="1904-01-09T00:00:00"/>
    <n v="1400"/>
    <d v="2025-09-29T00:00:00"/>
    <m/>
    <m/>
    <m/>
    <m/>
    <m/>
    <m/>
    <m/>
    <m/>
    <m/>
    <m/>
    <m/>
    <m/>
    <m/>
    <m/>
    <m/>
    <m/>
    <m/>
    <m/>
    <m/>
    <m/>
    <m/>
    <m/>
    <s v="Work Order will be given after Contractor submits Security Deposit."/>
  </r>
  <r>
    <n v="280"/>
    <m/>
    <s v="2025-26"/>
    <n v="12"/>
    <n v="2"/>
    <s v="Conctruction Work of New Cross Drainage, Repairing Cross Drainage, Structure and Bridge Repair work and other Misc. work various roads as and when  required or in emergency under bhavnagar district (Panchayat) (Annual Rate)"/>
    <m/>
    <s v="Bhavnagar"/>
    <s v="Bhavnagar"/>
    <s v="Consultant"/>
    <m/>
    <n v="203610"/>
    <n v="2"/>
    <d v="2025-07-10T00:00:00"/>
    <d v="2025-07-18T00:00:00"/>
    <d v="2025-07-19T00:00:00"/>
    <d v="2025-11-15T00:00:00"/>
    <n v="248929554.08000001"/>
    <m/>
    <n v="334063461.57999998"/>
    <n v="34.200000000000003"/>
    <s v="Above"/>
    <s v="Thirty Three Crore Forty Lakh Sixty Three Thousand Four Hundred Sixty One Rupees and Fifty Eight Paise Only"/>
    <s v="Government"/>
    <m/>
    <n v="334063461.57999998"/>
    <x v="62"/>
    <s v="Not Found"/>
    <s v="Not Found"/>
    <s v="Not Found"/>
    <d v="2025-08-06T00:00:00"/>
    <m/>
    <m/>
    <m/>
    <s v="Rejected"/>
    <m/>
    <n v="16704000"/>
    <d v="1903-03-15T00:00:00"/>
    <n v="818500"/>
    <n v="0"/>
    <d v="1900-02-03T00:00:00"/>
    <d v="1903-01-14T00:00:00"/>
    <m/>
    <m/>
    <m/>
    <m/>
    <m/>
    <m/>
    <m/>
    <m/>
    <m/>
    <m/>
    <m/>
    <m/>
    <m/>
    <m/>
    <m/>
    <m/>
    <m/>
    <m/>
    <m/>
    <m/>
    <m/>
    <m/>
    <m/>
    <m/>
    <s v="Tender Approval is Pending."/>
  </r>
  <r>
    <n v="281"/>
    <m/>
    <s v="2025-26"/>
    <n v="13"/>
    <n v="1"/>
    <s v="Empanelment of Service Providing from consultants for Tender Uploading, Tender Opening and prepare Tender Approval Proposal under R &amp; B (Panchayat) Division, Bhavnagar"/>
    <m/>
    <s v="Bhavnagar"/>
    <s v="Bhavnagar"/>
    <s v="Consultant"/>
    <m/>
    <m/>
    <n v="1"/>
    <m/>
    <m/>
    <m/>
    <d v="1900-04-29T00:00:00"/>
    <m/>
    <s v="Yes"/>
    <m/>
    <m/>
    <s v="Equals"/>
    <s v="Zero Rupees Only"/>
    <s v="Division"/>
    <m/>
    <n v="0"/>
    <x v="3"/>
    <n v="0"/>
    <n v="0"/>
    <n v="0"/>
    <m/>
    <m/>
    <m/>
    <m/>
    <m/>
    <m/>
    <n v="0"/>
    <d v="1901-03-25T00:00:00"/>
    <n v="0"/>
    <n v="0"/>
    <d v="1900-02-03T00:00:00"/>
    <d v="1901-01-24T00:00:00"/>
    <m/>
    <m/>
    <m/>
    <m/>
    <m/>
    <m/>
    <m/>
    <m/>
    <m/>
    <m/>
    <m/>
    <m/>
    <m/>
    <m/>
    <m/>
    <m/>
    <m/>
    <m/>
    <m/>
    <m/>
    <m/>
    <m/>
    <m/>
    <m/>
    <m/>
  </r>
  <r>
    <n v="282"/>
    <m/>
    <s v="2025-26"/>
    <n v="14"/>
    <n v="1"/>
    <s v="Construction of Gram Panchayat office (Frame structure) at Village Ranivada Tal. Mahuva Dist. Bhavnagar "/>
    <m/>
    <s v="Mahuva"/>
    <s v="Mahuva"/>
    <s v="Building"/>
    <s v="Gram Panchayat"/>
    <n v="211655"/>
    <m/>
    <d v="2025-08-03T00:00:00"/>
    <d v="2025-08-11T00:00:00"/>
    <d v="2025-08-12T00:00:00"/>
    <d v="2025-12-09T00:00:00"/>
    <n v="2079935.08"/>
    <m/>
    <n v="1960338.81"/>
    <n v="-5.75"/>
    <s v="Below"/>
    <s v="Nineteen Lakh Sixty Thousand Three Hundred Thirty Eight Rupees and Eighty One Paise Only"/>
    <s v="Division"/>
    <m/>
    <n v="1960338.81"/>
    <x v="63"/>
    <s v="Chhelana Vipul Hadabhai"/>
    <s v="At Survey No. 4 P, Shiv Hotel, Rohisha Chowkadi, Mahuva, Dist. Bhavnagar"/>
    <n v="7405505555"/>
    <m/>
    <s v="CDP-5"/>
    <m/>
    <m/>
    <m/>
    <n v="4"/>
    <n v="99000"/>
    <d v="2027-05-08T00:00:00"/>
    <n v="4900"/>
    <n v="0"/>
    <d v="2026-03-19T00:00:00"/>
    <d v="2027-03-09T00:00:00"/>
    <n v="1370"/>
    <d v="2025-09-22T00:00:00"/>
    <s v="2025-26"/>
    <n v="183"/>
    <d v="2025-10-13T00:00:00"/>
    <s v="FDR"/>
    <s v="Bank of India"/>
    <s v="320556110000296"/>
    <n v="99000"/>
    <d v="2025-10-07T00:00:00"/>
    <m/>
    <m/>
    <m/>
    <m/>
    <m/>
    <d v="2025-10-15T00:00:00"/>
    <n v="1457"/>
    <d v="2025-10-13T00:00:00"/>
    <m/>
    <m/>
    <m/>
    <m/>
    <m/>
    <m/>
    <m/>
  </r>
  <r>
    <n v="283"/>
    <m/>
    <s v="2025-26"/>
    <n v="14"/>
    <n v="2"/>
    <s v="Construction of Gram Panchayat office (Frame structure) at Village Gadhada Tal. Mahuva Dist. Bhavnagar"/>
    <m/>
    <s v="Mahuva"/>
    <s v="Mahuva"/>
    <s v="Building"/>
    <s v="Gram Panchayat"/>
    <n v="211703"/>
    <m/>
    <d v="2025-08-03T00:00:00"/>
    <d v="2025-08-11T00:00:00"/>
    <d v="2025-08-12T00:00:00"/>
    <d v="2025-12-09T00:00:00"/>
    <n v="2079935.08"/>
    <m/>
    <n v="2033136.54"/>
    <n v="-2.25"/>
    <s v="Below"/>
    <s v="Twenty Lakh Thirty Three Thousand One Hundred Thirty Six Rupees and Fifty Four Paise Only"/>
    <s v="Division"/>
    <m/>
    <n v="2033136.54"/>
    <x v="63"/>
    <s v="Chhelana Vipul Hadabhai"/>
    <s v="At Survey No. 4 P, Shiv Hotel, Rohisha Chowkadi, Mahuva, Dist. Bhavnagar"/>
    <n v="7405505555"/>
    <m/>
    <s v="CDP-5"/>
    <m/>
    <m/>
    <m/>
    <n v="4"/>
    <n v="102000"/>
    <d v="2027-05-08T00:00:00"/>
    <n v="5000"/>
    <n v="0"/>
    <d v="2026-03-19T00:00:00"/>
    <d v="2027-03-09T00:00:00"/>
    <n v="1364"/>
    <d v="2025-09-22T00:00:00"/>
    <s v="2025-26"/>
    <n v="179"/>
    <d v="2025-10-13T00:00:00"/>
    <s v="FDR"/>
    <s v="Bank of India"/>
    <s v="320556110000299"/>
    <n v="102000"/>
    <d v="2025-10-07T00:00:00"/>
    <m/>
    <m/>
    <m/>
    <m/>
    <m/>
    <d v="2025-10-15T00:00:00"/>
    <n v="1458"/>
    <d v="2025-10-13T00:00:00"/>
    <m/>
    <m/>
    <m/>
    <m/>
    <m/>
    <m/>
    <m/>
  </r>
  <r>
    <n v="284"/>
    <m/>
    <s v="2025-26"/>
    <n v="14"/>
    <n v="3"/>
    <s v="Construction of Gram Panchayat office (Frame structure) at Village Juna Jaliya Tal. Shihor Dist. Bhavnagar"/>
    <m/>
    <s v="Shihor"/>
    <s v="Shihor"/>
    <s v="Building"/>
    <s v="Gram Panchayat"/>
    <n v="211769"/>
    <m/>
    <d v="2025-08-03T00:00:00"/>
    <d v="2025-08-11T00:00:00"/>
    <d v="2025-08-12T00:00:00"/>
    <d v="2025-12-09T00:00:00"/>
    <n v="2027056.59"/>
    <m/>
    <n v="1924082.12"/>
    <n v="-5.08"/>
    <s v="Below"/>
    <s v="Nineteen Lakh Twenty Four Thousand Eighty Two Rupees and Twelve Paise Only"/>
    <s v="Division"/>
    <m/>
    <n v="1924082.12"/>
    <x v="33"/>
    <s v="PARTH Kiritkumar MEHTA"/>
    <s v="Plot No. 1578/I, New Champa Tenament, Divadi Road, Rupani Circle, Bhavnagar - 364002"/>
    <n v="7990934709"/>
    <m/>
    <s v="CDP-5"/>
    <m/>
    <m/>
    <m/>
    <n v="4"/>
    <n v="97000"/>
    <d v="2027-04-24T00:00:00"/>
    <n v="4800"/>
    <n v="0"/>
    <d v="2026-03-05T00:00:00"/>
    <d v="2027-02-23T00:00:00"/>
    <n v="1318"/>
    <d v="2025-09-15T00:00:00"/>
    <m/>
    <m/>
    <m/>
    <m/>
    <m/>
    <m/>
    <m/>
    <m/>
    <m/>
    <m/>
    <m/>
    <m/>
    <m/>
    <d v="2025-10-01T00:00:00"/>
    <m/>
    <m/>
    <m/>
    <m/>
    <m/>
    <m/>
    <m/>
    <m/>
    <m/>
  </r>
  <r>
    <n v="285"/>
    <m/>
    <s v="2025-26"/>
    <n v="14"/>
    <n v="4"/>
    <s v="Construction of Gram Panchayat office (Frame structure) at Village Jasvantpur Taluko: Bhavnagar Dist. Bhavnagar"/>
    <m/>
    <s v="Bhavnagar"/>
    <s v="Bhavnagar"/>
    <s v="Building"/>
    <s v="Gram Panchayat"/>
    <n v="211774"/>
    <m/>
    <d v="2025-08-03T00:00:00"/>
    <d v="2025-08-11T00:00:00"/>
    <d v="2025-08-12T00:00:00"/>
    <d v="2025-12-09T00:00:00"/>
    <n v="2079935.08"/>
    <m/>
    <n v="2079935.08"/>
    <n v="0"/>
    <s v="Equals"/>
    <s v="Twenty Lakh Seventy Nine Thousand Nine Hundred Thirty Five Rupees and Eight Paise Only"/>
    <s v="Division"/>
    <m/>
    <n v="2079935.08"/>
    <x v="64"/>
    <n v="0"/>
    <s v="33, Virbhadra Shopping Center, Nr. Nilambaug Circle, Bhavnagar - 364002"/>
    <n v="9825325757"/>
    <m/>
    <m/>
    <m/>
    <m/>
    <m/>
    <n v="4"/>
    <n v="104000"/>
    <d v="2027-04-24T00:00:00"/>
    <n v="5100"/>
    <n v="0"/>
    <d v="2026-03-05T00:00:00"/>
    <d v="2027-02-23T00:00:00"/>
    <n v="1511"/>
    <d v="2025-11-10T00:00:00"/>
    <m/>
    <m/>
    <m/>
    <m/>
    <m/>
    <m/>
    <m/>
    <m/>
    <m/>
    <m/>
    <m/>
    <m/>
    <m/>
    <d v="2025-10-01T00:00:00"/>
    <m/>
    <m/>
    <m/>
    <m/>
    <m/>
    <m/>
    <m/>
    <m/>
    <m/>
  </r>
  <r>
    <n v="286"/>
    <m/>
    <s v="2025-26"/>
    <n v="14"/>
    <n v="5"/>
    <s v="Construction of Gram Panchayat office (Frame structure) at Village Bhojpara Taluka: Bhavnagar Dist. Bhavnagar"/>
    <m/>
    <s v="Bhavnagar"/>
    <s v="Bhavnagar"/>
    <s v="Building"/>
    <s v="Gram Panchayat"/>
    <n v="211776"/>
    <m/>
    <d v="2025-08-03T00:00:00"/>
    <d v="2025-08-11T00:00:00"/>
    <d v="2025-08-12T00:00:00"/>
    <d v="2025-12-09T00:00:00"/>
    <n v="2079935.08"/>
    <m/>
    <n v="2048320.07"/>
    <n v="-1.52"/>
    <s v="Below"/>
    <s v="Twenty Lakh Forty Eight Thousand Three Hundred Twenty Rupees and Seven Paise Only"/>
    <s v="Division"/>
    <m/>
    <n v="2048320.07"/>
    <x v="23"/>
    <n v="0"/>
    <s v="Dr. Ambedkar Society, Jamvali Road, Palitana, Dist Bhavnagar"/>
    <n v="9106563480"/>
    <m/>
    <m/>
    <m/>
    <m/>
    <m/>
    <n v="4"/>
    <n v="103000"/>
    <d v="2027-04-24T00:00:00"/>
    <n v="5100"/>
    <n v="0"/>
    <d v="2026-03-05T00:00:00"/>
    <d v="2027-02-23T00:00:00"/>
    <n v="1308"/>
    <d v="2025-09-15T00:00:00"/>
    <m/>
    <m/>
    <m/>
    <m/>
    <m/>
    <m/>
    <m/>
    <m/>
    <m/>
    <m/>
    <m/>
    <m/>
    <m/>
    <d v="2025-10-01T00:00:00"/>
    <m/>
    <m/>
    <m/>
    <m/>
    <m/>
    <m/>
    <m/>
    <m/>
    <m/>
  </r>
  <r>
    <n v="287"/>
    <m/>
    <s v="2025-26"/>
    <n v="14"/>
    <n v="6"/>
    <s v="Construction of Gram Panchayat office (Frame structure) at Village Paliyad Taluka: Bhavnagar Dist. Bhavnagar"/>
    <m/>
    <s v="Bhavnagar"/>
    <s v="Bhavnagar"/>
    <s v="Building"/>
    <s v="Gram Panchayat"/>
    <n v="211780"/>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288"/>
    <m/>
    <s v="2025-26"/>
    <n v="14"/>
    <n v="7"/>
    <s v="Construction of Gram Panchayat office (Frame structure) at Village Rajgadh Taluka: Bhavnagar Dist. Bhavnagar"/>
    <m/>
    <s v="Bhavnagar"/>
    <s v="Bhavnagar"/>
    <s v="Building"/>
    <s v="Gram Panchayat"/>
    <n v="211781"/>
    <m/>
    <d v="2025-08-03T00:00:00"/>
    <d v="2025-08-11T00:00:00"/>
    <d v="2025-08-12T00:00:00"/>
    <d v="2025-12-09T00:00:00"/>
    <n v="2079935.08"/>
    <m/>
    <n v="2037712.4"/>
    <n v="-2.0299999999999998"/>
    <s v="Below"/>
    <s v="Twenty Lakh Thirty Seven Thousand Seven Hundred Twelve Rupees and Four Paise Only"/>
    <s v="Division"/>
    <m/>
    <n v="2037712.4"/>
    <x v="35"/>
    <s v="(1) Harshad Kalubhai Dungrani_x000a_(2) Lalita Harshad Dungrani"/>
    <s v="G 402, Abhilasha Sky, Gopal Chowk, Nikol, Ahmedabad - 382350"/>
    <n v="9727220227"/>
    <m/>
    <m/>
    <m/>
    <m/>
    <m/>
    <n v="4"/>
    <n v="102000"/>
    <d v="2027-04-24T00:00:00"/>
    <n v="5000"/>
    <n v="0"/>
    <d v="2026-03-05T00:00:00"/>
    <d v="2027-02-23T00:00:00"/>
    <n v="1333"/>
    <d v="2025-09-15T00:00:00"/>
    <m/>
    <m/>
    <m/>
    <m/>
    <m/>
    <m/>
    <m/>
    <m/>
    <m/>
    <m/>
    <m/>
    <m/>
    <m/>
    <d v="2025-10-01T00:00:00"/>
    <m/>
    <m/>
    <m/>
    <m/>
    <m/>
    <m/>
    <m/>
    <m/>
    <m/>
  </r>
  <r>
    <n v="289"/>
    <m/>
    <s v="2025-26"/>
    <n v="14"/>
    <n v="8"/>
    <s v="Construction of Gram Panchayat office (Frame structure) at Village Adhelai Tal. Bhavnagar Dist. Bhavnagar"/>
    <m/>
    <s v="Bhavnagar"/>
    <s v="Bhavnagar"/>
    <s v="Building"/>
    <s v="Gram Panchayat"/>
    <n v="211782"/>
    <m/>
    <d v="2025-08-03T00:00:00"/>
    <d v="2025-08-11T00:00:00"/>
    <d v="2025-08-12T00:00:00"/>
    <d v="2025-12-09T00:00:00"/>
    <n v="2079935.08"/>
    <m/>
    <n v="2027936.7"/>
    <n v="-2.5"/>
    <s v="Below"/>
    <s v="Twenty Lakh Twenty Seven Thousand Nine Hundred Thirty Six Rupees and Seven Paise Only"/>
    <s v="Division"/>
    <m/>
    <n v="2027936.7"/>
    <x v="35"/>
    <s v="(1) Harshad Kalubhai Dungrani_x000a_(2) Lalita Harshad Dungrani"/>
    <s v="G 402, Abhilasha Sky, Gopal Chowk, Nikol, Ahmedabad - 382350"/>
    <n v="9727220227"/>
    <m/>
    <m/>
    <m/>
    <m/>
    <m/>
    <n v="4"/>
    <n v="102000"/>
    <d v="2027-04-24T00:00:00"/>
    <n v="5000"/>
    <n v="0"/>
    <d v="2026-03-05T00:00:00"/>
    <d v="2027-02-23T00:00:00"/>
    <n v="1328"/>
    <d v="2025-09-15T00:00:00"/>
    <m/>
    <m/>
    <m/>
    <m/>
    <m/>
    <m/>
    <m/>
    <m/>
    <m/>
    <m/>
    <m/>
    <m/>
    <m/>
    <d v="2025-10-01T00:00:00"/>
    <m/>
    <m/>
    <m/>
    <m/>
    <m/>
    <m/>
    <m/>
    <m/>
    <m/>
  </r>
  <r>
    <n v="290"/>
    <m/>
    <s v="2025-26"/>
    <n v="14"/>
    <n v="9"/>
    <s v="Construction of Gram Panchayat office (Frame structure) at Village Chomal Taluka: Gariyadhar Dist. Bhavnagar"/>
    <m/>
    <s v="Gariyadhar"/>
    <s v="Palitana"/>
    <s v="Building"/>
    <s v="Gram Panchayat"/>
    <n v="211783"/>
    <m/>
    <d v="2025-08-03T00:00:00"/>
    <d v="2025-08-11T00:00:00"/>
    <d v="2025-08-12T00:00:00"/>
    <d v="2025-12-09T00:00:00"/>
    <n v="2079935.08"/>
    <m/>
    <n v="1934339.62"/>
    <n v="-7"/>
    <s v="Below"/>
    <s v="Nineteen Lakh Thirty Four Thousand Three Hundred Thirty Nine Rupees and Sixty Two Paise Only"/>
    <s v="Division"/>
    <m/>
    <n v="1934339.62"/>
    <x v="25"/>
    <s v="Narendrasinh Parbatsinh Gohil"/>
    <s v="At Village Rajapara (Thadach), Ta. Palitana, Dist. Bhavnagar - 364270"/>
    <n v="9998577523"/>
    <m/>
    <s v="CDP-5"/>
    <m/>
    <m/>
    <m/>
    <n v="4"/>
    <n v="97000"/>
    <d v="2027-06-03T00:00:00"/>
    <n v="4800"/>
    <n v="0"/>
    <d v="2026-04-14T00:00:00"/>
    <d v="2027-04-04T00:00:00"/>
    <n v="1311"/>
    <d v="2025-09-15T00:00:00"/>
    <s v="2025-26"/>
    <n v="200"/>
    <d v="2025-11-08T00:00:00"/>
    <s v="FDR"/>
    <s v="Gujarat Gramin Bank"/>
    <s v="22670300000032"/>
    <n v="97000"/>
    <d v="2025-10-28T00:00:00"/>
    <m/>
    <m/>
    <m/>
    <m/>
    <m/>
    <d v="2025-11-10T00:00:00"/>
    <n v="1505"/>
    <d v="2025-11-08T00:00:00"/>
    <m/>
    <m/>
    <m/>
    <m/>
    <m/>
    <m/>
    <m/>
  </r>
  <r>
    <n v="291"/>
    <m/>
    <s v="2025-26"/>
    <n v="14"/>
    <n v="10"/>
    <s v="Construction of Gram Panchayat office (Frame structure) at Village Jaliya Taluka: Gariyadhar Dist. Bhavnagar"/>
    <m/>
    <s v="Gariyadhar"/>
    <s v="Palitana"/>
    <s v="Building"/>
    <s v="Gram Panchayat"/>
    <n v="211785"/>
    <m/>
    <d v="2025-08-03T00:00:00"/>
    <d v="2025-08-11T00:00:00"/>
    <d v="2025-08-12T00:00:00"/>
    <d v="2025-12-09T00:00:00"/>
    <n v="2079935.08"/>
    <m/>
    <n v="2016913.05"/>
    <n v="-3.03"/>
    <s v="Below"/>
    <s v="Twenty Lakh Sixteen Thousand Nine Hundred Thirteen Rupees and Five Paise Only"/>
    <s v="Division"/>
    <m/>
    <n v="2016913.05"/>
    <x v="23"/>
    <n v="0"/>
    <s v="Dr. Ambedkar Society, Jamvali Road, Palitana, Dist Bhavnagar"/>
    <n v="9106563480"/>
    <m/>
    <m/>
    <m/>
    <m/>
    <m/>
    <n v="4"/>
    <n v="101000"/>
    <d v="2027-04-24T00:00:00"/>
    <n v="5000"/>
    <n v="0"/>
    <d v="2026-03-05T00:00:00"/>
    <d v="2027-02-23T00:00:00"/>
    <n v="1310"/>
    <d v="2025-09-15T00:00:00"/>
    <m/>
    <m/>
    <m/>
    <m/>
    <m/>
    <m/>
    <m/>
    <m/>
    <m/>
    <m/>
    <m/>
    <m/>
    <m/>
    <d v="2025-10-01T00:00:00"/>
    <m/>
    <m/>
    <m/>
    <m/>
    <m/>
    <m/>
    <m/>
    <m/>
    <m/>
  </r>
  <r>
    <n v="292"/>
    <m/>
    <s v="2025-26"/>
    <n v="14"/>
    <n v="11"/>
    <s v="Construction of Gram Panchayat office (Frame structure) at Village Nana Charodiya Taluka: Gariyadhar Dist. Bhavnagar"/>
    <m/>
    <s v="Gariyadhar"/>
    <s v="Palitana"/>
    <s v="Building"/>
    <s v="Gram Panchayat"/>
    <n v="211787"/>
    <m/>
    <d v="2025-08-03T00:00:00"/>
    <d v="2025-08-11T00:00:00"/>
    <d v="2025-08-12T00:00:00"/>
    <d v="2025-12-09T00:00:00"/>
    <n v="2079935.08"/>
    <m/>
    <n v="2000065.57"/>
    <n v="-3.84"/>
    <s v="Below"/>
    <s v="Twenty Lakh Sixty Five Rupees and Fifty Seven Paise Only"/>
    <s v="Division"/>
    <m/>
    <n v="2000065.57"/>
    <x v="65"/>
    <n v="0"/>
    <s v="Plot No. 9, Gayatri Society, Ramabaug, Anantwadi, Bhavnagar - 364002"/>
    <n v="0"/>
    <m/>
    <m/>
    <m/>
    <m/>
    <m/>
    <n v="4"/>
    <n v="101000"/>
    <d v="2027-04-24T00:00:00"/>
    <n v="5000"/>
    <n v="0"/>
    <d v="2026-03-05T00:00:00"/>
    <d v="2027-02-23T00:00:00"/>
    <n v="1369"/>
    <d v="2025-09-22T00:00:00"/>
    <m/>
    <m/>
    <m/>
    <m/>
    <m/>
    <m/>
    <m/>
    <m/>
    <m/>
    <m/>
    <m/>
    <m/>
    <m/>
    <d v="2025-10-01T00:00:00"/>
    <m/>
    <m/>
    <m/>
    <m/>
    <m/>
    <m/>
    <m/>
    <m/>
    <m/>
  </r>
  <r>
    <n v="293"/>
    <m/>
    <s v="2025-26"/>
    <n v="14"/>
    <n v="12"/>
    <s v="Construction of Gram Panchayat office (Frame structure) at Village Anandpur-Pipalva Taluka: Gariyadhar Dist. Bhavnagar"/>
    <m/>
    <s v="Gariyadhar"/>
    <s v="Palitana"/>
    <s v="Building"/>
    <s v="Gram Panchayat"/>
    <n v="211790"/>
    <m/>
    <d v="2025-08-03T00:00:00"/>
    <d v="2025-08-11T00:00:00"/>
    <d v="2025-08-12T00:00:00"/>
    <d v="2025-12-09T00:00:00"/>
    <n v="2079935.08"/>
    <m/>
    <n v="2026896.74"/>
    <n v="-2.5499999999999998"/>
    <s v="Below"/>
    <s v="Twenty Lakh Twenty Six Thousand Eight Hundred Ninety Six Rupees and Seventy Four Paise Only"/>
    <s v="Division"/>
    <m/>
    <n v="2026896.74"/>
    <x v="18"/>
    <s v="SANDIP DINESHBHAI VANZARA"/>
    <s v="Opp. HP PUMP, Palitana Road, Gariyadhar"/>
    <n v="8866209297"/>
    <m/>
    <m/>
    <m/>
    <m/>
    <m/>
    <n v="4"/>
    <n v="102000"/>
    <d v="2027-04-24T00:00:00"/>
    <n v="5000"/>
    <n v="0"/>
    <d v="2026-03-05T00:00:00"/>
    <d v="2027-02-23T00:00:00"/>
    <n v="1324"/>
    <d v="2025-09-15T00:00:00"/>
    <m/>
    <m/>
    <m/>
    <m/>
    <m/>
    <m/>
    <m/>
    <m/>
    <m/>
    <m/>
    <m/>
    <m/>
    <m/>
    <d v="2025-10-01T00:00:00"/>
    <m/>
    <m/>
    <m/>
    <m/>
    <m/>
    <m/>
    <m/>
    <m/>
    <m/>
  </r>
  <r>
    <n v="294"/>
    <m/>
    <s v="2025-26"/>
    <n v="14"/>
    <n v="13"/>
    <s v="Construction of Gram Panchayat office (Frame structure) at Village Ranigam Taluka: Gariyadhar Dist. Bhavnagar"/>
    <m/>
    <s v="Gariyadhar"/>
    <s v="Palitana"/>
    <s v="Building"/>
    <s v="Gram Panchayat"/>
    <n v="211794"/>
    <m/>
    <d v="2025-08-03T00:00:00"/>
    <d v="2025-08-11T00:00:00"/>
    <d v="2025-08-12T00:00:00"/>
    <d v="2025-12-09T00:00:00"/>
    <n v="2079935.08"/>
    <m/>
    <n v="1903140.6"/>
    <n v="-8.5"/>
    <s v="Below"/>
    <s v="Nineteen Lakh Three Thousand One Hundred Forty Rupees and Six Paise Only"/>
    <s v="Division"/>
    <m/>
    <n v="1903140.6"/>
    <x v="65"/>
    <n v="0"/>
    <s v="Plot No. 9, Gayatri Society, Ramabaug, Anantwadi, Bhavnagar - 364002"/>
    <n v="0"/>
    <m/>
    <m/>
    <m/>
    <m/>
    <m/>
    <n v="4"/>
    <n v="96000"/>
    <d v="2027-04-24T00:00:00"/>
    <n v="4800"/>
    <n v="0"/>
    <d v="2026-03-05T00:00:00"/>
    <d v="2027-02-23T00:00:00"/>
    <n v="1361"/>
    <d v="2025-09-22T00:00:00"/>
    <m/>
    <m/>
    <m/>
    <m/>
    <m/>
    <m/>
    <m/>
    <m/>
    <m/>
    <m/>
    <m/>
    <m/>
    <m/>
    <d v="2025-10-01T00:00:00"/>
    <m/>
    <m/>
    <m/>
    <m/>
    <m/>
    <m/>
    <m/>
    <m/>
    <m/>
  </r>
  <r>
    <n v="295"/>
    <m/>
    <s v="2025-26"/>
    <n v="14"/>
    <n v="14"/>
    <s v="Construction of Gram Panchayat office (Frame structure) at Village Hoidad Taluka: Ghogha Dist. Bhavnagar"/>
    <m/>
    <s v="Ghogha"/>
    <s v="Bhavnagar"/>
    <s v="Building"/>
    <s v="Gram Panchayat"/>
    <n v="211795"/>
    <m/>
    <d v="2025-08-03T00:00:00"/>
    <d v="2025-08-11T00:00:00"/>
    <d v="2025-08-12T00:00:00"/>
    <d v="2025-12-09T00:00:00"/>
    <n v="2079935.08"/>
    <m/>
    <n v="2015249.1"/>
    <n v="-3.11"/>
    <s v="Below"/>
    <s v="Twenty Lakh Fifteen Thousand Two Hundred Forty Nine Rupees and One Paise Only"/>
    <s v="Division"/>
    <m/>
    <n v="2015249.1"/>
    <x v="66"/>
    <s v="Dineshbhai Harjibhai Parmar"/>
    <s v="C/732, Kesariya Hanuman Road, Kaliyabid, Bhavnagar-364001"/>
    <n v="0"/>
    <m/>
    <m/>
    <m/>
    <m/>
    <m/>
    <n v="4"/>
    <n v="101000"/>
    <d v="2027-04-24T00:00:00"/>
    <n v="5000"/>
    <n v="0"/>
    <d v="2026-03-05T00:00:00"/>
    <d v="2027-02-23T00:00:00"/>
    <n v="1319"/>
    <d v="2025-09-15T00:00:00"/>
    <m/>
    <m/>
    <m/>
    <m/>
    <m/>
    <m/>
    <m/>
    <m/>
    <m/>
    <m/>
    <m/>
    <m/>
    <m/>
    <d v="2025-10-01T00:00:00"/>
    <m/>
    <m/>
    <m/>
    <m/>
    <m/>
    <m/>
    <m/>
    <m/>
    <m/>
  </r>
  <r>
    <n v="296"/>
    <m/>
    <s v="2025-26"/>
    <n v="14"/>
    <n v="15"/>
    <s v="Construction of Gram Panchayat office (Frame structure) at Village Biladi Taluka: Mahuva Dist. Bhavnagar"/>
    <m/>
    <s v="Mahuva"/>
    <s v="Mahuva"/>
    <s v="Building"/>
    <s v="Gram Panchayat"/>
    <n v="211796"/>
    <m/>
    <d v="2025-08-03T00:00:00"/>
    <d v="2025-08-11T00:00:00"/>
    <d v="2025-08-12T00:00:00"/>
    <d v="2025-12-09T00:00:00"/>
    <n v="2079935.08"/>
    <m/>
    <n v="2012337.19"/>
    <n v="-3.25"/>
    <s v="Below"/>
    <s v="Twenty Lakh Twelve Thousand Three Hundred Thirty Seven Rupees and Nineteen Paise Only"/>
    <s v="Division"/>
    <m/>
    <n v="2012337.19"/>
    <x v="63"/>
    <s v="Chhelana Vipul Hadabhai"/>
    <s v="At Survey No. 4 P, Shiv Hotel, Rohisha Chowkadi, Mahuva, Dist. Bhavnagar"/>
    <n v="7405505555"/>
    <m/>
    <s v="CDP-5"/>
    <m/>
    <m/>
    <m/>
    <n v="4"/>
    <n v="101000"/>
    <d v="2027-05-08T00:00:00"/>
    <n v="5000"/>
    <n v="0"/>
    <d v="2026-03-19T00:00:00"/>
    <d v="2027-03-09T00:00:00"/>
    <n v="1365"/>
    <d v="2025-09-22T00:00:00"/>
    <s v="2025-26"/>
    <n v="178"/>
    <d v="2025-10-13T00:00:00"/>
    <s v="FDR"/>
    <s v="Bank of India"/>
    <s v="320556110000304"/>
    <n v="101000"/>
    <d v="2025-10-07T00:00:00"/>
    <m/>
    <m/>
    <m/>
    <m/>
    <m/>
    <d v="2025-10-15T00:00:00"/>
    <n v="1459"/>
    <d v="2025-10-13T00:00:00"/>
    <m/>
    <m/>
    <m/>
    <m/>
    <m/>
    <m/>
    <m/>
  </r>
  <r>
    <n v="297"/>
    <m/>
    <s v="2025-26"/>
    <n v="14"/>
    <n v="16"/>
    <s v="Construction of Gram Panchayat office (Frame structure) at Village Valavav Taluka: Mahuva Dist. Bhavnagar "/>
    <m/>
    <s v="Mahuva"/>
    <s v="Mahuva"/>
    <s v="Building"/>
    <s v="Gram Panchayat"/>
    <n v="211797"/>
    <m/>
    <d v="2025-08-03T00:00:00"/>
    <d v="2025-08-11T00:00:00"/>
    <d v="2025-08-12T00:00:00"/>
    <d v="2025-12-09T00:00:00"/>
    <n v="2079935.08"/>
    <m/>
    <n v="1960338.81"/>
    <n v="-5.75"/>
    <s v="Below"/>
    <s v="Nineteen Lakh Sixty Thousand Three Hundred Thirty Eight Rupees and Eighty One Paise Only"/>
    <s v="Division"/>
    <m/>
    <n v="1960338.81"/>
    <x v="63"/>
    <s v="Chhelana Vipul Hadabhai"/>
    <s v="At Survey No. 4 P, Shiv Hotel, Rohisha Chowkadi, Mahuva, Dist. Bhavnagar"/>
    <n v="7405505555"/>
    <m/>
    <s v="CDP-5"/>
    <m/>
    <m/>
    <m/>
    <n v="4"/>
    <n v="99000"/>
    <d v="2027-05-08T00:00:00"/>
    <n v="4900"/>
    <n v="0"/>
    <d v="2026-03-19T00:00:00"/>
    <d v="2027-03-09T00:00:00"/>
    <n v="1362"/>
    <d v="2025-09-22T00:00:00"/>
    <s v="2025-26"/>
    <n v="176"/>
    <d v="2025-10-13T00:00:00"/>
    <s v="FDR"/>
    <s v="Bank of India"/>
    <s v="320556110000303"/>
    <n v="99000"/>
    <d v="2025-10-07T00:00:00"/>
    <m/>
    <m/>
    <m/>
    <m/>
    <m/>
    <d v="2025-10-15T00:00:00"/>
    <n v="1460"/>
    <d v="2025-10-13T00:00:00"/>
    <m/>
    <m/>
    <m/>
    <m/>
    <m/>
    <m/>
    <m/>
  </r>
  <r>
    <n v="298"/>
    <m/>
    <s v="2025-26"/>
    <n v="14"/>
    <n v="17"/>
    <s v="Construction of Gram Panchayat office (Frame structure) at Village Taveda Taluka: Mahuva Dist. Bhavnagar"/>
    <m/>
    <s v="Mahuva"/>
    <s v="Mahuva"/>
    <s v="Building"/>
    <s v="Gram Panchayat"/>
    <n v="211798"/>
    <m/>
    <d v="2025-08-03T00:00:00"/>
    <d v="2025-08-11T00:00:00"/>
    <d v="2025-08-12T00:00:00"/>
    <d v="2025-12-09T00:00:00"/>
    <n v="2079935.08"/>
    <m/>
    <n v="2010673.24"/>
    <n v="-3.33"/>
    <s v="Below"/>
    <s v="Twenty Lakh Ten Thousand Six Hundred Seventy Three Rupees and Twenty Four Paise Only"/>
    <s v="Division"/>
    <m/>
    <n v="2010673.24"/>
    <x v="16"/>
    <s v="ALIGBHAI LAKHUBHAI BARAL"/>
    <s v="At Bhandariya, Ta. Palitana, Dist. Bhavnagar"/>
    <n v="8780428967"/>
    <m/>
    <s v="CDP-5"/>
    <m/>
    <m/>
    <m/>
    <n v="4"/>
    <n v="101000"/>
    <d v="2027-05-08T00:00:00"/>
    <n v="5000"/>
    <n v="0"/>
    <d v="2026-03-19T00:00:00"/>
    <d v="2027-03-09T00:00:00"/>
    <n v="1309"/>
    <d v="2025-09-15T00:00:00"/>
    <s v="2025-26"/>
    <n v="187"/>
    <d v="2025-10-13T00:00:00"/>
    <s v="FDR"/>
    <s v="Gujarat Gramin Bank"/>
    <s v="22670300000004"/>
    <n v="101000"/>
    <d v="2025-10-06T00:00:00"/>
    <m/>
    <m/>
    <m/>
    <m/>
    <m/>
    <d v="2025-10-15T00:00:00"/>
    <n v="1471"/>
    <d v="2025-10-13T00:00:00"/>
    <m/>
    <m/>
    <m/>
    <m/>
    <m/>
    <m/>
    <m/>
  </r>
  <r>
    <n v="299"/>
    <m/>
    <s v="2025-26"/>
    <n v="14"/>
    <n v="18"/>
    <s v="Construction of Gram Panchayat office (Frame structure) at Village Lakhupura Taluka:Mahuva Dist. Bhavnagar"/>
    <m/>
    <s v="Mahuva"/>
    <s v="Mahuva"/>
    <s v="Building"/>
    <s v="Gram Panchayat"/>
    <n v="211800"/>
    <m/>
    <d v="2025-08-03T00:00:00"/>
    <d v="2025-08-11T00:00:00"/>
    <d v="2025-08-12T00:00:00"/>
    <d v="2025-12-09T00:00:00"/>
    <n v="2079935.08"/>
    <m/>
    <n v="2010673.24"/>
    <n v="-3.33"/>
    <s v="Below"/>
    <s v="Twenty Lakh Ten Thousand Six Hundred Seventy Three Rupees and Twenty Four Paise Only"/>
    <s v="Division"/>
    <m/>
    <n v="2010673.24"/>
    <x v="16"/>
    <s v="ALIGBHAI LAKHUBHAI BARAL"/>
    <s v="At Bhandariya, Ta. Palitana, Dist. Bhavnagar"/>
    <n v="8780428967"/>
    <m/>
    <s v="CDP-5"/>
    <m/>
    <m/>
    <m/>
    <n v="4"/>
    <n v="101000"/>
    <d v="2027-05-08T00:00:00"/>
    <n v="5000"/>
    <n v="0"/>
    <d v="2026-03-19T00:00:00"/>
    <d v="2027-03-09T00:00:00"/>
    <n v="1327"/>
    <d v="2025-09-15T00:00:00"/>
    <s v="2025-26"/>
    <n v="184"/>
    <d v="2025-10-13T00:00:00"/>
    <s v="FDR"/>
    <s v="Gujarat Gramin Bank"/>
    <s v="22670300000003"/>
    <n v="101000"/>
    <d v="2025-10-06T00:00:00"/>
    <m/>
    <m/>
    <m/>
    <m/>
    <m/>
    <d v="2025-10-15T00:00:00"/>
    <n v="1468"/>
    <d v="2025-10-13T00:00:00"/>
    <m/>
    <m/>
    <m/>
    <m/>
    <m/>
    <m/>
    <m/>
  </r>
  <r>
    <n v="300"/>
    <m/>
    <s v="2025-26"/>
    <n v="14"/>
    <n v="19"/>
    <s v="Construction of Gram Panchayat office (Frame structure) at Village Vaghvadarda Taluka: Mahuva Dist. Bhavnagar"/>
    <m/>
    <s v="Mahuva"/>
    <s v="Mahuva"/>
    <s v="Building"/>
    <s v="Gram Panchayat"/>
    <n v="211801"/>
    <m/>
    <d v="2025-08-03T00:00:00"/>
    <d v="2025-08-11T00:00:00"/>
    <d v="2025-08-12T00:00:00"/>
    <d v="2025-12-09T00:00:00"/>
    <n v="2079935.08"/>
    <m/>
    <n v="1948899.17"/>
    <n v="-6.3"/>
    <s v="Below"/>
    <s v="Nineteen Lakh Forty Eight Thousand Eight Hundred Ninety Nine Rupees and Seventeen Paise Only"/>
    <s v="Division"/>
    <m/>
    <n v="1948899.17"/>
    <x v="67"/>
    <n v="0"/>
    <s v="Plot No. 233, Nu.N.Yo. No.3, Near Muni Nagar, Mahuva"/>
    <n v="9824837530"/>
    <m/>
    <m/>
    <m/>
    <m/>
    <m/>
    <n v="4"/>
    <n v="98000"/>
    <d v="2027-04-24T00:00:00"/>
    <n v="4900"/>
    <n v="0"/>
    <d v="2026-03-05T00:00:00"/>
    <d v="2027-02-23T00:00:00"/>
    <n v="1329"/>
    <d v="2025-09-15T00:00:00"/>
    <m/>
    <m/>
    <m/>
    <m/>
    <m/>
    <m/>
    <m/>
    <m/>
    <m/>
    <m/>
    <m/>
    <m/>
    <m/>
    <d v="2025-10-01T00:00:00"/>
    <m/>
    <m/>
    <m/>
    <m/>
    <m/>
    <m/>
    <m/>
    <m/>
    <m/>
  </r>
  <r>
    <n v="301"/>
    <m/>
    <s v="2025-26"/>
    <n v="14"/>
    <n v="20"/>
    <s v=" Construction of Gram Panchayat office (Frame structure) at Village Tared Taluka : Mahuva Dist. Bhavnagar"/>
    <m/>
    <s v="Mahuva"/>
    <s v="Mahuva"/>
    <s v="Building"/>
    <s v="Gram Panchayat"/>
    <n v="211802"/>
    <m/>
    <d v="2025-08-03T00:00:00"/>
    <d v="2025-08-11T00:00:00"/>
    <d v="2025-08-12T00:00:00"/>
    <d v="2025-12-09T00:00:00"/>
    <n v="2079935.08"/>
    <m/>
    <n v="2017537.03"/>
    <n v="-3"/>
    <s v="Below"/>
    <s v="Twenty Lakh Seventeen Thousand Five Hundred Thirty Seven Rupees and Three Paise Only"/>
    <s v="Division"/>
    <m/>
    <n v="2017537.03"/>
    <x v="63"/>
    <s v="Chhelana Vipul Hadabhai"/>
    <s v="At Survey No. 4 P, Shiv Hotel, Rohisha Chowkadi, Mahuva, Dist. Bhavnagar"/>
    <n v="7405505555"/>
    <m/>
    <s v="CDP-5"/>
    <m/>
    <m/>
    <m/>
    <n v="4"/>
    <n v="101000"/>
    <d v="2027-05-08T00:00:00"/>
    <n v="5000"/>
    <n v="0"/>
    <d v="2026-03-19T00:00:00"/>
    <d v="2027-03-09T00:00:00"/>
    <n v="1360"/>
    <d v="2025-09-22T00:00:00"/>
    <s v="2025-26"/>
    <n v="177"/>
    <d v="2025-10-13T00:00:00"/>
    <s v="FDR"/>
    <s v="Bank of India"/>
    <s v="320556110000295"/>
    <n v="101000"/>
    <d v="2025-10-07T00:00:00"/>
    <m/>
    <m/>
    <m/>
    <m/>
    <m/>
    <d v="2025-10-15T00:00:00"/>
    <n v="1461"/>
    <d v="2025-10-13T00:00:00"/>
    <m/>
    <m/>
    <m/>
    <m/>
    <m/>
    <m/>
    <m/>
  </r>
  <r>
    <n v="302"/>
    <m/>
    <s v="2025-26"/>
    <n v="14"/>
    <n v="21"/>
    <s v="Construction of Gram Panchayat office (Frame structure) at Village Chokva Taluka: Mahuva Dist. Bhavnagar"/>
    <m/>
    <s v="Mahuva"/>
    <s v="Mahuva"/>
    <s v="Building"/>
    <s v="Gram Panchayat"/>
    <n v="211803"/>
    <m/>
    <d v="2025-08-03T00:00:00"/>
    <d v="2025-08-11T00:00:00"/>
    <d v="2025-08-12T00:00:00"/>
    <d v="2025-12-09T00:00:00"/>
    <n v="2079935.08"/>
    <m/>
    <n v="1928723.8"/>
    <n v="-7.27"/>
    <s v="Below"/>
    <s v="Nineteen Lakh Twenty Eight Thousand Seven Hundred Twenty Three Rupees and Eight Paise Only"/>
    <s v="Division"/>
    <m/>
    <n v="1928723.8"/>
    <x v="67"/>
    <n v="0"/>
    <s v="Plot No. 233, Nu.N.Yo. No.3, Near Muni Nagar, Mahuva"/>
    <n v="9824837530"/>
    <m/>
    <m/>
    <m/>
    <m/>
    <m/>
    <n v="4"/>
    <n v="97000"/>
    <d v="2027-04-24T00:00:00"/>
    <n v="4800"/>
    <n v="0"/>
    <d v="2026-03-05T00:00:00"/>
    <d v="2027-02-23T00:00:00"/>
    <n v="1321"/>
    <d v="2025-09-15T00:00:00"/>
    <m/>
    <m/>
    <m/>
    <m/>
    <m/>
    <m/>
    <m/>
    <m/>
    <m/>
    <m/>
    <m/>
    <m/>
    <m/>
    <d v="2025-10-01T00:00:00"/>
    <m/>
    <m/>
    <m/>
    <m/>
    <m/>
    <m/>
    <m/>
    <m/>
    <m/>
  </r>
  <r>
    <n v="303"/>
    <m/>
    <s v="2025-26"/>
    <n v="14"/>
    <n v="22"/>
    <s v="Construction of Gram Panchayat office (Frame structure) at Village Nani-Moti Sodvadri Taluka: Mahuva Dist. Bhavnagar"/>
    <m/>
    <s v="Mahuva"/>
    <s v="Mahuva"/>
    <s v="Building"/>
    <s v="Gram Panchayat"/>
    <n v="211804"/>
    <m/>
    <d v="2025-08-03T00:00:00"/>
    <d v="2025-08-11T00:00:00"/>
    <d v="2025-08-12T00:00:00"/>
    <d v="2025-12-09T00:00:00"/>
    <n v="2079935.08"/>
    <m/>
    <n v="1928723.8"/>
    <n v="-7.27"/>
    <s v="Below"/>
    <s v="Nineteen Lakh Twenty Eight Thousand Seven Hundred Twenty Three Rupees and Eight Paise Only"/>
    <s v="Division"/>
    <m/>
    <n v="1928723.8"/>
    <x v="67"/>
    <n v="0"/>
    <s v="Plot No. 233, Nu.N.Yo. No.3, Near Muni Nagar, Mahuva"/>
    <n v="9824837530"/>
    <m/>
    <m/>
    <m/>
    <m/>
    <m/>
    <n v="4"/>
    <n v="97000"/>
    <d v="2027-04-24T00:00:00"/>
    <n v="4800"/>
    <n v="0"/>
    <d v="2026-03-05T00:00:00"/>
    <d v="2027-02-23T00:00:00"/>
    <n v="1320"/>
    <d v="2025-09-15T00:00:00"/>
    <m/>
    <m/>
    <m/>
    <m/>
    <m/>
    <m/>
    <m/>
    <m/>
    <m/>
    <m/>
    <m/>
    <m/>
    <m/>
    <d v="2025-10-01T00:00:00"/>
    <m/>
    <m/>
    <m/>
    <m/>
    <m/>
    <m/>
    <m/>
    <m/>
    <m/>
  </r>
  <r>
    <n v="304"/>
    <m/>
    <s v="2025-26"/>
    <n v="14"/>
    <n v="23"/>
    <s v="Construction of Gram Panchayat office (Frame structure) at Village Kakidi Taluka: Mahuva Dist. Bhavnagar"/>
    <m/>
    <s v="Mahuva"/>
    <s v="Mahuva"/>
    <s v="Building"/>
    <s v="Gram Panchayat"/>
    <n v="211805"/>
    <m/>
    <d v="2025-08-03T00:00:00"/>
    <d v="2025-08-11T00:00:00"/>
    <d v="2025-08-12T00:00:00"/>
    <d v="2025-12-09T00:00:00"/>
    <n v="2079935.08"/>
    <m/>
    <n v="1928723.8"/>
    <n v="-7.27"/>
    <s v="Below"/>
    <s v="Nineteen Lakh Twenty Eight Thousand Seven Hundred Twenty Three Rupees and Eight Paise Only"/>
    <s v="Division"/>
    <m/>
    <n v="1928723.8"/>
    <x v="67"/>
    <n v="0"/>
    <s v="Plot No. 233, Nu.N.Yo. No.3, Near Muni Nagar, Mahuva"/>
    <n v="9824837530"/>
    <m/>
    <m/>
    <m/>
    <m/>
    <m/>
    <n v="4"/>
    <n v="97000"/>
    <d v="2027-04-24T00:00:00"/>
    <n v="4800"/>
    <n v="0"/>
    <d v="2026-03-05T00:00:00"/>
    <d v="2027-02-23T00:00:00"/>
    <n v="1325"/>
    <d v="2025-09-15T00:00:00"/>
    <m/>
    <m/>
    <m/>
    <m/>
    <m/>
    <m/>
    <m/>
    <m/>
    <m/>
    <m/>
    <m/>
    <m/>
    <m/>
    <d v="2025-10-01T00:00:00"/>
    <m/>
    <m/>
    <m/>
    <m/>
    <m/>
    <m/>
    <m/>
    <m/>
    <m/>
  </r>
  <r>
    <n v="305"/>
    <m/>
    <s v="2025-26"/>
    <n v="14"/>
    <n v="24"/>
    <s v=" Construction of Gram Panchayat office (Frame structure) at Village Moti Vadal Taluka: Mahuva Dist. Bhavnagar"/>
    <m/>
    <s v="Mahuva"/>
    <s v="Mahuva"/>
    <s v="Building"/>
    <s v="Gram Panchayat"/>
    <n v="211806"/>
    <m/>
    <d v="2025-08-03T00:00:00"/>
    <d v="2025-08-11T00:00:00"/>
    <d v="2025-08-12T00:00:00"/>
    <d v="2025-12-09T00:00:00"/>
    <n v="2079935.08"/>
    <m/>
    <n v="2038336.38"/>
    <n v="-2"/>
    <s v="Below"/>
    <s v="Twenty Lakh Thirty Eight Thousand Three Hundred Thirty Six Rupees and Thirty Eight Paise Only"/>
    <s v="Division"/>
    <m/>
    <n v="2038336.38"/>
    <x v="63"/>
    <s v="Chhelana Vipul Hadabhai"/>
    <s v="At Survey No. 4 P, Shiv Hotel, Rohisha Chowkadi, Mahuva, Dist. Bhavnagar"/>
    <n v="7405505555"/>
    <m/>
    <s v="CDP-5"/>
    <m/>
    <m/>
    <m/>
    <n v="4"/>
    <n v="102000"/>
    <d v="2027-05-08T00:00:00"/>
    <n v="5000"/>
    <n v="0"/>
    <d v="2026-03-19T00:00:00"/>
    <d v="2027-03-09T00:00:00"/>
    <n v="1366"/>
    <d v="2025-09-22T00:00:00"/>
    <s v="2025-26"/>
    <n v="173"/>
    <d v="2025-10-13T00:00:00"/>
    <s v="FDR"/>
    <s v="Bank of India"/>
    <s v="320556110000298"/>
    <n v="102000"/>
    <d v="2025-10-07T00:00:00"/>
    <m/>
    <m/>
    <m/>
    <m/>
    <m/>
    <d v="2025-10-15T00:00:00"/>
    <n v="1462"/>
    <d v="2025-10-13T00:00:00"/>
    <m/>
    <m/>
    <m/>
    <m/>
    <m/>
    <m/>
    <m/>
  </r>
  <r>
    <n v="306"/>
    <m/>
    <s v="2025-26"/>
    <n v="14"/>
    <n v="25"/>
    <s v="Construction of Gram Panchayat office (Frame structure) at Village Visavadar Taluka: Mahuva Dist. Bhavnagar"/>
    <m/>
    <s v="Mahuva"/>
    <s v="Mahuva"/>
    <s v="Building"/>
    <s v="Gram Panchayat"/>
    <n v="211820"/>
    <m/>
    <d v="2025-08-03T00:00:00"/>
    <d v="2025-08-11T00:00:00"/>
    <d v="2025-08-12T00:00:00"/>
    <d v="2025-12-09T00:00:00"/>
    <n v="2079935.08"/>
    <m/>
    <n v="1928723.8"/>
    <n v="-7.27"/>
    <s v="Below"/>
    <s v="Nineteen Lakh Twenty Eight Thousand Seven Hundred Twenty Three Rupees and Eight Paise Only"/>
    <s v="Division"/>
    <m/>
    <n v="1928723.8"/>
    <x v="67"/>
    <n v="0"/>
    <s v="Plot No. 233, Nu.N.Yo. No.3, Near Muni Nagar, Mahuva"/>
    <n v="9824837530"/>
    <m/>
    <m/>
    <m/>
    <m/>
    <m/>
    <n v="4"/>
    <n v="97000"/>
    <d v="2027-04-24T00:00:00"/>
    <n v="4800"/>
    <n v="0"/>
    <d v="2026-03-05T00:00:00"/>
    <d v="2027-02-23T00:00:00"/>
    <n v="1326"/>
    <d v="2025-09-15T00:00:00"/>
    <m/>
    <m/>
    <m/>
    <m/>
    <m/>
    <m/>
    <m/>
    <m/>
    <m/>
    <m/>
    <m/>
    <m/>
    <m/>
    <d v="2025-10-01T00:00:00"/>
    <m/>
    <m/>
    <m/>
    <m/>
    <m/>
    <m/>
    <m/>
    <m/>
    <m/>
  </r>
  <r>
    <n v="307"/>
    <m/>
    <s v="2025-26"/>
    <n v="14"/>
    <n v="26"/>
    <s v="Construction of Gram Panchayat office (Frame structure) at Village Nikol Taluka: Mahuva Dist. Bhavnagar"/>
    <m/>
    <s v="Mahuva"/>
    <s v="Mahuva"/>
    <s v="Building"/>
    <s v="Gram Panchayat"/>
    <n v="211821"/>
    <m/>
    <d v="2025-08-03T00:00:00"/>
    <d v="2025-08-11T00:00:00"/>
    <d v="2025-08-12T00:00:00"/>
    <d v="2025-12-09T00:00:00"/>
    <n v="2079935.08"/>
    <m/>
    <n v="1955138.98"/>
    <n v="-6"/>
    <s v="Below"/>
    <s v="Nineteen Lakh Fifty Five Thousand One Hundred Thirty Eight Rupees and Ninety Eight Paise Only"/>
    <s v="Division"/>
    <m/>
    <n v="1955138.98"/>
    <x v="63"/>
    <s v="Chhelana Vipul Hadabhai"/>
    <s v="At Survey No. 4 P, Shiv Hotel, Rohisha Chowkadi, Mahuva, Dist. Bhavnagar"/>
    <n v="7405505555"/>
    <m/>
    <s v="CDP-5"/>
    <m/>
    <m/>
    <m/>
    <n v="4"/>
    <n v="98000"/>
    <d v="2027-05-08T00:00:00"/>
    <n v="4900"/>
    <n v="0"/>
    <d v="2026-03-19T00:00:00"/>
    <d v="2027-03-09T00:00:00"/>
    <n v="1371"/>
    <d v="2025-09-22T00:00:00"/>
    <s v="2025-26"/>
    <n v="172"/>
    <d v="2025-10-13T00:00:00"/>
    <s v="FDR"/>
    <s v="Bank of India"/>
    <s v="320556110000302"/>
    <n v="98000"/>
    <d v="2025-10-07T00:00:00"/>
    <m/>
    <m/>
    <m/>
    <m/>
    <m/>
    <d v="2025-10-15T00:00:00"/>
    <n v="1456"/>
    <d v="2025-10-13T00:00:00"/>
    <m/>
    <m/>
    <m/>
    <m/>
    <m/>
    <m/>
    <m/>
  </r>
  <r>
    <n v="308"/>
    <m/>
    <s v="2025-26"/>
    <n v="14"/>
    <n v="27"/>
    <s v="Construction of Gram Panchayat office (Frame structure) at Village Borla Taluka:Mahuva Dist. Bhavnagar"/>
    <m/>
    <s v="Mahuva"/>
    <s v="Mahuva"/>
    <s v="Building"/>
    <s v="Gram Panchayat"/>
    <n v="211822"/>
    <m/>
    <d v="2025-08-03T00:00:00"/>
    <d v="2025-08-11T00:00:00"/>
    <d v="2025-08-12T00:00:00"/>
    <d v="2025-12-09T00:00:00"/>
    <n v="2079935.08"/>
    <m/>
    <n v="1975938.33"/>
    <n v="-5"/>
    <s v="Below"/>
    <s v="Nineteen Lakh Seventy Five Thousand Nine Hundred Thirty Eight Rupees and Thirty Three Paise Only"/>
    <s v="Division"/>
    <m/>
    <n v="1975938.33"/>
    <x v="63"/>
    <s v="Chhelana Vipul Hadabhai"/>
    <s v="At Survey No. 4 P, Shiv Hotel, Rohisha Chowkadi, Mahuva, Dist. Bhavnagar"/>
    <n v="7405505555"/>
    <m/>
    <s v="CDP-5"/>
    <m/>
    <m/>
    <m/>
    <n v="4"/>
    <n v="99000"/>
    <d v="2027-05-08T00:00:00"/>
    <n v="4900"/>
    <n v="0"/>
    <d v="2026-03-19T00:00:00"/>
    <d v="2027-03-09T00:00:00"/>
    <n v="1372"/>
    <d v="2025-09-15T00:00:00"/>
    <s v="2025-26"/>
    <n v="175"/>
    <d v="2025-10-13T00:00:00"/>
    <s v="FDR"/>
    <s v="Bank of India"/>
    <s v="320556110000301"/>
    <n v="99000"/>
    <d v="2025-10-07T00:00:00"/>
    <m/>
    <m/>
    <m/>
    <m/>
    <m/>
    <d v="2025-10-15T00:00:00"/>
    <n v="1463"/>
    <d v="2025-10-13T00:00:00"/>
    <m/>
    <m/>
    <m/>
    <m/>
    <m/>
    <m/>
    <m/>
  </r>
  <r>
    <n v="309"/>
    <m/>
    <s v="2025-26"/>
    <n v="14"/>
    <n v="28"/>
    <s v="Construction of Gram Panchayat office (Frame structure) at Village Maliya Taluka:Mahuva Dist. Bhavnagar"/>
    <m/>
    <s v="Mahuva"/>
    <s v="Mahuva"/>
    <s v="Building"/>
    <s v="Gram Panchayat"/>
    <n v="211823"/>
    <m/>
    <d v="2025-08-03T00:00:00"/>
    <d v="2025-08-11T00:00:00"/>
    <d v="2025-08-12T00:00:00"/>
    <d v="2025-12-09T00:00:00"/>
    <n v="2079935.08"/>
    <m/>
    <n v="1934339.62"/>
    <n v="-7"/>
    <s v="Below"/>
    <s v="Nineteen Lakh Thirty Four Thousand Three Hundred Thirty Nine Rupees and Sixty Two Paise Only"/>
    <s v="Division"/>
    <m/>
    <n v="1934339.62"/>
    <x v="63"/>
    <s v="Chhelana Vipul Hadabhai"/>
    <s v="At Survey No. 4 P, Shiv Hotel, Rohisha Chowkadi, Mahuva, Dist. Bhavnagar"/>
    <n v="7405505555"/>
    <m/>
    <s v="CDP-5"/>
    <m/>
    <m/>
    <m/>
    <n v="4"/>
    <n v="97000"/>
    <d v="2027-05-08T00:00:00"/>
    <n v="4800"/>
    <n v="0"/>
    <d v="2026-03-19T00:00:00"/>
    <d v="2027-03-09T00:00:00"/>
    <n v="1368"/>
    <d v="2025-09-22T00:00:00"/>
    <s v="2025-26"/>
    <n v="174"/>
    <d v="2025-10-13T00:00:00"/>
    <s v="FDR"/>
    <s v="Bank of India"/>
    <s v="320556110000297"/>
    <n v="97000"/>
    <d v="2025-10-07T00:00:00"/>
    <m/>
    <m/>
    <m/>
    <m/>
    <m/>
    <d v="2025-10-15T00:00:00"/>
    <n v="1464"/>
    <d v="2025-10-13T00:00:00"/>
    <m/>
    <m/>
    <m/>
    <m/>
    <m/>
    <m/>
    <m/>
  </r>
  <r>
    <n v="310"/>
    <m/>
    <s v="2025-26"/>
    <n v="14"/>
    <n v="29"/>
    <s v="Construction of Gram Panchayat office (Frame structure) at Village Amrutwel Taluka: Mahuva Dist. Bhavnagar"/>
    <m/>
    <s v="Mahuva"/>
    <s v="Mahuva"/>
    <s v="Building"/>
    <s v="Gram Panchayat"/>
    <n v="211824"/>
    <m/>
    <d v="2025-08-03T00:00:00"/>
    <d v="2025-08-11T00:00:00"/>
    <d v="2025-08-12T00:00:00"/>
    <d v="2025-12-09T00:00:00"/>
    <n v="2079935.08"/>
    <m/>
    <n v="1934339.62"/>
    <n v="-7"/>
    <s v="Below"/>
    <s v="Nineteen Lakh Thirty Four Thousand Three Hundred Thirty Nine Rupees and Sixty Two Paise Only"/>
    <s v="Division"/>
    <m/>
    <n v="1934339.62"/>
    <x v="63"/>
    <s v="Chhelana Vipul Hadabhai"/>
    <s v="At Survey No. 4 P, Shiv Hotel, Rohisha Chowkadi, Mahuva, Dist. Bhavnagar"/>
    <n v="7405505555"/>
    <m/>
    <s v="CDP-5"/>
    <m/>
    <m/>
    <m/>
    <n v="4"/>
    <n v="97000"/>
    <d v="2027-05-08T00:00:00"/>
    <n v="4800"/>
    <n v="0"/>
    <d v="2026-03-19T00:00:00"/>
    <d v="2027-03-09T00:00:00"/>
    <n v="1363"/>
    <d v="2025-09-22T00:00:00"/>
    <s v="2025-26"/>
    <n v="180"/>
    <d v="2025-10-13T00:00:00"/>
    <s v="FDR"/>
    <s v="Bank of India"/>
    <s v="320556110000300"/>
    <n v="97000"/>
    <d v="2025-10-07T00:00:00"/>
    <m/>
    <m/>
    <m/>
    <m/>
    <m/>
    <d v="2025-10-15T00:00:00"/>
    <n v="1465"/>
    <d v="2025-10-13T00:00:00"/>
    <m/>
    <m/>
    <m/>
    <m/>
    <m/>
    <m/>
    <m/>
  </r>
  <r>
    <n v="311"/>
    <m/>
    <s v="2025-26"/>
    <n v="14"/>
    <n v="30"/>
    <s v="Construction of Gram Panchayat office (Frame structure) at Village Fachara Taluka: Palitana Dist. Bhavnagar"/>
    <m/>
    <s v="Palitana"/>
    <s v="Palitana"/>
    <s v="Building"/>
    <s v="Gram Panchayat"/>
    <n v="211825"/>
    <m/>
    <d v="2025-08-03T00:00:00"/>
    <d v="2025-08-11T00:00:00"/>
    <d v="2025-08-12T00:00:00"/>
    <d v="2025-12-09T00:00:00"/>
    <n v="2079935.08"/>
    <m/>
    <n v="1903140.6"/>
    <n v="-8.5"/>
    <s v="Below"/>
    <s v="Nineteen Lakh Three Thousand One Hundred Forty Rupees and Six Paise Only"/>
    <s v="Division"/>
    <m/>
    <n v="1903140.6"/>
    <x v="65"/>
    <n v="0"/>
    <s v="Plot No. 9, Gayatri Society, Ramabaug, Anantwadi, Bhavnagar - 364002"/>
    <n v="0"/>
    <m/>
    <m/>
    <m/>
    <m/>
    <m/>
    <n v="4"/>
    <n v="96000"/>
    <d v="2027-04-24T00:00:00"/>
    <n v="4800"/>
    <n v="0"/>
    <d v="2026-03-05T00:00:00"/>
    <d v="2027-02-23T00:00:00"/>
    <n v="1358"/>
    <d v="2025-09-22T00:00:00"/>
    <m/>
    <m/>
    <m/>
    <m/>
    <m/>
    <m/>
    <m/>
    <m/>
    <m/>
    <m/>
    <m/>
    <m/>
    <m/>
    <d v="2025-10-01T00:00:00"/>
    <m/>
    <m/>
    <m/>
    <m/>
    <m/>
    <m/>
    <m/>
    <m/>
    <m/>
  </r>
  <r>
    <n v="312"/>
    <m/>
    <s v="2025-26"/>
    <n v="14"/>
    <n v="31"/>
    <s v="Construction of Gram Panchayat office (Frame structure) at Village Dharuka Taluka: Umrala Dist. Bhavnagar"/>
    <m/>
    <s v="Umrala"/>
    <s v="Vallabhipur"/>
    <s v="Building"/>
    <s v="Gram Panchayat"/>
    <n v="211826"/>
    <m/>
    <d v="2025-08-03T00:00:00"/>
    <d v="2025-08-11T00:00:00"/>
    <d v="2025-08-12T00:00:00"/>
    <d v="2025-12-09T00:00:00"/>
    <n v="2079935.08"/>
    <m/>
    <n v="1902932.6"/>
    <n v="-8.51"/>
    <s v="Below"/>
    <s v="Nineteen Lakh Two Thousand Nine Hundred Thirty Two Rupees and Six Paise Only"/>
    <s v="Division"/>
    <m/>
    <n v="1902932.6"/>
    <x v="21"/>
    <s v="D. H. Gohil"/>
    <s v="At. Vangadhra, Ta.Umrala, Dist. Bhavnagar"/>
    <n v="8780286268"/>
    <m/>
    <m/>
    <m/>
    <m/>
    <m/>
    <n v="4"/>
    <n v="96000"/>
    <d v="2027-04-24T00:00:00"/>
    <n v="4800"/>
    <n v="0"/>
    <d v="2026-03-05T00:00:00"/>
    <d v="2027-02-23T00:00:00"/>
    <n v="1322"/>
    <d v="2025-09-15T00:00:00"/>
    <m/>
    <m/>
    <m/>
    <m/>
    <m/>
    <m/>
    <m/>
    <m/>
    <m/>
    <m/>
    <m/>
    <m/>
    <m/>
    <d v="2025-10-01T00:00:00"/>
    <m/>
    <m/>
    <m/>
    <m/>
    <m/>
    <m/>
    <m/>
    <m/>
    <m/>
  </r>
  <r>
    <n v="313"/>
    <m/>
    <s v="2025-26"/>
    <n v="14"/>
    <n v="32"/>
    <s v=" Construction of Gram Panchayat office (Frame structure) at Village Karkoliya Taluka: Shihor Dist. Bhavnagar "/>
    <m/>
    <s v="Shihor"/>
    <s v="Shihor"/>
    <s v="Building"/>
    <s v="Gram Panchayat"/>
    <n v="211827"/>
    <m/>
    <d v="2025-08-03T00:00:00"/>
    <d v="2025-08-11T00:00:00"/>
    <d v="2025-08-12T00:00:00"/>
    <d v="2025-12-09T00:00:00"/>
    <n v="2079935.08"/>
    <m/>
    <n v="1955346.97"/>
    <n v="-5.99"/>
    <s v="Below"/>
    <s v="Nineteen Lakh Fifty Five Thousand Three Hundred Forty Six Rupees and Ninety Seven Paise Only"/>
    <s v="Division"/>
    <m/>
    <n v="1955346.97"/>
    <x v="44"/>
    <s v="Majithiya Dhruvin Nareshbhai"/>
    <s v="82/1, Bajaran Society, Near Gayatri Temple, Chitra, Bhavnagar-364004"/>
    <n v="8200557028"/>
    <m/>
    <m/>
    <m/>
    <m/>
    <m/>
    <n v="4"/>
    <n v="98000"/>
    <d v="2027-04-24T00:00:00"/>
    <n v="4900"/>
    <n v="0"/>
    <d v="2026-03-05T00:00:00"/>
    <d v="2027-02-23T00:00:00"/>
    <n v="1316"/>
    <d v="2025-09-15T00:00:00"/>
    <m/>
    <m/>
    <m/>
    <m/>
    <m/>
    <m/>
    <m/>
    <m/>
    <m/>
    <m/>
    <m/>
    <m/>
    <m/>
    <d v="2025-10-01T00:00:00"/>
    <m/>
    <m/>
    <m/>
    <m/>
    <m/>
    <m/>
    <m/>
    <m/>
    <m/>
  </r>
  <r>
    <n v="314"/>
    <m/>
    <s v="2025-26"/>
    <n v="14"/>
    <n v="33"/>
    <s v=" Construction of Gram Panchayat office (Frame structure) at Village Navagam (Mo) Taluka: Shihor Dist. Bhavnagar "/>
    <m/>
    <s v="Shihor"/>
    <s v="Shihor"/>
    <s v="Building"/>
    <s v="Gram Panchayat"/>
    <n v="211828"/>
    <m/>
    <d v="2025-08-03T00:00:00"/>
    <d v="2025-08-11T00:00:00"/>
    <d v="2025-08-12T00:00:00"/>
    <d v="2025-12-09T00:00:00"/>
    <n v="2079935.08"/>
    <s v="Yes"/>
    <m/>
    <m/>
    <s v="Equals"/>
    <s v="Zero Rupees Only"/>
    <s v="Division"/>
    <m/>
    <n v="0"/>
    <x v="3"/>
    <n v="0"/>
    <n v="0"/>
    <n v="0"/>
    <m/>
    <m/>
    <m/>
    <m/>
    <m/>
    <m/>
    <n v="0"/>
    <d v="1901-03-25T00:00:00"/>
    <n v="0"/>
    <n v="0"/>
    <d v="1900-02-03T00:00:00"/>
    <d v="1901-01-24T00:00:00"/>
    <m/>
    <m/>
    <m/>
    <m/>
    <m/>
    <m/>
    <m/>
    <m/>
    <m/>
    <m/>
    <m/>
    <m/>
    <m/>
    <m/>
    <m/>
    <m/>
    <m/>
    <m/>
    <m/>
    <m/>
    <m/>
    <m/>
    <m/>
    <m/>
    <m/>
  </r>
  <r>
    <n v="315"/>
    <m/>
    <s v="2025-26"/>
    <n v="14"/>
    <n v="34"/>
    <s v="Construction of Gram Panchayat office (Frame structure) at Village Panchvada Taluka:Shihor Dist. Bhavnagar"/>
    <m/>
    <s v="Shihor"/>
    <s v="Shihor"/>
    <s v="Building"/>
    <s v="Gram Panchayat"/>
    <n v="211829"/>
    <m/>
    <d v="2025-08-03T00:00:00"/>
    <d v="2025-08-11T00:00:00"/>
    <d v="2025-08-12T00:00:00"/>
    <d v="2025-12-09T00:00:00"/>
    <n v="2079935.08"/>
    <m/>
    <n v="1953683.02"/>
    <n v="-6.07"/>
    <s v="Below"/>
    <s v="Nineteen Lakh Fifty Three Thousand Six Hundred Eighty Three Rupees and Two Paise Only"/>
    <s v="Division"/>
    <m/>
    <n v="1953683.02"/>
    <x v="33"/>
    <s v="PARTH Kiritkumar MEHTA"/>
    <s v="Plot No. 1578/I, New Champa Tenament, Divadi Road, Rupani Circle, Bhavnagar - 364002"/>
    <n v="7990934709"/>
    <m/>
    <s v="CDP-5"/>
    <m/>
    <m/>
    <m/>
    <n v="4"/>
    <n v="98000"/>
    <d v="2027-04-24T00:00:00"/>
    <n v="4900"/>
    <n v="0"/>
    <d v="2026-03-05T00:00:00"/>
    <d v="2027-02-23T00:00:00"/>
    <n v="1312"/>
    <d v="2025-09-15T00:00:00"/>
    <m/>
    <m/>
    <m/>
    <m/>
    <m/>
    <m/>
    <m/>
    <m/>
    <m/>
    <m/>
    <m/>
    <m/>
    <m/>
    <d v="2025-10-01T00:00:00"/>
    <m/>
    <m/>
    <m/>
    <m/>
    <m/>
    <m/>
    <m/>
    <m/>
    <m/>
  </r>
  <r>
    <n v="316"/>
    <m/>
    <s v="2025-26"/>
    <n v="14"/>
    <n v="35"/>
    <s v="Construction of Gram Panchayat office (Frame structure) at Village Kantodiya Taluka: Shihor Dist. Bhavnagar"/>
    <m/>
    <s v="Shihor"/>
    <s v="Shihor"/>
    <s v="Building"/>
    <s v="Gram Panchayat"/>
    <n v="211830"/>
    <m/>
    <d v="2025-08-03T00:00:00"/>
    <d v="2025-08-11T00:00:00"/>
    <d v="2025-08-12T00:00:00"/>
    <d v="2025-12-09T00:00:00"/>
    <n v="2079935.08"/>
    <m/>
    <n v="1953683.02"/>
    <n v="-6.07"/>
    <s v="Below"/>
    <s v="Nineteen Lakh Fifty Three Thousand Six Hundred Eighty Three Rupees and Two Paise Only"/>
    <s v="Division"/>
    <m/>
    <n v="1953683.02"/>
    <x v="33"/>
    <s v="PARTH Kiritkumar MEHTA"/>
    <s v="Plot No. 1578/I, New Champa Tenament, Divadi Road, Rupani Circle, Bhavnagar - 364002"/>
    <n v="7990934709"/>
    <m/>
    <s v="CDP-5"/>
    <m/>
    <m/>
    <m/>
    <n v="4"/>
    <n v="98000"/>
    <d v="2027-04-24T00:00:00"/>
    <n v="4900"/>
    <n v="0"/>
    <d v="2026-03-05T00:00:00"/>
    <d v="2027-02-23T00:00:00"/>
    <n v="1323"/>
    <d v="2025-09-15T00:00:00"/>
    <m/>
    <m/>
    <m/>
    <m/>
    <m/>
    <m/>
    <m/>
    <m/>
    <m/>
    <m/>
    <m/>
    <m/>
    <m/>
    <d v="2025-10-01T00:00:00"/>
    <m/>
    <m/>
    <m/>
    <m/>
    <m/>
    <m/>
    <m/>
    <m/>
    <m/>
  </r>
  <r>
    <n v="317"/>
    <m/>
    <s v="2025-26"/>
    <n v="14"/>
    <n v="36"/>
    <s v="Construction of Gram Panchayat office (Frame structure) at Village Nana Surka Taluka:Shihor Dist. Bhavnagar"/>
    <m/>
    <s v="Shihor"/>
    <s v="Shihor"/>
    <s v="Building"/>
    <s v="Gram Panchayat"/>
    <n v="211831"/>
    <m/>
    <d v="2025-08-03T00:00:00"/>
    <d v="2025-08-11T00:00:00"/>
    <d v="2025-08-12T00:00:00"/>
    <d v="2025-12-09T00:00:00"/>
    <n v="2079935.08"/>
    <m/>
    <n v="1985714.02"/>
    <n v="-4.53"/>
    <s v="Below"/>
    <s v="Nineteen Lakh Eighty Five Thousand Seven Hundred Fourteen Rupees and Two Paise Only"/>
    <s v="Division"/>
    <m/>
    <n v="1985714.02"/>
    <x v="43"/>
    <n v="0"/>
    <s v="At Tana, Tal. Shihor, Dist. Bhavnagar - 364260"/>
    <n v="9510343132"/>
    <m/>
    <s v="CDP-5"/>
    <m/>
    <m/>
    <m/>
    <n v="4"/>
    <n v="100000"/>
    <d v="2027-06-03T00:00:00"/>
    <n v="4900"/>
    <n v="0"/>
    <d v="2026-04-14T00:00:00"/>
    <d v="2027-04-04T00:00:00"/>
    <n v="1317"/>
    <d v="2025-09-15T00:00:00"/>
    <s v="2025-26"/>
    <n v="201"/>
    <d v="2025-11-08T00:00:00"/>
    <s v="FDR"/>
    <s v="Bank of Baroda"/>
    <s v="91640300004729"/>
    <n v="100000"/>
    <d v="2025-08-22T00:00:00"/>
    <m/>
    <m/>
    <m/>
    <m/>
    <m/>
    <d v="2025-11-10T00:00:00"/>
    <n v="1506"/>
    <d v="2025-11-08T00:00:00"/>
    <m/>
    <m/>
    <m/>
    <m/>
    <m/>
    <m/>
    <m/>
  </r>
  <r>
    <n v="318"/>
    <m/>
    <s v="2025-26"/>
    <n v="14"/>
    <n v="37"/>
    <s v="Construction of Gram Panchayat office (Frame structure) at Village Rajpara (Khodiyar) Taluka: Shihor Dist. Bhavnagar"/>
    <m/>
    <s v="Shihor"/>
    <s v="Shihor"/>
    <s v="Building"/>
    <s v="Gram Panchayat"/>
    <n v="211832"/>
    <m/>
    <d v="2025-08-03T00:00:00"/>
    <d v="2025-08-11T00:00:00"/>
    <d v="2025-08-12T00:00:00"/>
    <d v="2025-12-09T00:00:00"/>
    <n v="2079935.08"/>
    <m/>
    <n v="1933091.66"/>
    <n v="-7.06"/>
    <s v="Below"/>
    <s v="Nineteen Lakh Thirty Three Thousand Ninety One Rupees and Sixty Six Paise Only"/>
    <s v="Division"/>
    <m/>
    <n v="1933091.66"/>
    <x v="33"/>
    <s v="PARTH Kiritkumar MEHTA"/>
    <s v="Plot No. 1578/I, New Champa Tenament, Divadi Road, Rupani Circle, Bhavnagar - 364002"/>
    <n v="7990934709"/>
    <m/>
    <s v="CDP-5"/>
    <m/>
    <m/>
    <m/>
    <n v="4"/>
    <n v="97000"/>
    <d v="2027-04-24T00:00:00"/>
    <n v="4800"/>
    <n v="0"/>
    <d v="2026-03-05T00:00:00"/>
    <d v="2027-02-23T00:00:00"/>
    <n v="1314"/>
    <d v="2025-09-15T00:00:00"/>
    <m/>
    <m/>
    <m/>
    <m/>
    <m/>
    <m/>
    <m/>
    <m/>
    <m/>
    <m/>
    <m/>
    <m/>
    <m/>
    <d v="2025-10-01T00:00:00"/>
    <m/>
    <m/>
    <m/>
    <m/>
    <m/>
    <m/>
    <m/>
    <m/>
    <m/>
  </r>
  <r>
    <n v="319"/>
    <m/>
    <s v="2025-26"/>
    <n v="14"/>
    <n v="38"/>
    <s v="Construction of Gram Panchayat office (Frame structure) at Village Sendarda Taluka: Shihor Dist. Bhavnagar"/>
    <m/>
    <s v="Shihor"/>
    <s v="Shihor"/>
    <s v="Building"/>
    <s v="Gram Panchayat"/>
    <n v="211834"/>
    <m/>
    <d v="2025-08-03T00:00:00"/>
    <d v="2025-08-11T00:00:00"/>
    <d v="2025-08-12T00:00:00"/>
    <d v="2025-12-09T00:00:00"/>
    <n v="2079935.08"/>
    <m/>
    <n v="1953683.02"/>
    <n v="-6.07"/>
    <s v="Below"/>
    <s v="Nineteen Lakh Fifty Three Thousand Six Hundred Eighty Three Rupees and Two Paise Only"/>
    <s v="Division"/>
    <m/>
    <n v="1953683.02"/>
    <x v="33"/>
    <s v="PARTH Kiritkumar MEHTA"/>
    <s v="Plot No. 1578/I, New Champa Tenament, Divadi Road, Rupani Circle, Bhavnagar - 364002"/>
    <n v="7990934709"/>
    <m/>
    <s v="CDP-5"/>
    <m/>
    <m/>
    <m/>
    <n v="4"/>
    <n v="98000"/>
    <d v="2027-04-24T00:00:00"/>
    <n v="4900"/>
    <n v="0"/>
    <d v="2026-03-05T00:00:00"/>
    <d v="2027-02-23T00:00:00"/>
    <n v="1330"/>
    <d v="2025-09-15T00:00:00"/>
    <m/>
    <m/>
    <m/>
    <m/>
    <m/>
    <m/>
    <m/>
    <m/>
    <m/>
    <m/>
    <m/>
    <m/>
    <m/>
    <d v="2025-10-01T00:00:00"/>
    <m/>
    <m/>
    <m/>
    <m/>
    <m/>
    <m/>
    <m/>
    <m/>
    <m/>
  </r>
  <r>
    <n v="320"/>
    <m/>
    <s v="2025-26"/>
    <n v="14"/>
    <n v="39"/>
    <s v="Construction of Gram Panchayat office (Frame structure) at Village Vav Taluka: Shihor Dist. Bhavnagar"/>
    <m/>
    <s v="Shihor"/>
    <s v="Shihor"/>
    <s v="Building"/>
    <s v="Gram Panchayat"/>
    <n v="211837"/>
    <m/>
    <d v="2025-08-03T00:00:00"/>
    <d v="2025-08-11T00:00:00"/>
    <d v="2025-08-12T00:00:00"/>
    <d v="2025-12-09T00:00:00"/>
    <n v="2079935.08"/>
    <m/>
    <n v="1953683.02"/>
    <n v="-6.07"/>
    <s v="Below"/>
    <s v="Nineteen Lakh Fifty Three Thousand Six Hundred Eighty Three Rupees and Two Paise Only"/>
    <s v="Division"/>
    <m/>
    <n v="1953683.02"/>
    <x v="33"/>
    <s v="PARTH Kiritkumar MEHTA"/>
    <s v="Plot No. 1578/I, New Champa Tenament, Divadi Road, Rupani Circle, Bhavnagar - 364002"/>
    <n v="7990934709"/>
    <m/>
    <s v="CDP-5"/>
    <m/>
    <m/>
    <m/>
    <n v="4"/>
    <n v="98000"/>
    <d v="2027-05-08T00:00:00"/>
    <n v="4900"/>
    <n v="0"/>
    <d v="2026-03-19T00:00:00"/>
    <d v="2027-03-09T00:00:00"/>
    <n v="1315"/>
    <d v="2025-09-15T00:00:00"/>
    <s v="2025-26"/>
    <n v="189"/>
    <d v="2025-10-13T00:00:00"/>
    <s v="FDR"/>
    <s v="State Bank of India"/>
    <n v="44526140342"/>
    <n v="98000"/>
    <d v="2025-10-04T00:00:00"/>
    <m/>
    <m/>
    <m/>
    <m/>
    <m/>
    <d v="2025-10-15T00:00:00"/>
    <n v="1473"/>
    <d v="2025-10-13T00:00:00"/>
    <m/>
    <m/>
    <m/>
    <m/>
    <m/>
    <m/>
    <m/>
  </r>
  <r>
    <n v="321"/>
    <m/>
    <s v="2025-26"/>
    <n v="14"/>
    <n v="40"/>
    <s v="Construction of Gram Panchayat office (Frame structure) at Village Mundakidhar Taluka: Jesar Dist. Bhavnagar"/>
    <m/>
    <s v="Jesar"/>
    <s v="Mahuva"/>
    <s v="Building"/>
    <s v="Gram Panchayat"/>
    <n v="211841"/>
    <m/>
    <d v="2025-08-03T00:00:00"/>
    <d v="2025-08-11T00:00:00"/>
    <d v="2025-08-12T00:00:00"/>
    <d v="2025-12-09T00:00:00"/>
    <n v="2079935.08"/>
    <m/>
    <n v="1954514.99"/>
    <n v="-6.03"/>
    <s v="Below"/>
    <s v="Nineteen Lakh Fifty Four Thousand Five Hundred Fourteen Rupees and Ninety Nine Paise Only"/>
    <s v="Division"/>
    <m/>
    <n v="1954514.99"/>
    <x v="68"/>
    <n v="0"/>
    <s v="11, Brahman Sheri, At. Jesar, Dist. Bhavnagar"/>
    <n v="9825149802"/>
    <m/>
    <m/>
    <m/>
    <m/>
    <m/>
    <n v="4"/>
    <n v="98000"/>
    <d v="2027-04-24T00:00:00"/>
    <n v="4900"/>
    <n v="0"/>
    <d v="2026-03-05T00:00:00"/>
    <d v="2027-02-23T00:00:00"/>
    <n v="1357"/>
    <d v="2025-09-22T00:00:00"/>
    <m/>
    <m/>
    <m/>
    <m/>
    <m/>
    <m/>
    <m/>
    <m/>
    <m/>
    <m/>
    <m/>
    <m/>
    <m/>
    <d v="2025-10-01T00:00:00"/>
    <m/>
    <m/>
    <m/>
    <m/>
    <m/>
    <m/>
    <m/>
    <m/>
    <m/>
  </r>
  <r>
    <n v="322"/>
    <m/>
    <s v="2025-26"/>
    <n v="14"/>
    <n v="41"/>
    <s v="Construction of Primary School Room at Jaliya (AM) Ta. Palitana Dist:Bhavnagar"/>
    <m/>
    <s v="Palitana"/>
    <s v="Palitana"/>
    <s v="Building"/>
    <s v="School Room"/>
    <n v="211842"/>
    <n v="2"/>
    <d v="2025-08-03T00:00:00"/>
    <d v="2025-08-11T00:00:00"/>
    <d v="2025-08-12T00:00:00"/>
    <d v="2025-12-09T00:00:00"/>
    <n v="2420954.2000000002"/>
    <m/>
    <n v="2197742.2200000002"/>
    <n v="-9.2200000000000006"/>
    <s v="Below"/>
    <s v="Twenty One Lakh Ninety Seven Thousand Seven Hundred Forty Two Rupees and Twenty Two Paise Only"/>
    <s v="Division"/>
    <m/>
    <n v="2197742.2200000002"/>
    <x v="69"/>
    <n v="0"/>
    <s v="At Modhuka, Ta. Vinchhiya, Dist. Rajkot"/>
    <n v="9723355852"/>
    <m/>
    <s v="MP Grant - Shri Masukhbhai Mandaviya Fund - 2023-24"/>
    <m/>
    <m/>
    <m/>
    <n v="4"/>
    <n v="110000"/>
    <d v="2027-03-19T00:00:00"/>
    <n v="5400"/>
    <n v="0"/>
    <d v="2026-01-28T00:00:00"/>
    <d v="2027-01-18T00:00:00"/>
    <n v="1181"/>
    <d v="2025-08-21T00:00:00"/>
    <s v="2025-26"/>
    <n v="111"/>
    <d v="2025-08-26T00:00:00"/>
    <s v="FDR"/>
    <s v="Punjab National Bank"/>
    <s v="964500PU00000397"/>
    <n v="110000"/>
    <d v="2025-08-22T00:00:00"/>
    <m/>
    <m/>
    <m/>
    <m/>
    <m/>
    <d v="2025-08-26T00:00:00"/>
    <n v="1203"/>
    <d v="2025-08-26T00:00:00"/>
    <m/>
    <m/>
    <m/>
    <m/>
    <m/>
    <m/>
    <m/>
  </r>
  <r>
    <n v="323"/>
    <m/>
    <s v="2025-26"/>
    <n v="14"/>
    <n v="42"/>
    <s v="Construction of Primary School Room at Keriya Ta. Umrala Dist:Bhavnagar"/>
    <m/>
    <s v="Umrala"/>
    <s v="Vallabhipur"/>
    <s v="Building"/>
    <s v="School Room"/>
    <n v="211843"/>
    <n v="2"/>
    <d v="2025-08-03T00:00:00"/>
    <d v="2025-08-11T00:00:00"/>
    <d v="2025-08-12T00:00:00"/>
    <d v="2025-12-09T00:00:00"/>
    <n v="1634615.63"/>
    <m/>
    <n v="1525750.23"/>
    <n v="-6.66"/>
    <s v="Below"/>
    <s v="Fifteen Lakh Twenty Five Thousand Seven Hundred Fifty Rupees and Twenty Three Paise Only"/>
    <s v="Division"/>
    <m/>
    <n v="1525750.23"/>
    <x v="40"/>
    <s v="C. H. Gohil"/>
    <s v="Ground Floor, Shop No.2, House No.151, Near Chabutara, Dadva Road, Dhola, Ta.Umrala, Dist.Bhavnagar"/>
    <n v="9377666263"/>
    <m/>
    <s v="MP Grant - Shri Masukhbhai Mandaviya Fund - 2023-24"/>
    <m/>
    <m/>
    <m/>
    <n v="4"/>
    <n v="77000"/>
    <d v="2027-04-24T00:00:00"/>
    <n v="3800"/>
    <n v="0"/>
    <d v="2026-03-05T00:00:00"/>
    <d v="2027-02-23T00:00:00"/>
    <n v="1183"/>
    <d v="2025-08-21T00:00:00"/>
    <s v="2025-26"/>
    <n v="167"/>
    <d v="2025-10-01T00:00:00"/>
    <s v="FDR"/>
    <s v="State Bank of India"/>
    <n v="44480750901"/>
    <n v="77000"/>
    <d v="2025-09-18T00:00:00"/>
    <m/>
    <m/>
    <m/>
    <m/>
    <m/>
    <d v="2025-10-01T00:00:00"/>
    <n v="1408"/>
    <d v="2025-10-01T00:00:00"/>
    <m/>
    <m/>
    <m/>
    <m/>
    <m/>
    <m/>
    <m/>
  </r>
  <r>
    <n v="324"/>
    <m/>
    <s v="2025-26"/>
    <n v="14"/>
    <n v="43"/>
    <s v="Construction of Primary School Room at Chitravav Ta. Umrala Dist:Bhavnagar"/>
    <m/>
    <s v="Umrala"/>
    <s v="Vallabhipur"/>
    <s v="Building"/>
    <s v="School Room"/>
    <n v="211846"/>
    <n v="2"/>
    <d v="2025-08-03T00:00:00"/>
    <d v="2025-08-11T00:00:00"/>
    <d v="2025-08-12T00:00:00"/>
    <d v="2025-12-09T00:00:00"/>
    <n v="1634615.63"/>
    <m/>
    <n v="1523952.15"/>
    <n v="-6.77"/>
    <s v="Below"/>
    <s v="Fifteen Lakh Twenty Three Thousand Nine Hundred Fifty Two Rupees and Fifteen Paise Only"/>
    <s v="Division"/>
    <m/>
    <n v="1523952.15"/>
    <x v="69"/>
    <n v="0"/>
    <s v="At Modhuka, Ta. Vinchhiya, Dist. Rajkot"/>
    <n v="9723355852"/>
    <m/>
    <s v="MP Grant - Shri Masukhbhai Mandaviya Fund - 2023-24"/>
    <m/>
    <m/>
    <m/>
    <n v="4"/>
    <n v="77000"/>
    <d v="2027-03-19T00:00:00"/>
    <n v="3800"/>
    <n v="0"/>
    <d v="2026-01-28T00:00:00"/>
    <d v="2027-01-18T00:00:00"/>
    <n v="1182"/>
    <d v="2025-08-21T00:00:00"/>
    <s v="2025-26"/>
    <n v="112"/>
    <d v="2025-08-26T00:00:00"/>
    <s v="FDR"/>
    <s v="Punjab National Bank"/>
    <s v="964500PU00000388"/>
    <n v="77000"/>
    <d v="2025-08-22T00:00:00"/>
    <m/>
    <m/>
    <m/>
    <m/>
    <m/>
    <d v="2025-08-26T00:00:00"/>
    <n v="1204"/>
    <d v="2025-08-26T00:00:00"/>
    <m/>
    <m/>
    <m/>
    <m/>
    <m/>
    <m/>
    <m/>
  </r>
  <r>
    <n v="325"/>
    <m/>
    <s v="2025-26"/>
    <n v="14"/>
    <n v="44"/>
    <s v="Remaining works of Gram Panchayat office Building (Frame Structure) Gariyadhar Taluka Package No. 2017-18/18 (Shivendranagar, Moti Vavdi, Rupavati), Dist. Bhavnagar"/>
    <m/>
    <s v="Gariyadhar"/>
    <s v="Palitana"/>
    <s v="Building"/>
    <m/>
    <n v="211848"/>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26"/>
    <m/>
    <s v="2025-26"/>
    <n v="14"/>
    <n v="45"/>
    <s v="Remaining works Construction of Gram Panchayat office Building (Frame Structure) at village Pansada Dist. Bhavnagar"/>
    <m/>
    <s v="Gariyadhar"/>
    <s v="Palitana"/>
    <s v="Building"/>
    <s v="Gram Panchayat"/>
    <n v="211850"/>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27"/>
    <m/>
    <s v="2025-26"/>
    <n v="14"/>
    <n v="46"/>
    <s v="Construction of School Building at Kalivav Primary School (One Class Room)  and Koliyak Kanya P.S. (Four Class Room) Ta. And Dist. Bhavnagar"/>
    <m/>
    <s v="Bhavnagar"/>
    <s v="Bhavnagar"/>
    <s v="Building"/>
    <m/>
    <n v="211853"/>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28"/>
    <m/>
    <s v="2025-26"/>
    <n v="14"/>
    <n v="47"/>
    <s v="Construction of Nandghar (Anganvadi) Building at Village Boradi-4 Tal. Mahuva Dist. Bhavnagar"/>
    <m/>
    <s v="Mahuva"/>
    <s v="Mahuva"/>
    <s v="Building"/>
    <s v="Anganvadi"/>
    <n v="211854"/>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29"/>
    <m/>
    <s v="2025-26"/>
    <n v="14"/>
    <n v="48"/>
    <s v="Construction of Nandghar (Anganvadi) Building at Village Kumbhariya Tal. Mahuva Dist. Bhavnagar"/>
    <m/>
    <s v="Mahuva"/>
    <s v="Mahuva"/>
    <s v="Building"/>
    <s v="Anganvadi"/>
    <n v="211857"/>
    <m/>
    <d v="2025-08-03T00:00:00"/>
    <d v="2025-08-11T00:00:00"/>
    <d v="2025-08-12T00:00:00"/>
    <d v="2025-12-09T00:00:00"/>
    <n v="1024912.96"/>
    <m/>
    <n v="1012101.55"/>
    <n v="-1.25"/>
    <s v="Below"/>
    <s v="Ten Lakh Twelve Thousand One Hundred One Rupees and Fifty Five Paise Only"/>
    <s v="Division"/>
    <m/>
    <n v="1012101.55"/>
    <x v="67"/>
    <n v="0"/>
    <s v="Plot No. 233, Nu.N.Yo. No.3, Near Muni Nagar, Mahuva"/>
    <n v="9824837530"/>
    <m/>
    <m/>
    <m/>
    <m/>
    <m/>
    <n v="3"/>
    <n v="51000"/>
    <d v="2027-03-25T00:00:00"/>
    <n v="2500"/>
    <n v="0"/>
    <d v="2026-02-03T00:00:00"/>
    <d v="2027-01-24T00:00:00"/>
    <n v="1331"/>
    <d v="2025-09-15T00:00:00"/>
    <m/>
    <m/>
    <m/>
    <m/>
    <m/>
    <m/>
    <m/>
    <m/>
    <m/>
    <m/>
    <m/>
    <m/>
    <m/>
    <d v="2025-10-01T00:00:00"/>
    <m/>
    <m/>
    <m/>
    <m/>
    <m/>
    <m/>
    <m/>
    <m/>
    <m/>
  </r>
  <r>
    <n v="330"/>
    <m/>
    <s v="2025-26"/>
    <n v="14"/>
    <n v="49"/>
    <s v="Construction of Nandghar (Anganvadi) Building at Village Mota Khuntavada-2, Ta. Mahuva Dist. Bhavnagar"/>
    <m/>
    <s v="Mahuva"/>
    <s v="Mahuva"/>
    <s v="Building"/>
    <s v="Anganvadi"/>
    <n v="211859"/>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31"/>
    <m/>
    <s v="2025-26"/>
    <n v="14"/>
    <n v="50"/>
    <s v=" Construction of Nandghar (Anganvadi) Building at Village Titodiya Tal. Mahuva Dist. Bhavnagar"/>
    <m/>
    <s v="Mahuva"/>
    <s v="Mahuva"/>
    <s v="Building"/>
    <s v="Anganvadi"/>
    <n v="211861"/>
    <m/>
    <d v="2025-08-03T00:00:00"/>
    <d v="2025-08-11T00:00:00"/>
    <d v="2025-08-12T00:00:00"/>
    <d v="2025-12-09T00:00:00"/>
    <n v="1024912.96"/>
    <m/>
    <n v="1098706.69"/>
    <n v="7.2"/>
    <s v="Above"/>
    <s v="Ten Lakh Ninety Eight Thousand Seven Hundred Six Rupees and Sixty Nine Paise Only"/>
    <s v="Division"/>
    <m/>
    <n v="1098706.69"/>
    <x v="70"/>
    <s v="C. K. Vaniya"/>
    <s v="Dhuliya Pir Vali Sheri, At Sedarda, Ta. Mahuva, Dist. Bhavnagar - 364280"/>
    <n v="9978990613"/>
    <m/>
    <m/>
    <m/>
    <m/>
    <m/>
    <n v="3"/>
    <n v="55000"/>
    <d v="2027-03-25T00:00:00"/>
    <n v="2700"/>
    <n v="0"/>
    <d v="2026-02-03T00:00:00"/>
    <d v="2027-01-24T00:00:00"/>
    <m/>
    <d v="2025-09-15T00:00:00"/>
    <m/>
    <m/>
    <m/>
    <m/>
    <m/>
    <m/>
    <m/>
    <m/>
    <m/>
    <m/>
    <m/>
    <m/>
    <m/>
    <d v="2025-10-01T00:00:00"/>
    <m/>
    <m/>
    <m/>
    <m/>
    <m/>
    <m/>
    <m/>
    <m/>
    <m/>
  </r>
  <r>
    <n v="332"/>
    <m/>
    <s v="2025-26"/>
    <n v="14"/>
    <n v="51"/>
    <s v="Construction of Nandghar (Anganvadi) Building at Village Gundarani Tal. Mahuva Dist. Bhavnagar"/>
    <m/>
    <s v="Mahuva"/>
    <s v="Mahuva"/>
    <s v="Building"/>
    <s v="Anganvadi"/>
    <n v="211875"/>
    <m/>
    <d v="2025-08-03T00:00:00"/>
    <d v="2025-08-11T00:00:00"/>
    <d v="2025-08-12T00:00:00"/>
    <d v="2025-12-09T00:00:00"/>
    <n v="1024912.96"/>
    <m/>
    <n v="991398.31"/>
    <n v="-3.27"/>
    <s v="Below"/>
    <s v="Nine Lakh Ninety One Thousand Three Hundred Ninety Eight Rupees and Thirty One Paise Only"/>
    <s v="Division"/>
    <m/>
    <n v="991398.31"/>
    <x v="67"/>
    <n v="0"/>
    <s v="Plot No. 233, Nu.N.Yo. No.3, Near Muni Nagar, Mahuva"/>
    <n v="9824837530"/>
    <m/>
    <m/>
    <m/>
    <m/>
    <m/>
    <n v="3"/>
    <n v="50000"/>
    <d v="2027-03-25T00:00:00"/>
    <n v="2500"/>
    <n v="0"/>
    <d v="2026-02-03T00:00:00"/>
    <d v="2027-01-24T00:00:00"/>
    <n v="1332"/>
    <d v="2025-09-15T00:00:00"/>
    <m/>
    <m/>
    <m/>
    <m/>
    <m/>
    <m/>
    <m/>
    <m/>
    <m/>
    <m/>
    <m/>
    <m/>
    <m/>
    <d v="2025-10-01T00:00:00"/>
    <m/>
    <m/>
    <m/>
    <m/>
    <m/>
    <m/>
    <m/>
    <m/>
    <m/>
  </r>
  <r>
    <n v="333"/>
    <m/>
    <s v="2025-26"/>
    <n v="14"/>
    <n v="52"/>
    <s v="Construction of Nandghar (Anganvadi) Building at Village Mota Malpara, Ta. Mahuva Dist. Bhavnagar"/>
    <m/>
    <s v="Mahuva"/>
    <s v="Mahuva"/>
    <s v="Building"/>
    <s v="Anganvadi"/>
    <n v="211876"/>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34"/>
    <m/>
    <s v="2025-26"/>
    <n v="14"/>
    <n v="53"/>
    <s v="Construction of Nandghar (Anganvadi) Building at Village Mota Khuntvada-3 Tal. Mahuva Dist. Bhavnagar"/>
    <m/>
    <s v="Mahuva"/>
    <s v="Mahuva"/>
    <s v="Building"/>
    <s v="Anganvadi"/>
    <n v="211877"/>
    <m/>
    <d v="2025-08-03T00:00:00"/>
    <d v="2025-08-11T00:00:00"/>
    <d v="2025-08-12T00:00:00"/>
    <d v="2025-12-09T00:00:00"/>
    <n v="1024912.96"/>
    <m/>
    <n v="1301639.46"/>
    <n v="27"/>
    <s v="Above"/>
    <s v="Thirteen Lakh One Thousand Six Hundred Thirty Nine Rupees and Forty Six Paise Only"/>
    <s v="Division"/>
    <m/>
    <n v="1301639.46"/>
    <x v="70"/>
    <s v="C. K. Vaniya"/>
    <s v="Dhuliya Pir Vali Sheri, At Sedarda, Ta. Mahuva, Dist. Bhavnagar - 364280"/>
    <n v="9978990613"/>
    <m/>
    <m/>
    <m/>
    <m/>
    <m/>
    <n v="3"/>
    <n v="66000"/>
    <d v="2027-03-25T00:00:00"/>
    <n v="3300"/>
    <n v="0"/>
    <d v="2026-02-03T00:00:00"/>
    <d v="2027-01-24T00:00:00"/>
    <m/>
    <d v="2025-09-15T00:00:00"/>
    <m/>
    <m/>
    <m/>
    <m/>
    <m/>
    <m/>
    <m/>
    <m/>
    <m/>
    <m/>
    <m/>
    <m/>
    <m/>
    <d v="2025-10-01T00:00:00"/>
    <m/>
    <m/>
    <m/>
    <m/>
    <m/>
    <m/>
    <m/>
    <m/>
    <m/>
  </r>
  <r>
    <n v="335"/>
    <m/>
    <s v="2025-26"/>
    <n v="14"/>
    <n v="54"/>
    <s v="Construction of Nandghar (Anganvadi) Building at Village Vaghavadarda Tal. Mahuva Dist. Bhavnagar"/>
    <m/>
    <s v="Mahuva"/>
    <s v="Mahuva"/>
    <s v="Building"/>
    <s v="Anganvadi"/>
    <n v="211878"/>
    <m/>
    <d v="2025-08-03T00:00:00"/>
    <d v="2025-08-11T00:00:00"/>
    <d v="2025-08-12T00:00:00"/>
    <d v="2025-12-09T00:00:00"/>
    <n v="1024912.96"/>
    <m/>
    <n v="1012409.02"/>
    <n v="-1.22"/>
    <s v="Below"/>
    <s v="Ten Lakh Twelve Thousand Four Hundred Nine Rupees and Two Paise Only"/>
    <s v="Division"/>
    <m/>
    <n v="1012409.02"/>
    <x v="69"/>
    <n v="0"/>
    <s v="At Modhuka, Ta. Vinchhiya, Dist. Rajkot"/>
    <n v="9723355852"/>
    <m/>
    <m/>
    <m/>
    <m/>
    <m/>
    <n v="3"/>
    <n v="51000"/>
    <d v="2027-03-25T00:00:00"/>
    <n v="2500"/>
    <n v="0"/>
    <d v="2026-02-03T00:00:00"/>
    <d v="2027-01-24T00:00:00"/>
    <n v="1313"/>
    <d v="2025-09-15T00:00:00"/>
    <m/>
    <m/>
    <m/>
    <m/>
    <m/>
    <m/>
    <m/>
    <m/>
    <m/>
    <m/>
    <m/>
    <m/>
    <m/>
    <d v="2025-10-01T00:00:00"/>
    <m/>
    <m/>
    <m/>
    <m/>
    <m/>
    <m/>
    <m/>
    <m/>
    <m/>
  </r>
  <r>
    <n v="336"/>
    <m/>
    <s v="2025-26"/>
    <n v="14"/>
    <n v="55"/>
    <s v="Construction of Nandghar (Anganvadi) Building at Village Dudana Tal. Mahuva Dist. Bhavnagar"/>
    <m/>
    <s v="Mahuva"/>
    <s v="Mahuva"/>
    <s v="Building"/>
    <s v="Anganvadi"/>
    <n v="211879"/>
    <m/>
    <d v="2025-08-03T00:00:00"/>
    <d v="2025-08-11T00:00:00"/>
    <d v="2025-08-12T00:00:00"/>
    <d v="2025-12-09T00:00:00"/>
    <n v="1024912.96"/>
    <m/>
    <n v="990783.36"/>
    <n v="-3.33"/>
    <s v="Below"/>
    <s v="Nine Lakh Ninety Thousand Seven Hundred Eighty Three Rupees and Thirty Six Paise Only"/>
    <s v="Division"/>
    <m/>
    <n v="990783.36"/>
    <x v="16"/>
    <s v="ALIGBHAI LAKHUBHAI BARAL"/>
    <s v="At Bhandariya, Ta. Palitana, Dist. Bhavnagar"/>
    <n v="8780428967"/>
    <m/>
    <m/>
    <m/>
    <m/>
    <m/>
    <n v="3"/>
    <n v="50000"/>
    <d v="2027-04-08T00:00:00"/>
    <n v="2500"/>
    <n v="0"/>
    <d v="2026-02-17T00:00:00"/>
    <d v="2027-02-07T00:00:00"/>
    <n v="1307"/>
    <d v="2025-09-15T00:00:00"/>
    <s v="2025-26"/>
    <n v="186"/>
    <d v="2025-10-13T00:00:00"/>
    <s v="FDR"/>
    <s v="Gujarat Gramin Bank"/>
    <s v="22670300000005"/>
    <n v="50000"/>
    <d v="2025-10-06T00:00:00"/>
    <m/>
    <m/>
    <m/>
    <m/>
    <m/>
    <d v="2025-10-15T00:00:00"/>
    <n v="1470"/>
    <d v="2025-10-13T00:00:00"/>
    <m/>
    <m/>
    <m/>
    <m/>
    <m/>
    <m/>
    <m/>
  </r>
  <r>
    <n v="337"/>
    <m/>
    <s v="2025-26"/>
    <n v="15"/>
    <n v="1"/>
    <s v="Construction of Gram Panchayat office ( for Population from 5000- 10000) at Village Ambla Tal. Shihor Dist. Bhavnagar"/>
    <m/>
    <s v="Shihor"/>
    <s v="Shihor"/>
    <s v="Building"/>
    <s v="Gram Panchayat"/>
    <n v="213142"/>
    <m/>
    <d v="2025-08-06T00:00:00"/>
    <d v="2025-08-18T00:00:00"/>
    <d v="2025-08-19T00:00:00"/>
    <d v="2025-12-16T00:00:00"/>
    <n v="2880130.57"/>
    <m/>
    <n v="2618326.7000000002"/>
    <n v="-9.09"/>
    <s v="Below"/>
    <s v="Twenty Six Lakh Eighteen Thousand Three Hundred Twenty Six Rupees and Seven Paise Only"/>
    <s v="Division"/>
    <m/>
    <n v="2618326.7000000002"/>
    <x v="44"/>
    <s v="Majithiya Dhruvin Nareshbhai"/>
    <s v="82/1, Bajaran Society, Near Gayatri Temple, Chitra, Bhavnagar-364004"/>
    <n v="8200557028"/>
    <m/>
    <s v="DMF"/>
    <m/>
    <m/>
    <m/>
    <n v="4"/>
    <n v="131000"/>
    <d v="2027-04-24T00:00:00"/>
    <n v="6500"/>
    <n v="0"/>
    <d v="2026-03-05T00:00:00"/>
    <d v="2027-02-23T00:00:00"/>
    <n v="1338"/>
    <d v="2025-09-15T00:00:00"/>
    <m/>
    <m/>
    <m/>
    <m/>
    <m/>
    <m/>
    <m/>
    <m/>
    <m/>
    <m/>
    <m/>
    <m/>
    <m/>
    <d v="2025-10-01T00:00:00"/>
    <m/>
    <m/>
    <m/>
    <m/>
    <m/>
    <m/>
    <m/>
    <m/>
    <m/>
  </r>
  <r>
    <n v="338"/>
    <m/>
    <s v="2025-26"/>
    <n v="15"/>
    <n v="2"/>
    <s v="Construction of Community hall at Shirvaniya Area Village Parwala Tal. Umrala Dist. :- Bhavnagar"/>
    <m/>
    <s v="Umrala"/>
    <s v="Vallabhipur"/>
    <s v="Building"/>
    <s v="Community hall"/>
    <n v="213143"/>
    <m/>
    <d v="2025-08-06T00:00:00"/>
    <d v="2025-08-18T00:00:00"/>
    <d v="2025-08-19T00:00:00"/>
    <d v="2025-12-16T00:00:00"/>
    <n v="577431.24"/>
    <m/>
    <n v="523672.39"/>
    <n v="-9.31"/>
    <s v="Below"/>
    <s v="Five Lakh Twenty Three Thousand Six Hundred Seventy Two Rupees and Thirty Nine Paise Only"/>
    <s v="Division"/>
    <m/>
    <n v="523672.39"/>
    <x v="71"/>
    <s v="Amardipsinh M. Gohil"/>
    <s v="C 1014, Opp. SBI Bank, Kaliyabid, Bhavnagar"/>
    <n v="9426959999"/>
    <m/>
    <s v="MP Grant"/>
    <m/>
    <m/>
    <m/>
    <n v="3"/>
    <n v="27000"/>
    <d v="2027-05-04T00:00:00"/>
    <n v="1400"/>
    <n v="0"/>
    <d v="2026-03-15T00:00:00"/>
    <d v="2027-03-05T00:00:00"/>
    <n v="1412"/>
    <d v="2025-10-03T00:00:00"/>
    <s v="2025-26"/>
    <n v="196"/>
    <d v="2025-11-03T00:00:00"/>
    <s v="FDR"/>
    <s v="State Bank of India"/>
    <n v="44555676058"/>
    <n v="27000"/>
    <d v="2025-10-14T00:00:00"/>
    <m/>
    <m/>
    <m/>
    <m/>
    <m/>
    <d v="2025-11-10T00:00:00"/>
    <n v="1498"/>
    <d v="2025-11-03T00:00:00"/>
    <m/>
    <m/>
    <m/>
    <m/>
    <m/>
    <m/>
    <m/>
  </r>
  <r>
    <n v="339"/>
    <m/>
    <s v="2025-26"/>
    <n v="15"/>
    <n v="3"/>
    <s v="Construction of Community Hall at Aanandpar Village Tal.Gariyadhar Dist. Bhavnagar"/>
    <m/>
    <s v="Gariyadhar"/>
    <s v="Palitana"/>
    <s v="Building"/>
    <s v="Community hall"/>
    <n v="213144"/>
    <m/>
    <d v="2025-08-06T00:00:00"/>
    <d v="2025-08-18T00:00:00"/>
    <d v="2025-08-19T00:00:00"/>
    <d v="2025-12-16T00:00:00"/>
    <n v="828966.94"/>
    <m/>
    <n v="828966.94"/>
    <n v="0"/>
    <s v="Equals"/>
    <s v="Eight Lakh Twenty Eight Thousand Nine Hundred Sixty Six Rupees and Ninety Four Paise Only"/>
    <s v="Division"/>
    <m/>
    <n v="828966.94"/>
    <x v="50"/>
    <s v="JATINKUMAR RAMESHBHAI GOYANI"/>
    <s v="SHOP NO. 3, GROUND FLOOR, PARVADI GAM, GARIYADHAR SANOSARA ROAD, PARAVADI, TA. GARIYADHAR, DIST. BHAVNAGAR-364505"/>
    <n v="9016319324"/>
    <m/>
    <m/>
    <m/>
    <m/>
    <m/>
    <n v="3"/>
    <n v="42000"/>
    <d v="2027-05-25T00:00:00"/>
    <n v="2100"/>
    <n v="0"/>
    <d v="2026-04-05T00:00:00"/>
    <d v="2027-03-26T00:00:00"/>
    <n v="1529"/>
    <d v="2025-11-13T00:00:00"/>
    <m/>
    <m/>
    <m/>
    <m/>
    <m/>
    <m/>
    <m/>
    <m/>
    <m/>
    <m/>
    <m/>
    <m/>
    <m/>
    <d v="2025-12-01T00:00:00"/>
    <m/>
    <m/>
    <m/>
    <m/>
    <m/>
    <m/>
    <m/>
    <m/>
    <m/>
  </r>
  <r>
    <n v="340"/>
    <m/>
    <s v="2025-26"/>
    <n v="15"/>
    <n v="4"/>
    <s v="Construction of Nandghar (Anganvadi) Building at Tarakpaladi Tal. Shihor Dist. Bhavnagar"/>
    <m/>
    <s v="Shihor"/>
    <s v="Shihor"/>
    <s v="Building"/>
    <s v="Anganvadi"/>
    <n v="213145"/>
    <m/>
    <d v="2025-08-06T00:00:00"/>
    <d v="2025-08-18T00:00:00"/>
    <d v="2025-08-19T00:00:00"/>
    <d v="2025-12-16T00:00:00"/>
    <n v="1024912.96"/>
    <m/>
    <n v="843400.87"/>
    <n v="-17.71"/>
    <s v="Below"/>
    <s v="Eight Lakh Forty Three Thousand Four Hundred Rupees and Eighty Seven Paise Only"/>
    <s v="Division"/>
    <m/>
    <n v="843400.87"/>
    <x v="72"/>
    <n v="0"/>
    <s v="F/107, Eva Surabhi Complex, Opp. Aksharvadi Temple, Waghavadi Road, Bhavnagar - 364001"/>
    <n v="7984929295"/>
    <m/>
    <m/>
    <m/>
    <m/>
    <m/>
    <n v="3"/>
    <n v="43000"/>
    <d v="2027-04-08T00:00:00"/>
    <n v="2900"/>
    <n v="16000"/>
    <d v="2026-02-17T00:00:00"/>
    <d v="2027-02-07T00:00:00"/>
    <n v="1355"/>
    <d v="2025-09-22T00:00:00"/>
    <s v="2025-26"/>
    <n v="191"/>
    <d v="2025-10-13T00:00:00"/>
    <s v="FDR"/>
    <s v="State Bank of India"/>
    <n v="44527007513"/>
    <n v="43000"/>
    <d v="2025-10-04T00:00:00"/>
    <s v="FDR"/>
    <s v="State Bank of India"/>
    <n v="44527009054"/>
    <n v="16000"/>
    <d v="2025-10-04T00:00:00"/>
    <d v="2025-10-15T00:00:00"/>
    <n v="1475"/>
    <d v="2025-10-13T00:00:00"/>
    <m/>
    <m/>
    <m/>
    <m/>
    <m/>
    <m/>
    <m/>
  </r>
  <r>
    <n v="341"/>
    <m/>
    <s v="2025-26"/>
    <n v="15"/>
    <n v="5"/>
    <s v="Construction of CD Work on the Road from Vadal village in Palitana taluka to Kotiya village in Mahuva taluka Ta.:- Palitana, Dist.:- Bhavnagar"/>
    <m/>
    <s v="Palitana"/>
    <s v="Palitana"/>
    <s v="Road"/>
    <m/>
    <n v="213149"/>
    <m/>
    <d v="2025-08-06T00:00:00"/>
    <d v="2025-08-18T00:00:00"/>
    <d v="2025-08-19T00:00:00"/>
    <d v="2025-12-16T00:00:00"/>
    <n v="1257594.95"/>
    <m/>
    <n v="990859.06"/>
    <n v="-21.21"/>
    <s v="Below"/>
    <s v="Nine Lakh Ninety Thousand Eight Hundred Fifty Nine Rupees and Six Paise Only"/>
    <s v="Division"/>
    <m/>
    <n v="990859.06"/>
    <x v="16"/>
    <s v="ALIGBHAI LAKHUBHAI BARAL"/>
    <s v="At Bhandariya, Ta. Palitana, Dist. Bhavnagar"/>
    <n v="8780428967"/>
    <m/>
    <s v="15% Vivekadhin"/>
    <m/>
    <m/>
    <m/>
    <n v="1"/>
    <n v="50000"/>
    <d v="2027-02-07T00:00:00"/>
    <n v="4600"/>
    <n v="43000"/>
    <d v="2025-12-19T00:00:00"/>
    <d v="2026-12-09T00:00:00"/>
    <n v="1335"/>
    <d v="2025-09-15T00:00:00"/>
    <s v="2025-26"/>
    <n v="185"/>
    <d v="2025-10-13T00:00:00"/>
    <s v="FDR"/>
    <s v="Gujarat Gramin Bank"/>
    <s v="22670300000001"/>
    <n v="50000"/>
    <d v="2025-10-06T00:00:00"/>
    <s v="FDR"/>
    <s v="Gujarat Gramin Bank"/>
    <s v="22670300000002"/>
    <n v="43000"/>
    <d v="2025-10-06T00:00:00"/>
    <d v="2025-10-15T00:00:00"/>
    <n v="1469"/>
    <d v="2025-10-13T00:00:00"/>
    <m/>
    <m/>
    <m/>
    <m/>
    <m/>
    <m/>
    <m/>
  </r>
  <r>
    <n v="342"/>
    <m/>
    <s v="2025-26"/>
    <n v="15"/>
    <n v="6"/>
    <s v="Providing wire fencing At Songadh rest house compus At. Shihor Dist. Bhavnagar"/>
    <m/>
    <s v="Shihor"/>
    <s v="Shihor"/>
    <s v="Repair Building"/>
    <s v="Rest House"/>
    <n v="213305"/>
    <m/>
    <d v="2025-08-06T00:00:00"/>
    <d v="2025-08-18T00:00:00"/>
    <d v="2025-08-19T00:00:00"/>
    <d v="2025-12-16T00:00:00"/>
    <n v="202031.85"/>
    <m/>
    <n v="183101.47"/>
    <n v="-9.3699999999999992"/>
    <s v="Below"/>
    <s v="One Lakh Eighty Three Thousand One Hundred One Rupees and Forty Seven Paise Only"/>
    <s v="Division"/>
    <m/>
    <n v="183101.47"/>
    <x v="50"/>
    <s v="JATINKUMAR RAMESHBHAI GOYANI"/>
    <s v="SHOP NO. 3, GROUND FLOOR, PARVADI GAM, GARIYADHAR SANOSARA ROAD, PARAVADI, TA. GARIYADHAR, DIST. BHAVNAGAR-364505"/>
    <n v="9016319324"/>
    <m/>
    <m/>
    <m/>
    <m/>
    <m/>
    <n v="1"/>
    <n v="10000"/>
    <d v="2027-01-24T00:00:00"/>
    <n v="500"/>
    <n v="0"/>
    <d v="2025-12-05T00:00:00"/>
    <d v="2026-11-25T00:00:00"/>
    <n v="1336"/>
    <d v="2025-09-15T00:00:00"/>
    <m/>
    <m/>
    <m/>
    <m/>
    <m/>
    <m/>
    <m/>
    <m/>
    <m/>
    <m/>
    <m/>
    <m/>
    <m/>
    <d v="2025-10-01T00:00:00"/>
    <m/>
    <m/>
    <m/>
    <m/>
    <m/>
    <m/>
    <m/>
    <m/>
    <m/>
  </r>
  <r>
    <n v="343"/>
    <m/>
    <s v="2025-26"/>
    <n v="15"/>
    <n v="7"/>
    <s v="Construction of CD Works on Thoradi villlage to High school Road (NP) Ta. Bhavnagar Dist. Bhavnagar"/>
    <m/>
    <s v="Bhavnagar"/>
    <s v="Bhavnagar"/>
    <s v="Road"/>
    <m/>
    <n v="213308"/>
    <m/>
    <d v="2025-08-06T00:00:00"/>
    <d v="2025-08-18T00:00:00"/>
    <d v="2025-08-19T00:00:00"/>
    <d v="2025-12-16T00:00:00"/>
    <n v="2473582.67"/>
    <m/>
    <n v="1709740.34"/>
    <n v="-30.88"/>
    <s v="Below"/>
    <s v="Seventeen Lakh Nine Thousand Seven Hundred Forty Rupees and Thirty Four Paise Only"/>
    <s v="Division"/>
    <m/>
    <n v="1709740.34"/>
    <x v="37"/>
    <s v="Sanjaysinh Rajendrasinh Gohil"/>
    <s v="184, Darbar Street, Wadi Area, Navagam (Nana) Ta. Ghogha. Dist. Bhavnagar"/>
    <n v="9624751929"/>
    <m/>
    <m/>
    <m/>
    <m/>
    <m/>
    <n v="1"/>
    <n v="86000"/>
    <d v="2027-01-24T00:00:00"/>
    <n v="11900"/>
    <n v="155000"/>
    <d v="2025-12-05T00:00:00"/>
    <d v="2026-11-25T00:00:00"/>
    <n v="1337"/>
    <d v="2025-09-15T00:00:00"/>
    <m/>
    <m/>
    <m/>
    <m/>
    <m/>
    <m/>
    <m/>
    <m/>
    <m/>
    <m/>
    <m/>
    <m/>
    <m/>
    <d v="2025-10-01T00:00:00"/>
    <m/>
    <m/>
    <m/>
    <m/>
    <m/>
    <m/>
    <m/>
    <m/>
    <m/>
  </r>
  <r>
    <n v="344"/>
    <m/>
    <s v="2025-26"/>
    <n v="15"/>
    <n v="8"/>
    <s v="Construction of Bus Stand of Ambla Tal. Sihor Dist. Bhavnagar"/>
    <m/>
    <s v="Shihor"/>
    <s v="Shihor"/>
    <s v="Building"/>
    <s v="Bus Stand"/>
    <n v="213311"/>
    <m/>
    <d v="2025-08-06T00:00:00"/>
    <d v="2025-08-18T00:00:00"/>
    <d v="2025-08-19T00:00:00"/>
    <d v="2025-12-16T00:00:00"/>
    <n v="836769.5"/>
    <m/>
    <n v="768740.14"/>
    <n v="-8.1300000000000008"/>
    <s v="Below"/>
    <s v="Seven Lakh Sixty Eight Thousand Seven Hundred Forty Rupees and Fourteen Paise Only"/>
    <s v="Division"/>
    <m/>
    <n v="768740.14"/>
    <x v="71"/>
    <s v="Amardipsinh M. Gohil"/>
    <s v="C 1014, Opp. SBI Bank, Kaliyabid, Bhavnagar"/>
    <n v="9426959999"/>
    <m/>
    <s v="MP Grant"/>
    <m/>
    <m/>
    <m/>
    <n v="2"/>
    <n v="39000"/>
    <d v="2027-04-04T00:00:00"/>
    <n v="2000"/>
    <n v="0"/>
    <d v="2026-02-13T00:00:00"/>
    <d v="2027-02-03T00:00:00"/>
    <n v="1417"/>
    <d v="2025-10-03T00:00:00"/>
    <s v="2025-26"/>
    <n v="195"/>
    <d v="2025-11-03T00:00:00"/>
    <s v="FDR"/>
    <s v="State Bank of India"/>
    <n v="44564950237"/>
    <n v="39000"/>
    <d v="2025-10-17T00:00:00"/>
    <m/>
    <m/>
    <m/>
    <m/>
    <m/>
    <d v="2025-11-10T00:00:00"/>
    <n v="1497"/>
    <d v="2025-11-03T00:00:00"/>
    <m/>
    <m/>
    <m/>
    <m/>
    <m/>
    <m/>
    <m/>
  </r>
  <r>
    <n v="345"/>
    <m/>
    <s v="2025-26"/>
    <n v="15"/>
    <n v="9"/>
    <s v="Repairing of Vallabhipur Deputy executive engineer Quarter at Vallabhipur Taluka Dist:- Bhavnagar"/>
    <m/>
    <s v="Vallabhipur"/>
    <s v="Vallabhipur"/>
    <s v="Building"/>
    <s v="Quarters"/>
    <n v="213314"/>
    <m/>
    <d v="2025-08-06T00:00:00"/>
    <d v="2025-08-18T00:00:00"/>
    <d v="2025-08-19T00:00:00"/>
    <d v="2025-12-16T00:00:00"/>
    <n v="684906.78"/>
    <m/>
    <n v="659085.79"/>
    <n v="-3.77"/>
    <s v="Below"/>
    <s v="Six Lakh Fifty Nine Thousand Eighty Five Rupees and Seventy Nine Paise Only"/>
    <s v="Division"/>
    <m/>
    <n v="659085.79"/>
    <x v="73"/>
    <n v="0"/>
    <s v="House No.757, Nr. Ramdevpir Mandir Temple, Dihor, Talaja, Bhavnagar-364150"/>
    <n v="0"/>
    <m/>
    <m/>
    <m/>
    <m/>
    <m/>
    <n v="3"/>
    <n v="33000"/>
    <d v="2027-03-25T00:00:00"/>
    <n v="1700"/>
    <n v="0"/>
    <d v="2026-02-03T00:00:00"/>
    <d v="2027-01-24T00:00:00"/>
    <n v="1334"/>
    <d v="2025-09-15T00:00:00"/>
    <m/>
    <m/>
    <m/>
    <m/>
    <m/>
    <m/>
    <m/>
    <m/>
    <m/>
    <m/>
    <m/>
    <m/>
    <m/>
    <d v="2025-10-01T00:00:00"/>
    <m/>
    <m/>
    <m/>
    <m/>
    <m/>
    <m/>
    <m/>
    <m/>
    <m/>
  </r>
  <r>
    <n v="346"/>
    <m/>
    <s v="2025-26"/>
    <n v="15"/>
    <n v="10"/>
    <s v="Construction of CD Work on At Bagad River the Road from Ralgon village in Talaja taluka to Kotiya village in Mahuva taluka Road (NP) Ta.:- Talaja, Dist.:- Bhavnagar"/>
    <m/>
    <s v="Talaja"/>
    <s v="Talaja"/>
    <s v="Road"/>
    <m/>
    <n v="213315"/>
    <m/>
    <d v="2025-08-06T00:00:00"/>
    <d v="2025-08-18T00:00:00"/>
    <d v="2025-08-19T00:00:00"/>
    <d v="2025-12-16T00:00:00"/>
    <n v="1253372.56"/>
    <m/>
    <n v="866331.11"/>
    <n v="-30.88"/>
    <s v="Below"/>
    <s v="Eight Lakh Sixty Six Thousand Three Hundred Thirty One Rupees and Eleven Paise Only"/>
    <s v="Division"/>
    <m/>
    <n v="866331.11"/>
    <x v="37"/>
    <s v="Sanjaysinh Rajendrasinh Gohil"/>
    <s v="184, Darbar Street, Wadi Area, Navagam (Nana) Ta. Ghogha. Dist. Bhavnagar"/>
    <n v="9624751929"/>
    <m/>
    <m/>
    <m/>
    <m/>
    <m/>
    <n v="1"/>
    <n v="44000"/>
    <d v="2027-01-24T00:00:00"/>
    <n v="6100"/>
    <n v="79000"/>
    <d v="2025-12-05T00:00:00"/>
    <d v="2026-11-25T00:00:00"/>
    <n v="1339"/>
    <d v="2025-09-15T00:00:00"/>
    <m/>
    <m/>
    <m/>
    <m/>
    <m/>
    <m/>
    <m/>
    <m/>
    <m/>
    <m/>
    <m/>
    <m/>
    <m/>
    <d v="2025-10-01T00:00:00"/>
    <m/>
    <m/>
    <m/>
    <m/>
    <m/>
    <m/>
    <m/>
    <m/>
    <m/>
  </r>
  <r>
    <n v="347"/>
    <m/>
    <s v="2025-26"/>
    <n v="15"/>
    <n v="11"/>
    <s v="Construction of C.C. Road Tirupati temple Road Joining to Ambla-Kumbhan Road Ta.:- Shihor, Dist.:- Bhavnagar"/>
    <m/>
    <s v="Shihor"/>
    <s v="Shihor"/>
    <s v="Road"/>
    <m/>
    <n v="213317"/>
    <m/>
    <d v="2025-08-06T00:00:00"/>
    <d v="2025-08-18T00:00:00"/>
    <d v="2025-08-19T00:00:00"/>
    <d v="2025-12-16T00:00:00"/>
    <n v="669356.71"/>
    <m/>
    <n v="476046.49"/>
    <n v="-28.88"/>
    <s v="Below"/>
    <s v="Four Lakh Seventy Six Thousand Forty Six Rupees and Forty Nine Paise Only"/>
    <s v="Division"/>
    <m/>
    <n v="476046.49"/>
    <x v="71"/>
    <s v="Amardipsinh M. Gohil"/>
    <s v="C 1014, Opp. SBI Bank, Kaliyabid, Bhavnagar"/>
    <n v="9426959999"/>
    <m/>
    <s v="15% Vivekadhin"/>
    <m/>
    <m/>
    <m/>
    <n v="1"/>
    <n v="24000"/>
    <d v="2027-03-05T00:00:00"/>
    <n v="3100"/>
    <n v="38000"/>
    <d v="2026-01-14T00:00:00"/>
    <d v="2027-01-04T00:00:00"/>
    <n v="1356"/>
    <d v="2025-09-22T00:00:00"/>
    <s v="2025-26"/>
    <n v="194"/>
    <d v="2025-11-03T00:00:00"/>
    <s v="FDR"/>
    <s v="State Bank of India"/>
    <n v="44537744624"/>
    <n v="24000"/>
    <d v="2025-10-08T00:00:00"/>
    <s v="FDR"/>
    <s v="State Bank of India"/>
    <n v="44564969511"/>
    <n v="38000"/>
    <d v="2025-10-17T00:00:00"/>
    <d v="2025-11-10T00:00:00"/>
    <n v="1496"/>
    <d v="2025-11-03T00:00:00"/>
    <m/>
    <m/>
    <m/>
    <m/>
    <m/>
    <m/>
    <m/>
  </r>
  <r>
    <n v="348"/>
    <m/>
    <s v="2025-26"/>
    <n v="15"/>
    <n v="12"/>
    <s v="Construction of Taluka Panchayat Building at Mahuva, Dist. Bhavnagar"/>
    <m/>
    <s v="Mahuva"/>
    <s v="Mahuva"/>
    <s v="Building"/>
    <s v="Taluka Panchayat"/>
    <n v="213371"/>
    <m/>
    <d v="2025-08-06T00:00:00"/>
    <d v="2025-08-18T00:00:00"/>
    <d v="2025-08-19T00:00:00"/>
    <d v="2025-12-16T00:00:00"/>
    <m/>
    <s v="Yes"/>
    <m/>
    <m/>
    <s v="Equals"/>
    <s v="Zero Rupees Only"/>
    <s v="Division"/>
    <m/>
    <n v="0"/>
    <x v="3"/>
    <n v="0"/>
    <n v="0"/>
    <n v="0"/>
    <m/>
    <m/>
    <m/>
    <m/>
    <m/>
    <m/>
    <n v="0"/>
    <d v="1901-03-25T00:00:00"/>
    <n v="0"/>
    <n v="0"/>
    <d v="1900-02-03T00:00:00"/>
    <d v="1901-01-24T00:00:00"/>
    <m/>
    <m/>
    <m/>
    <m/>
    <m/>
    <m/>
    <m/>
    <m/>
    <m/>
    <m/>
    <m/>
    <m/>
    <m/>
    <m/>
    <m/>
    <m/>
    <m/>
    <m/>
    <m/>
    <m/>
    <m/>
    <m/>
    <m/>
    <m/>
    <m/>
  </r>
  <r>
    <n v="349"/>
    <m/>
    <s v="2025-26"/>
    <n v="15"/>
    <n v="13"/>
    <s v="Construction of Kerala to Mangela Road (NP) Ch.0/000 to 4/000 (Sec.0/000-3/200) Ta.Talaja , Dist.; Bhavnagar. (Under MMGSY-Normal-2024-25) "/>
    <m/>
    <s v="Talaja"/>
    <s v="Talaja"/>
    <s v="Road"/>
    <m/>
    <n v="213388"/>
    <m/>
    <d v="2025-08-06T00:00:00"/>
    <d v="2025-08-18T00:00:00"/>
    <d v="2025-08-19T00:00:00"/>
    <d v="2025-12-16T00:00:00"/>
    <n v="21756202.609999999"/>
    <m/>
    <n v="21031721.059999999"/>
    <n v="-3.33"/>
    <s v="Below"/>
    <s v="Two Crore Ten Lakh Thirty One Thousand Seven Hundred Twenty One Rupees and Six Paise Only"/>
    <s v="Government"/>
    <m/>
    <n v="21031721.059999999"/>
    <x v="0"/>
    <s v="BHADRESHSINH BHAGWATSING GOHIL"/>
    <s v="A/8, AKSHARDEEP COMPLEX, OPP. DEEPAK MEMORIAL HALL, SANSKAR MANDAL, BHAVNAGAR-364002"/>
    <n v="9925209999"/>
    <m/>
    <m/>
    <s v="Road and Building Department, Ganghinagar"/>
    <s v="RBD/TRF/e-file/16/2025/5428/Section D1"/>
    <d v="2025-09-10T00:00:00"/>
    <m/>
    <n v="1052000"/>
    <d v="1903-03-15T00:00:00"/>
    <n v="51600"/>
    <n v="0"/>
    <d v="1900-02-03T00:00:00"/>
    <d v="1903-01-14T00:00:00"/>
    <m/>
    <m/>
    <m/>
    <m/>
    <m/>
    <m/>
    <m/>
    <m/>
    <m/>
    <m/>
    <m/>
    <m/>
    <m/>
    <m/>
    <m/>
    <m/>
    <m/>
    <m/>
    <m/>
    <m/>
    <m/>
    <m/>
    <m/>
    <m/>
    <m/>
  </r>
  <r>
    <n v="350"/>
    <m/>
    <s v="2025-26"/>
    <n v="15"/>
    <n v="14"/>
    <s v=" Construction of Vejodari to Mangela Road (NP) Ch.0/000 to 2/250 Ta.Talaja , Dist.; Bhavnagar. (Under MMGSY-Normal2024-25)"/>
    <m/>
    <s v="Talaja"/>
    <s v="Talaja"/>
    <s v="Road"/>
    <m/>
    <n v="213397"/>
    <m/>
    <d v="2025-08-06T00:00:00"/>
    <d v="2025-08-18T00:00:00"/>
    <d v="2025-08-19T00:00:00"/>
    <d v="2025-12-16T00:00:00"/>
    <n v="13636075.76"/>
    <m/>
    <n v="13181994.439999999"/>
    <n v="-3.33"/>
    <s v="Below"/>
    <s v="One Crore Thirty One Lakh Eighty One Thousand Nine Hundred Ninety Four Rupees and Forty Four Paise Only"/>
    <s v="Circle"/>
    <m/>
    <n v="13181994.439999999"/>
    <x v="0"/>
    <s v="BHADRESHSINH BHAGWATSING GOHIL"/>
    <s v="A/8, AKSHARDEEP COMPLEX, OPP. DEEPAK MEMORIAL HALL, SANSKAR MANDAL, BHAVNAGAR-364002"/>
    <n v="9925209999"/>
    <m/>
    <s v="5054 MMGSY NORMAL"/>
    <s v="Superintending Engineer, Panchayat Road and Building Circle-2, Rajkot"/>
    <s v="RPC-2/Tender/Bhavbagar/259"/>
    <d v="2025-09-03T00:00:00"/>
    <n v="6"/>
    <n v="660000"/>
    <d v="2029-07-13T00:00:00"/>
    <n v="32400"/>
    <n v="0"/>
    <d v="2026-06-04T00:00:00"/>
    <d v="2029-05-14T00:00:00"/>
    <n v="1418"/>
    <d v="2025-10-03T00:00:00"/>
    <m/>
    <m/>
    <m/>
    <m/>
    <m/>
    <m/>
    <m/>
    <m/>
    <m/>
    <m/>
    <m/>
    <m/>
    <m/>
    <d v="2025-11-01T00:00:00"/>
    <m/>
    <m/>
    <m/>
    <m/>
    <m/>
    <m/>
    <m/>
    <m/>
    <m/>
  </r>
  <r>
    <n v="351"/>
    <m/>
    <s v="2025-26"/>
    <n v="16"/>
    <n v="1"/>
    <s v="Empanelment of service_x000a_Providing from consultants for Tender Uploading, Tender opening, and Prepare_x000a_Tender approval proposal under R&amp;B (Panchayat) Division, Bhavnagar"/>
    <m/>
    <s v="Bhavnagar"/>
    <s v="Bhavnagar"/>
    <m/>
    <m/>
    <m/>
    <m/>
    <m/>
    <m/>
    <m/>
    <d v="1900-04-29T00:00:00"/>
    <m/>
    <m/>
    <m/>
    <m/>
    <s v="Equals"/>
    <s v="Zero Rupees Only"/>
    <s v="Division"/>
    <m/>
    <n v="0"/>
    <x v="3"/>
    <n v="0"/>
    <n v="0"/>
    <n v="0"/>
    <m/>
    <m/>
    <m/>
    <m/>
    <m/>
    <m/>
    <n v="0"/>
    <d v="1901-03-25T00:00:00"/>
    <n v="0"/>
    <n v="0"/>
    <d v="1900-02-03T00:00:00"/>
    <d v="1901-01-24T00:00:00"/>
    <m/>
    <m/>
    <m/>
    <m/>
    <m/>
    <m/>
    <m/>
    <m/>
    <m/>
    <m/>
    <m/>
    <m/>
    <m/>
    <m/>
    <m/>
    <m/>
    <m/>
    <m/>
    <m/>
    <m/>
    <m/>
    <m/>
    <m/>
    <m/>
    <m/>
  </r>
  <r>
    <n v="352"/>
    <m/>
    <s v="2025-26"/>
    <n v="17"/>
    <n v="1"/>
    <s v="Construction of Taluka panchayat office Building At : Mahuva, Dist : Bhavnagar"/>
    <m/>
    <s v="Mahuva"/>
    <s v="Mahuva"/>
    <m/>
    <m/>
    <n v="221189"/>
    <n v="2"/>
    <d v="2025-09-03T00:00:00"/>
    <d v="2025-09-15T00:00:00"/>
    <d v="2025-09-16T00:00:00"/>
    <d v="2026-01-13T00:00:00"/>
    <n v="32612005.170000002"/>
    <m/>
    <n v="26901643.059999999"/>
    <n v="-17.510000000000002"/>
    <s v="Below"/>
    <s v="Two Crore Sixty Nine Lakh One Thousand Six Hundred Forty Three Rupees and Six Paise Only"/>
    <s v="Government"/>
    <m/>
    <n v="26901643.059999999"/>
    <x v="74"/>
    <n v="0"/>
    <s v="309, 3rd Floor, Asopalav Triangle, 40-50 Feet Road Corner, (Punitnagar) Near Khodal Chok, Opp. Satyam Hills, Mavdi- Rajkot - 364004"/>
    <n v="9824351508"/>
    <m/>
    <s v="CDP-3"/>
    <s v="Road and Building Department, Ganghinagar"/>
    <s v="RBD/TRF/e-file/16/2025/6192/Section D1"/>
    <d v="2025-10-08T00:00:00"/>
    <n v="11"/>
    <n v="1346000"/>
    <d v="2030-01-09T00:00:00"/>
    <n v="90000"/>
    <n v="490000"/>
    <d v="2026-12-01T00:00:00"/>
    <d v="2029-11-10T00:00:00"/>
    <n v="1513"/>
    <d v="2025-11-11T00:00:00"/>
    <m/>
    <m/>
    <m/>
    <m/>
    <m/>
    <m/>
    <m/>
    <m/>
    <m/>
    <m/>
    <m/>
    <m/>
    <m/>
    <d v="2025-12-01T00:00:00"/>
    <m/>
    <m/>
    <m/>
    <m/>
    <m/>
    <m/>
    <m/>
    <m/>
    <m/>
  </r>
  <r>
    <n v="353"/>
    <m/>
    <s v="2025-26"/>
    <n v="17"/>
    <n v="2"/>
    <s v="Widening &amp; Strengthening of Sathara to Unchakotda Road (MDR) Km.0/00-17/900_x000a_Ta. Mahuva Dist. Bhavnagar (Under MMGSY Yojna (Normal) Year 2024-25)"/>
    <m/>
    <m/>
    <e v="#N/A"/>
    <m/>
    <m/>
    <n v="221190"/>
    <n v="2"/>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54"/>
    <m/>
    <s v="2025-26"/>
    <n v="17"/>
    <n v="3"/>
    <s v="Construction of Minor Bridge on Tared to Belampar Road (ODR) At. Km.0/200 Ta.Mahuva , Dist.; Bhavnagar. (Under MMGSY-Normal-2025-26) "/>
    <m/>
    <s v="Mahuva"/>
    <s v="Mahuva"/>
    <m/>
    <m/>
    <n v="221192"/>
    <n v="1"/>
    <d v="2025-09-03T00:00:00"/>
    <d v="2025-09-15T00:00:00"/>
    <d v="2025-09-16T00:00:00"/>
    <d v="2026-01-13T00:00:00"/>
    <n v="11756762.73"/>
    <m/>
    <n v="9142058.6999999993"/>
    <n v="-22.24"/>
    <s v="Below"/>
    <s v="Ninety One Lakh Forty Two Thousand Fifty Eight Rupees and Seven Paise Only"/>
    <s v="Circle"/>
    <m/>
    <n v="9142058.6999999993"/>
    <x v="75"/>
    <n v="0"/>
    <s v="C-165, Pramukh Chhaya Raw House Society, Puma Simada Road, Puna Gam, Surat"/>
    <n v="0"/>
    <d v="2025-09-24T00:00:00"/>
    <s v="5054 MMGSY NORMAL"/>
    <s v="Superintending Engineer, Panchayat Road and Building Circle-2, Rajkot"/>
    <s v="RPC-2/Tender/Bhavbagar/311"/>
    <d v="2025-10-03T00:00:00"/>
    <n v="6"/>
    <n v="458000"/>
    <d v="2029-08-12T00:00:00"/>
    <n v="43700"/>
    <n v="432000"/>
    <d v="2026-07-04T00:00:00"/>
    <d v="2029-06-13T00:00:00"/>
    <n v="1515"/>
    <d v="2025-11-11T00:00:00"/>
    <m/>
    <m/>
    <m/>
    <m/>
    <m/>
    <m/>
    <m/>
    <m/>
    <m/>
    <m/>
    <m/>
    <m/>
    <m/>
    <d v="2025-12-01T00:00:00"/>
    <m/>
    <m/>
    <m/>
    <m/>
    <m/>
    <m/>
    <m/>
    <m/>
    <m/>
  </r>
  <r>
    <n v="355"/>
    <m/>
    <s v="2025-26"/>
    <n v="17"/>
    <n v="4"/>
    <s v="Construction of Mota Khokhara to Bambhaniya Road (NP) Km.0/000 to 3/750 Ta.Ghogha, Dist.; Bhavnagar"/>
    <m/>
    <s v="Ghogha"/>
    <s v="Bhavnagar"/>
    <m/>
    <m/>
    <n v="221193"/>
    <n v="1"/>
    <d v="2025-09-03T00:00:00"/>
    <d v="2025-09-15T00:00:00"/>
    <d v="2025-09-16T00:00:00"/>
    <d v="2026-01-13T00:00:00"/>
    <n v="35814664.399999999"/>
    <m/>
    <n v="30023433.170000002"/>
    <n v="-16.170000000000002"/>
    <s v="Below"/>
    <s v="Three Crore Twenty Three Thousand Four Hundred Thirty Three Rupees and Seventeen Paise Only"/>
    <s v="Government"/>
    <m/>
    <n v="30023433.170000002"/>
    <x v="8"/>
    <s v="RANJITBHAI BAHADURBHAI VALA"/>
    <s v="101, SHREEEJI ANAND CORNER, NEAR HDFC BANK, TOWER ROAD, PARA, Dist. BOTAD -364710"/>
    <n v="0"/>
    <d v="2025-09-24T00:00:00"/>
    <s v="5054 MMGSY NORMAL"/>
    <s v="Road and Building Department, Ganghinagar"/>
    <s v="RBD/TRF/e-file/16/2025/6197/Section D1"/>
    <d v="2025-10-08T00:00:00"/>
    <n v="10"/>
    <n v="1502000"/>
    <d v="2029-12-10T00:00:00"/>
    <n v="95300"/>
    <n v="442000"/>
    <d v="2026-11-01T00:00:00"/>
    <d v="2029-10-11T00:00:00"/>
    <n v="1519"/>
    <d v="2025-11-11T00:00:00"/>
    <m/>
    <m/>
    <m/>
    <m/>
    <m/>
    <m/>
    <m/>
    <m/>
    <m/>
    <m/>
    <m/>
    <m/>
    <m/>
    <d v="2025-12-01T00:00:00"/>
    <m/>
    <m/>
    <m/>
    <m/>
    <m/>
    <m/>
    <m/>
    <m/>
    <m/>
  </r>
  <r>
    <n v="356"/>
    <m/>
    <s v="2025-26"/>
    <n v="17"/>
    <n v="5"/>
    <s v="Construction of Bhankhal Road to Pithalpur Road (NP) Km.0/000 to 0/950 Ta.Ghogha , Dist.; Bhavnagar"/>
    <m/>
    <s v="Ghogha"/>
    <s v="Bhavnagar"/>
    <m/>
    <m/>
    <n v="221194"/>
    <n v="1"/>
    <d v="2025-09-03T00:00:00"/>
    <d v="2025-09-15T00:00:00"/>
    <d v="2025-09-16T00:00:00"/>
    <d v="2026-01-13T00:00:00"/>
    <n v="11516943.289999999"/>
    <m/>
    <n v="8274923.75"/>
    <n v="-28.15"/>
    <s v="Below"/>
    <s v="Eighty Two Lakh Seventy Four Thousand Nine Hundred Twenty Three Rupees and Seventy Five Paise Only"/>
    <s v="Circle"/>
    <m/>
    <n v="8274923.75"/>
    <x v="13"/>
    <n v="0"/>
    <s v="Plot No. 13/C, Sheri No. 9, Gurunagar, Behind Chitra Petrol, Bhavnagar 364003 "/>
    <n v="8980580857"/>
    <d v="2025-09-24T00:00:00"/>
    <s v="5054 MMGSY NORMAL"/>
    <s v="Superintending Engineer, Panchayat Road and Building Circle-2, Rajkot"/>
    <s v="RPC-2/Tender/Bhavbagar/312"/>
    <d v="2025-10-03T00:00:00"/>
    <n v="6"/>
    <n v="414000"/>
    <d v="2029-08-12T00:00:00"/>
    <n v="51100"/>
    <n v="628000"/>
    <d v="2026-07-04T00:00:00"/>
    <d v="2029-06-13T00:00:00"/>
    <n v="1521"/>
    <d v="2025-11-11T00:00:00"/>
    <m/>
    <m/>
    <m/>
    <m/>
    <m/>
    <m/>
    <m/>
    <m/>
    <m/>
    <m/>
    <m/>
    <m/>
    <m/>
    <d v="2025-12-01T00:00:00"/>
    <m/>
    <m/>
    <m/>
    <m/>
    <m/>
    <m/>
    <m/>
    <m/>
    <m/>
  </r>
  <r>
    <n v="357"/>
    <m/>
    <s v="2025-26"/>
    <n v="17"/>
    <n v="6"/>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58"/>
    <m/>
    <s v="2025-26"/>
    <n v="17"/>
    <n v="7"/>
    <s v="Resurfacing of Bila to Ugalvan Road (VR) Km.0/000 to 3/500 Ta.Jesar , Dist.; Bhavnagar"/>
    <m/>
    <s v="Jesar"/>
    <s v="Mahuva"/>
    <m/>
    <m/>
    <n v="221196"/>
    <n v="1"/>
    <d v="2025-09-03T00:00:00"/>
    <d v="2025-09-15T00:00:00"/>
    <d v="2025-09-16T00:00:00"/>
    <d v="2026-01-13T00:00:00"/>
    <n v="26285528.350000001"/>
    <m/>
    <n v="24866109.82"/>
    <n v="-5.4"/>
    <s v="Below"/>
    <s v="Two Crore Forty Eight Lakh Sixty Six Thousand One Hundred Nine Rupees and Eighty Two Paise Only"/>
    <s v="Government"/>
    <m/>
    <n v="24866109.82"/>
    <x v="76"/>
    <n v="0"/>
    <s v="Shop No. 40/41, Madhav Complex, Shastrinagar, Bhavnagar"/>
    <n v="9913252525"/>
    <d v="2025-09-24T00:00:00"/>
    <s v="5054 MMGSY NORMAL"/>
    <s v="Road and Building Department, Ganghinagar"/>
    <s v="RBD/TRF/e-file/16/2025/6193/Section D1"/>
    <d v="2025-10-14T00:00:00"/>
    <n v="8"/>
    <n v="1244000"/>
    <d v="2029-10-11T00:00:00"/>
    <n v="61000"/>
    <n v="0"/>
    <d v="2026-09-02T00:00:00"/>
    <d v="2029-08-12T00:00:00"/>
    <n v="1520"/>
    <d v="2025-11-11T00:00:00"/>
    <m/>
    <m/>
    <m/>
    <m/>
    <m/>
    <m/>
    <m/>
    <m/>
    <m/>
    <m/>
    <m/>
    <m/>
    <m/>
    <d v="2025-12-01T00:00:00"/>
    <m/>
    <m/>
    <m/>
    <m/>
    <m/>
    <m/>
    <m/>
    <m/>
    <m/>
  </r>
  <r>
    <n v="359"/>
    <m/>
    <s v="2025-26"/>
    <n v="17"/>
    <n v="8"/>
    <s v="Resurfacing of Jesar Depla Ranigam Road (MDR) Km.0/000 to 9/750 Ta.Jesar, Dist.; Bhavnagar."/>
    <m/>
    <s v="Jesar"/>
    <s v="Mahuva"/>
    <m/>
    <m/>
    <n v="221660"/>
    <n v="1"/>
    <d v="2025-09-03T00:00:00"/>
    <d v="2025-09-15T00:00:00"/>
    <d v="2025-09-16T00:00:00"/>
    <d v="2026-01-13T00:00:00"/>
    <n v="72589353.980000004"/>
    <m/>
    <n v="65337677.520000003"/>
    <n v="-9.99"/>
    <s v="Below"/>
    <s v="Six Crore Fifty Three Lakh Thirty Seven Thousand Six Hundred Seventy Seven Rupees and Fifty Two Paise Only"/>
    <s v="Government"/>
    <m/>
    <n v="65337677.520000003"/>
    <x v="62"/>
    <s v="Not Found"/>
    <s v="Not Found"/>
    <s v="Not Found"/>
    <m/>
    <m/>
    <m/>
    <m/>
    <m/>
    <m/>
    <n v="3267000"/>
    <d v="1903-03-15T00:00:00"/>
    <n v="160100"/>
    <n v="0"/>
    <d v="1900-02-03T00:00:00"/>
    <d v="1903-01-14T00:00:00"/>
    <m/>
    <m/>
    <m/>
    <m/>
    <m/>
    <m/>
    <m/>
    <m/>
    <m/>
    <m/>
    <m/>
    <m/>
    <m/>
    <m/>
    <m/>
    <m/>
    <m/>
    <m/>
    <m/>
    <m/>
    <m/>
    <m/>
    <m/>
    <m/>
    <m/>
  </r>
  <r>
    <n v="360"/>
    <m/>
    <s v="2025-26"/>
    <n v="17"/>
    <n v="9"/>
    <s v="Improvement of Devgana to Kharakadi Road (VRNP) Km.0/000-2/950 Ta.Shihor, Dist.; Bhavnagar"/>
    <m/>
    <s v="Shihor"/>
    <s v="Shihor"/>
    <m/>
    <m/>
    <n v="221197"/>
    <m/>
    <d v="2025-09-03T00:00:00"/>
    <d v="2025-09-15T00:00:00"/>
    <d v="2025-09-16T00:00:00"/>
    <d v="2026-01-13T00:00:00"/>
    <n v="20266356.100000001"/>
    <m/>
    <n v="17019685.850000001"/>
    <n v="-16.02"/>
    <s v="Below"/>
    <s v="One Crore Seventy Lakh Nineteen Thousand Six Hundred Eighty Five Rupees and Eighty Five Paise Only"/>
    <s v="Circle"/>
    <m/>
    <n v="17019685.850000001"/>
    <x v="8"/>
    <s v="RANJITBHAI BAHADURBHAI VALA"/>
    <s v="101, SHREEEJI ANAND CORNER, NEAR HDFC BANK, TOWER ROAD, PARA, Dist. BOTAD -364710"/>
    <n v="0"/>
    <d v="2025-09-24T00:00:00"/>
    <s v="5054 MMGSY NORMAL"/>
    <s v="Road and Building Department, Ganghinagar"/>
    <s v="RBD/TRF/e-file/16/2025/6190/Section D1"/>
    <d v="2025-10-08T00:00:00"/>
    <n v="8"/>
    <n v="851000"/>
    <d v="2029-10-11T00:00:00"/>
    <n v="53800"/>
    <n v="245000"/>
    <d v="2026-09-02T00:00:00"/>
    <d v="2029-08-12T00:00:00"/>
    <n v="1518"/>
    <d v="2025-11-11T00:00:00"/>
    <m/>
    <m/>
    <m/>
    <m/>
    <m/>
    <m/>
    <m/>
    <m/>
    <m/>
    <m/>
    <m/>
    <m/>
    <m/>
    <d v="2025-12-01T00:00:00"/>
    <m/>
    <m/>
    <m/>
    <m/>
    <m/>
    <m/>
    <m/>
    <m/>
    <m/>
  </r>
  <r>
    <n v="361"/>
    <m/>
    <s v="2025-26"/>
    <n v="17"/>
    <n v="10"/>
    <s v="Improvement of Rupavati- Saringpur- Damrala- Paldi -Samdhiyala Road (MDR) Km.0/000-5/450 Ta.Gariyadhar, Dist.; Bhavnagar"/>
    <m/>
    <s v="Gariyadhar"/>
    <s v="Palitana"/>
    <m/>
    <m/>
    <n v="221199"/>
    <n v="1"/>
    <d v="2025-09-03T00:00:00"/>
    <d v="2025-09-15T00:00:00"/>
    <d v="2025-09-16T00:00:00"/>
    <d v="2026-01-13T00:00:00"/>
    <n v="34494645.359999999"/>
    <m/>
    <n v="32321482.699999999"/>
    <n v="-6.3"/>
    <s v="Below"/>
    <s v="Three Crore Twenty Three Lakh Twenty One Thousand Four Hundred Eighty Two Rupees and Seven Paise Only"/>
    <s v="Government"/>
    <m/>
    <n v="32321482.699999999"/>
    <x v="6"/>
    <s v="CHATURBHAI MOHANBHAI VAGHELA"/>
    <s v="MOTI PANIYALI, Via. Po. SHETRUNJI, Ta. PALITANA, Dist. BHAVNAGAR-364270"/>
    <n v="9925448120"/>
    <d v="2025-09-24T00:00:00"/>
    <s v="3054 MMGSY NORMAL "/>
    <s v="Road and Building Department, Ganghinagar"/>
    <s v="RBD/TRF/e-file/16/2025/6191/Section D1"/>
    <d v="2025-10-08T00:00:00"/>
    <n v="10"/>
    <n v="1617000"/>
    <d v="2029-12-10T00:00:00"/>
    <n v="79300"/>
    <n v="0"/>
    <d v="2026-11-01T00:00:00"/>
    <d v="2029-10-11T00:00:00"/>
    <n v="1516"/>
    <d v="2025-11-11T00:00:00"/>
    <m/>
    <m/>
    <m/>
    <m/>
    <m/>
    <m/>
    <m/>
    <m/>
    <m/>
    <m/>
    <m/>
    <m/>
    <m/>
    <d v="2025-12-01T00:00:00"/>
    <m/>
    <m/>
    <m/>
    <m/>
    <m/>
    <m/>
    <m/>
    <m/>
    <m/>
  </r>
  <r>
    <n v="362"/>
    <m/>
    <s v="2025-26"/>
    <n v="17"/>
    <n v="11"/>
    <s v="Improvement of Luvarvav to Bhundarakha Road (VR) Km.0/000-3/300 Ta.Palitana, Dist.; Bhavnagar. "/>
    <m/>
    <s v="Palitana"/>
    <s v="Palitana"/>
    <m/>
    <m/>
    <n v="221201"/>
    <n v="1"/>
    <d v="2025-09-03T00:00:00"/>
    <d v="2025-09-15T00:00:00"/>
    <d v="2025-09-16T00:00:00"/>
    <d v="2026-01-13T00:00:00"/>
    <n v="26757447.239999998"/>
    <m/>
    <n v="22409362.059999999"/>
    <n v="-16.25"/>
    <s v="Below"/>
    <s v="Two Crore Twenty Four Lakh Nine Thousand Three Hundred Sixty Two Rupees and Six Paise Only"/>
    <s v="Government"/>
    <m/>
    <n v="22409362.059999999"/>
    <x v="8"/>
    <s v="RANJITBHAI BAHADURBHAI VALA"/>
    <s v="101, SHREEEJI ANAND CORNER, NEAR HDFC BANK, TOWER ROAD, PARA, Dist. BOTAD -364710"/>
    <n v="0"/>
    <d v="2025-09-24T00:00:00"/>
    <s v="3054 MMGSY NORMAL "/>
    <s v="Road and Building Department, Ganghinagar"/>
    <s v="RBD/TRF/e-file/16/2025/6189/Section D1"/>
    <d v="2025-10-08T00:00:00"/>
    <n v="8"/>
    <n v="1121000"/>
    <d v="2029-10-11T00:00:00"/>
    <n v="71400"/>
    <n v="335000"/>
    <d v="2026-09-02T00:00:00"/>
    <d v="2029-08-12T00:00:00"/>
    <n v="1517"/>
    <d v="2025-11-11T00:00:00"/>
    <m/>
    <m/>
    <m/>
    <m/>
    <m/>
    <m/>
    <m/>
    <m/>
    <m/>
    <m/>
    <m/>
    <m/>
    <m/>
    <d v="2025-12-01T00:00:00"/>
    <m/>
    <m/>
    <m/>
    <m/>
    <m/>
    <m/>
    <m/>
    <m/>
    <m/>
  </r>
  <r>
    <n v="363"/>
    <m/>
    <s v="2025-26"/>
    <n v="17"/>
    <n v="12"/>
    <s v="Construction of Box Culvert on Mahuva Katpar Bhavani Road (MR) Ta.Mahuva , Dist.; Bhavnagar."/>
    <m/>
    <s v="Mahuva"/>
    <s v="Mahuva"/>
    <s v="Road"/>
    <m/>
    <n v="221203"/>
    <n v="1"/>
    <d v="2025-09-03T00:00:00"/>
    <d v="2025-09-15T00:00:00"/>
    <d v="2025-09-16T00:00:00"/>
    <d v="2026-01-13T00:00:00"/>
    <n v="4285849.25"/>
    <m/>
    <n v="3191243.35"/>
    <n v="-25.54"/>
    <s v="Below"/>
    <s v="Thirty One Lakh Ninety One Thousand Two Hundred Forty Three Rupees and Thirty Five Paise Only"/>
    <s v="Division"/>
    <m/>
    <n v="3191243.35"/>
    <x v="75"/>
    <n v="0"/>
    <s v="C-165, Pramukh Chhaya Raw House Society, Puma Simada Road, Puna Gam, Surat"/>
    <n v="0"/>
    <m/>
    <m/>
    <m/>
    <m/>
    <m/>
    <n v="4"/>
    <n v="160000"/>
    <d v="2027-05-25T00:00:00"/>
    <n v="17700"/>
    <n v="200000"/>
    <d v="2026-04-05T00:00:00"/>
    <d v="2027-03-26T00:00:00"/>
    <n v="1415"/>
    <d v="2025-10-03T00:00:00"/>
    <m/>
    <m/>
    <m/>
    <m/>
    <m/>
    <m/>
    <m/>
    <m/>
    <m/>
    <m/>
    <m/>
    <m/>
    <m/>
    <d v="2025-11-01T00:00:00"/>
    <m/>
    <m/>
    <m/>
    <m/>
    <m/>
    <m/>
    <m/>
    <m/>
    <m/>
  </r>
  <r>
    <n v="364"/>
    <m/>
    <s v="2025-26"/>
    <n v="17"/>
    <n v="13"/>
    <s v="Construction of Gram Panchayat office (Frame structure) at Village Paliyad Taluka: Bhavnagar Dist. Bhavnagar"/>
    <m/>
    <s v="Bhavnagar"/>
    <s v="Bhavnagar"/>
    <s v="Building"/>
    <s v="Gram Panchayat"/>
    <n v="221205"/>
    <n v="3"/>
    <d v="2025-09-03T00:00:00"/>
    <d v="2025-09-15T00:00:00"/>
    <d v="2025-09-16T00:00:00"/>
    <d v="2026-01-13T00:00:00"/>
    <n v="2079935.08"/>
    <m/>
    <n v="2048528.06"/>
    <n v="-1.51"/>
    <s v="Below"/>
    <s v="Twenty Lakh Forty Eight Thousand Five Hundred Twenty Eight Rupees and Six Paise Only"/>
    <s v="Division"/>
    <m/>
    <n v="2048528.06"/>
    <x v="17"/>
    <s v="UDAYBHAI RAMKUBHAI LUNSAR"/>
    <s v="Shop No. 5, First Floor, Nilkanth Arcade, Opp. Arjun Tokiz, Palitana Road, Gariyadhar- 364505"/>
    <n v="9824226646"/>
    <m/>
    <m/>
    <m/>
    <m/>
    <m/>
    <n v="4"/>
    <n v="103000"/>
    <d v="2027-05-25T00:00:00"/>
    <n v="5100"/>
    <n v="0"/>
    <d v="2026-04-05T00:00:00"/>
    <d v="2027-03-26T00:00:00"/>
    <n v="1416"/>
    <d v="2025-10-03T00:00:00"/>
    <m/>
    <m/>
    <m/>
    <m/>
    <m/>
    <m/>
    <m/>
    <m/>
    <m/>
    <m/>
    <m/>
    <m/>
    <m/>
    <d v="2025-11-01T00:00:00"/>
    <m/>
    <m/>
    <m/>
    <m/>
    <m/>
    <m/>
    <m/>
    <m/>
    <m/>
  </r>
  <r>
    <n v="365"/>
    <m/>
    <s v="2025-26"/>
    <n v="17"/>
    <n v="14"/>
    <s v=" Construction of Gram Panchayat office (Frame structure) at Village Navagam (Mo) Taluka: Shihor Dist. Bhavnagar"/>
    <m/>
    <s v="Shihor"/>
    <s v="Shihor"/>
    <s v="Building"/>
    <s v="Gram Panchayat"/>
    <n v="221207"/>
    <n v="3"/>
    <d v="2025-09-03T00:00:00"/>
    <d v="2025-09-15T00:00:00"/>
    <d v="2025-09-16T00:00:00"/>
    <d v="2026-01-13T00:00:00"/>
    <n v="2079935.08"/>
    <m/>
    <n v="1979682.21"/>
    <n v="-4.82"/>
    <s v="Below"/>
    <s v="Nineteen Lakh Seventy Nine Thousand Six Hundred Eighty Two Rupees and Twenty One Paise Only"/>
    <s v="Division"/>
    <m/>
    <n v="1979682.21"/>
    <x v="77"/>
    <n v="0"/>
    <s v="Ashapura Garden Restaurant, Near Garibsha pir, Rajkot Road, Sihor, Dist. Bhavnagar"/>
    <n v="0"/>
    <m/>
    <m/>
    <m/>
    <m/>
    <m/>
    <n v="4"/>
    <n v="99000"/>
    <d v="2027-05-25T00:00:00"/>
    <n v="4900"/>
    <n v="0"/>
    <d v="2026-04-05T00:00:00"/>
    <d v="2027-03-26T00:00:00"/>
    <n v="1414"/>
    <d v="2025-10-03T00:00:00"/>
    <m/>
    <m/>
    <m/>
    <m/>
    <m/>
    <m/>
    <m/>
    <m/>
    <m/>
    <m/>
    <m/>
    <m/>
    <m/>
    <d v="2025-11-01T00:00:00"/>
    <m/>
    <m/>
    <m/>
    <m/>
    <m/>
    <m/>
    <m/>
    <m/>
    <m/>
  </r>
  <r>
    <n v="366"/>
    <m/>
    <s v="2025-26"/>
    <n v="17"/>
    <n v="15"/>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67"/>
    <m/>
    <s v="2025-26"/>
    <n v="17"/>
    <n v="16"/>
    <s v="Remaining work Construction of Gram Panchayat office building (Frame structure) At Village Pansada Dist. Bhavnagar_x000a_(Under CDP-2017-18)"/>
    <m/>
    <m/>
    <e v="#N/A"/>
    <m/>
    <m/>
    <n v="221232"/>
    <n v="11"/>
    <d v="2025-09-03T00:00:00"/>
    <d v="2025-09-15T00:00:00"/>
    <d v="2025-09-16T00:00:00"/>
    <d v="2026-01-13T00:00:00"/>
    <n v="907910.21"/>
    <m/>
    <n v="1458103.8"/>
    <n v="60.6"/>
    <s v="Above"/>
    <s v="Fourteen Lakh Fifty Eight Thousand One Hundred Three Rupees and Eight Paise Only"/>
    <s v="Division"/>
    <m/>
    <n v="1458103.8"/>
    <x v="78"/>
    <s v="Not Found"/>
    <s v="Not Found"/>
    <s v="Not Found"/>
    <m/>
    <m/>
    <m/>
    <m/>
    <m/>
    <m/>
    <n v="73000"/>
    <d v="1901-03-25T00:00:00"/>
    <n v="3600"/>
    <n v="0"/>
    <d v="1900-02-03T00:00:00"/>
    <d v="1901-01-24T00:00:00"/>
    <m/>
    <m/>
    <m/>
    <m/>
    <m/>
    <m/>
    <m/>
    <m/>
    <m/>
    <m/>
    <m/>
    <m/>
    <m/>
    <m/>
    <m/>
    <m/>
    <m/>
    <m/>
    <m/>
    <m/>
    <m/>
    <m/>
    <m/>
    <m/>
    <m/>
  </r>
  <r>
    <n v="368"/>
    <m/>
    <s v="2025-26"/>
    <n v="17"/>
    <n v="17"/>
    <s v="Construction of School Building at Kalivav Primary School (One Class room) &amp; Koliyak Kanya P.S ( Four Class room) Ta: and Dist.Bhavnagar"/>
    <m/>
    <s v="Bhavnagar"/>
    <s v="Bhavnagar"/>
    <m/>
    <m/>
    <n v="221237"/>
    <m/>
    <d v="2025-09-03T00:00:00"/>
    <d v="2025-09-15T00:00:00"/>
    <d v="2025-09-16T00:00:00"/>
    <d v="2026-01-13T00:00:00"/>
    <n v="4253844.58"/>
    <m/>
    <n v="7971704.7400000002"/>
    <n v="87.4"/>
    <s v="Above"/>
    <s v="Seventy Nine Lakh Seventy One Thousand Seven Hundred Four Rupees and Seventy Four Paise Only"/>
    <s v="Circle"/>
    <m/>
    <n v="7971704.7400000002"/>
    <x v="74"/>
    <n v="0"/>
    <s v="309, 3rd Floor, Asopalav Triangle, 40-50 Feet Road Corner, (Punitnagar) Near Khodal Chok, Opp. Satyam Hills, Mavdi- Rajkot - 364004"/>
    <n v="9824351508"/>
    <m/>
    <m/>
    <m/>
    <m/>
    <m/>
    <m/>
    <n v="399000"/>
    <d v="1901-03-25T00:00:00"/>
    <n v="19600"/>
    <n v="0"/>
    <d v="1900-02-03T00:00:00"/>
    <d v="1901-01-24T00:00:00"/>
    <m/>
    <m/>
    <m/>
    <m/>
    <m/>
    <m/>
    <m/>
    <m/>
    <m/>
    <m/>
    <m/>
    <m/>
    <m/>
    <m/>
    <m/>
    <m/>
    <m/>
    <m/>
    <m/>
    <m/>
    <m/>
    <m/>
    <m/>
    <m/>
    <m/>
  </r>
  <r>
    <n v="369"/>
    <m/>
    <s v="2025-26"/>
    <n v="17"/>
    <n v="18"/>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0"/>
    <m/>
    <s v="2025-26"/>
    <n v="17"/>
    <n v="19"/>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1"/>
    <m/>
    <s v="2025-26"/>
    <n v="17"/>
    <n v="20"/>
    <s v="Construction of Nandghar (Anganvadi) Building at Village Mota Malpara Tal. Mahuva Dist. Bhavnagar"/>
    <m/>
    <s v="Mahuva"/>
    <s v="Mahuva"/>
    <s v="Building"/>
    <s v="Anganvadi"/>
    <n v="221249"/>
    <n v="5"/>
    <d v="2025-09-03T00:00:00"/>
    <d v="2025-09-15T00:00:00"/>
    <d v="2025-09-16T00:00:00"/>
    <d v="2026-01-13T00:00:00"/>
    <n v="1024912.96"/>
    <m/>
    <n v="961163.37"/>
    <n v="-6.22"/>
    <s v="Below"/>
    <s v="Nine Lakh Sixty One Thousand One Hundred Sixty Three Rupees and Thirty Seven Paise Only"/>
    <s v="Division"/>
    <m/>
    <n v="961163.37"/>
    <x v="52"/>
    <n v="0"/>
    <s v="F-8, 1st Floor, Radhe City Center, Bapa Sitaram Chowk, Talaja, Dist. Bhavnagar_x000a_"/>
    <n v="7984290006"/>
    <m/>
    <m/>
    <m/>
    <m/>
    <m/>
    <n v="3"/>
    <n v="49000"/>
    <d v="2027-04-25T00:00:00"/>
    <n v="2500"/>
    <n v="0"/>
    <d v="2026-03-06T00:00:00"/>
    <d v="2027-02-24T00:00:00"/>
    <n v="1413"/>
    <d v="2025-10-03T00:00:00"/>
    <m/>
    <m/>
    <m/>
    <m/>
    <m/>
    <m/>
    <m/>
    <m/>
    <m/>
    <m/>
    <m/>
    <m/>
    <m/>
    <d v="2025-11-01T00:00:00"/>
    <m/>
    <m/>
    <m/>
    <m/>
    <m/>
    <m/>
    <m/>
    <m/>
    <m/>
  </r>
  <r>
    <n v="372"/>
    <m/>
    <s v="2025-26"/>
    <n v="17"/>
    <n v="21"/>
    <s v="Improvement of Ambla to Piparala Road (NP) Km.0 /000-3/250 Ta.Shihor, Dist.; Bhavnagar."/>
    <m/>
    <s v="Shihor"/>
    <s v="Shihor"/>
    <m/>
    <m/>
    <n v="221654"/>
    <n v="1"/>
    <d v="2025-09-03T00:00:00"/>
    <d v="2025-09-15T00:00:00"/>
    <d v="2025-09-16T00:00:00"/>
    <d v="2026-01-13T00:00:00"/>
    <n v="12537845.210000001"/>
    <m/>
    <n v="10843982.32"/>
    <n v="-13.51"/>
    <s v="Below"/>
    <s v="One Crore Eight Lakh Forty Three Thousand Nine Hundred Eighty Two Rupees and Thirty Two Paise Only"/>
    <s v="Circle"/>
    <m/>
    <n v="10843982.32"/>
    <x v="8"/>
    <s v="RANJITBHAI BAHADURBHAI VALA"/>
    <s v="101, SHREEEJI ANAND CORNER, NEAR HDFC BANK, TOWER ROAD, PARA, Dist. BOTAD -364710"/>
    <n v="0"/>
    <d v="2025-09-24T00:00:00"/>
    <s v="5054 MMGSY NORMAL NORMAL"/>
    <s v="Superintending Engineer, Panchayat Road and Building Circle-2, Rajkot"/>
    <s v="RPC-2/Tender/Bhavbagar/259"/>
    <d v="2025-09-03T00:00:00"/>
    <n v="6"/>
    <n v="543000"/>
    <d v="2029-08-12T00:00:00"/>
    <n v="31000"/>
    <n v="89000"/>
    <d v="2026-07-04T00:00:00"/>
    <d v="2029-06-13T00:00:00"/>
    <n v="1514"/>
    <d v="2025-11-11T00:00:00"/>
    <m/>
    <m/>
    <m/>
    <m/>
    <m/>
    <m/>
    <m/>
    <m/>
    <m/>
    <m/>
    <m/>
    <m/>
    <m/>
    <d v="2025-12-01T00:00:00"/>
    <m/>
    <m/>
    <m/>
    <m/>
    <m/>
    <m/>
    <m/>
    <m/>
    <m/>
  </r>
  <r>
    <n v="373"/>
    <m/>
    <s v="2025-26"/>
    <n v="17"/>
    <n v="22"/>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4"/>
    <m/>
    <s v="2025-26"/>
    <n v="17"/>
    <n v="23"/>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5"/>
    <m/>
    <s v="2025-26"/>
    <n v="17"/>
    <n v="24"/>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6"/>
    <m/>
    <s v="2025-26"/>
    <n v="17"/>
    <n v="25"/>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7"/>
    <m/>
    <s v="2025-26"/>
    <n v="17"/>
    <n v="26"/>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8"/>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79"/>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0"/>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1"/>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2"/>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3"/>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4"/>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5"/>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6"/>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7"/>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8"/>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9"/>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90"/>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91"/>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92"/>
    <m/>
    <s v="2025-26"/>
    <m/>
    <m/>
    <m/>
    <m/>
    <m/>
    <e v="#N/A"/>
    <m/>
    <m/>
    <m/>
    <m/>
    <m/>
    <m/>
    <m/>
    <d v="1900-04-29T00:00:00"/>
    <m/>
    <m/>
    <m/>
    <m/>
    <s v="Equals"/>
    <s v="Zero Rupees Only"/>
    <s v="Division"/>
    <m/>
    <n v="0"/>
    <x v="3"/>
    <n v="0"/>
    <n v="0"/>
    <n v="0"/>
    <m/>
    <m/>
    <m/>
    <m/>
    <m/>
    <m/>
    <n v="0"/>
    <d v="1901-03-25T00:00:00"/>
    <n v="0"/>
    <n v="0"/>
    <d v="1900-02-03T00:00:00"/>
    <d v="1901-01-24T00:00:00"/>
    <m/>
    <m/>
    <m/>
    <m/>
    <m/>
    <m/>
    <m/>
    <m/>
    <m/>
    <m/>
    <m/>
    <m/>
    <m/>
    <m/>
    <m/>
    <m/>
    <m/>
    <m/>
    <m/>
    <m/>
    <m/>
    <m/>
    <m/>
    <m/>
    <m/>
  </r>
  <r>
    <m/>
    <m/>
    <m/>
    <m/>
    <m/>
    <m/>
    <m/>
    <m/>
    <m/>
    <m/>
    <m/>
    <m/>
    <m/>
    <m/>
    <m/>
    <m/>
    <m/>
    <m/>
    <m/>
    <m/>
    <m/>
    <m/>
    <m/>
    <m/>
    <m/>
    <m/>
    <x v="3"/>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2">
  <r>
    <n v="1"/>
    <s v=" "/>
    <s v="2025-26"/>
    <n v="1"/>
    <n v="1"/>
    <s v="Construction of Pati Chogath Road Km 0/0 to 2/100, Ta. Vallabhipur Dist. Bhavnagar"/>
    <m/>
    <s v="Vallabhipur"/>
    <x v="0"/>
    <s v="Road"/>
    <m/>
    <n v="172043"/>
    <n v="1"/>
    <d v="2025-04-03T00:00:00"/>
    <d v="2025-04-15T00:00:00"/>
    <d v="2025-04-16T00:00:00"/>
    <d v="2025-08-13T00:00:00"/>
    <n v="97007994.859999999"/>
    <m/>
    <n v="81486715.680000007"/>
    <n v="-16"/>
    <s v="Below"/>
    <s v="Eight Crore Fourteen Lakh Eighty Six Thousand Seven Hundred Fifteen Rupees and Sixty Eight Paise Only"/>
    <s v="Government"/>
    <m/>
    <n v="81486715.680000007"/>
    <s v="KRISHNA CONSTRUCTION"/>
    <s v="BHADRESHSINH BHAGWATSING GOHIL"/>
    <s v="A/8, AKSHARDEEP COMPLEX, OPP. DEEPAK MEMORIAL HALL, SANSKAR MANDAL, BHAVNAGAR-364002"/>
    <n v="9925209999"/>
    <d v="2025-06-13T00:00:00"/>
    <s v="BUJ 2024-25"/>
    <s v="Road and Building Department, Ganghinagar"/>
    <s v="RBD/TRF/e-file/16/2025/3843/Section D1"/>
    <d v="2025-07-02T00:00:00"/>
    <n v="12"/>
    <n v="4075000"/>
    <d v="2029-12-23T00:00:00"/>
    <n v="256800"/>
    <n v="1165000"/>
    <d v="2026-11-14T00:00:00"/>
    <d v="2029-10-24T00:00:00"/>
    <n v="1027"/>
    <d v="2025-07-25T00:00:00"/>
    <m/>
    <m/>
    <m/>
    <m/>
    <m/>
    <m/>
    <m/>
    <m/>
    <m/>
    <m/>
    <m/>
    <m/>
    <m/>
    <d v="2025-10-15T00:00:00"/>
    <m/>
    <m/>
    <m/>
    <m/>
    <m/>
    <m/>
    <m/>
    <m/>
    <m/>
  </r>
  <r>
    <n v="2"/>
    <m/>
    <s v="2025-26"/>
    <n v="1"/>
    <n v="2"/>
    <s v="Widening and Strengthening of Sathara to uncha Kotada road Km 0/0 to 17/900 Ta. Mahuva Dist. Bhavnagar"/>
    <m/>
    <s v="Mahuva"/>
    <x v="1"/>
    <s v="Road"/>
    <m/>
    <n v="172425"/>
    <n v="1"/>
    <d v="2025-04-03T00:00:00"/>
    <d v="2025-04-15T00:00:00"/>
    <d v="2025-04-16T00:00:00"/>
    <d v="2025-08-13T00:00:00"/>
    <n v="227072204.88999999"/>
    <s v="Yes"/>
    <n v="198665472.06"/>
    <n v="-12.51"/>
    <s v="Below"/>
    <s v="Nineteen Crore Eighty Six Lakh Sixty Five Thousand Four Hundred Seventy Two Rupees and Six Paise Only"/>
    <s v="Government"/>
    <m/>
    <n v="198665472.06"/>
    <s v="OM CONSTRUCTION CO."/>
    <s v="VANRAJSINH BOGHUBHA SARVAIYA"/>
    <s v="314, Third Floor, Surabhi Mall, Waghawadi Road, BHAVNAGAR-364001"/>
    <n v="9427511001"/>
    <d v="2025-06-09T00:00:00"/>
    <s v="5054 MMGSY NORMAL 2024-25"/>
    <m/>
    <m/>
    <s v="Rejected"/>
    <m/>
    <n v="9934000"/>
    <d v="1903-03-15T00:00:00"/>
    <n v="542700"/>
    <n v="1140000"/>
    <d v="1900-02-03T00:00:00"/>
    <d v="1903-01-14T00:00:00"/>
    <m/>
    <m/>
    <m/>
    <m/>
    <m/>
    <m/>
    <m/>
    <m/>
    <m/>
    <m/>
    <m/>
    <m/>
    <m/>
    <m/>
    <m/>
    <m/>
    <m/>
    <m/>
    <m/>
    <m/>
    <m/>
    <m/>
    <m/>
    <m/>
    <m/>
  </r>
  <r>
    <n v="3"/>
    <m/>
    <s v="2025-26"/>
    <n v="1"/>
    <n v="3"/>
    <s v="Resurfacing to Roads of Bhavnagar District Package No. RPC-2/BVN/MMGSY/Normal/2024-25/P.10 Taluka and Dist. Bhavnagar"/>
    <s v="(1) Chamaradi Paliyad Road_x000a_(2) Mithapur Approach Road"/>
    <s v="Bhavnagar"/>
    <x v="2"/>
    <s v="Road"/>
    <m/>
    <n v="171465"/>
    <n v="2"/>
    <d v="2025-04-03T00:00:00"/>
    <d v="2025-04-15T00:00:00"/>
    <d v="2025-04-16T00:00:00"/>
    <d v="2025-08-13T00:00:00"/>
    <n v="24276082.690000001"/>
    <m/>
    <n v="25004365.170000002"/>
    <n v="3"/>
    <s v="Above"/>
    <s v="Two Crore Fifty Lakh Four Thousand Three Hundred Sixty Five Rupees and Seventeen Paise Only"/>
    <s v="Government"/>
    <m/>
    <n v="25004365.170000002"/>
    <s v="KRISHNA CONSTRUCTION"/>
    <s v="BHADRESHSINH BHAGWATSING GOHIL"/>
    <s v="A/8, AKSHARDEEP COMPLEX, OPP. DEEPAK MEMORIAL HALL, SANSKAR MANDAL, BHAVNAGAR-364002"/>
    <n v="9925209999"/>
    <d v="2025-04-30T00:00:00"/>
    <s v="3054 MMGSY NORMAL 2024-25"/>
    <s v="Road and Building Department, Ganghinagar"/>
    <s v="RBD/TRF/e-file/16/2025/2865/Section D1"/>
    <d v="2025-05-21T00:00:00"/>
    <n v="9"/>
    <n v="1251000"/>
    <d v="2029-09-24T00:00:00"/>
    <n v="61300"/>
    <n v="0"/>
    <d v="2026-08-16T00:00:00"/>
    <d v="2029-07-26T00:00:00"/>
    <n v="771"/>
    <d v="2025-05-27T00:00:00"/>
    <s v="2025-26"/>
    <n v="68"/>
    <d v="2025-08-02T00:00:00"/>
    <s v="BG"/>
    <s v="HDFC Bank"/>
    <s v="101GT02252020003"/>
    <n v="1251000"/>
    <d v="2025-07-21T00:00:00"/>
    <m/>
    <m/>
    <m/>
    <m/>
    <m/>
    <d v="2025-10-15T00:00:00"/>
    <n v="1060"/>
    <d v="2025-08-02T00:00:00"/>
    <m/>
    <m/>
    <m/>
    <m/>
    <m/>
    <m/>
    <m/>
  </r>
  <r>
    <n v="4"/>
    <m/>
    <s v="2025-26"/>
    <n v="1"/>
    <n v="4"/>
    <s v="SR To Paldi Ganeshgadh Road (NP BT) Km.0/000 to 2/550 Ta.Gariyadhar, Dist. Bhavnagar"/>
    <m/>
    <s v="Gariyadhar"/>
    <x v="3"/>
    <s v="Road"/>
    <m/>
    <n v="171505"/>
    <n v="2"/>
    <d v="2025-04-03T00:00:00"/>
    <d v="2025-04-15T00:00:00"/>
    <d v="2025-04-16T00:00:00"/>
    <d v="2025-08-13T00:00:00"/>
    <n v="5689274.8799999999"/>
    <m/>
    <n v="6232600.6299999999"/>
    <n v="9.5500000000000007"/>
    <s v="Above"/>
    <s v="Sixty Two Lakh Thirty Two Thousand Six Hundred Rupees and Sixty Three Paise Only"/>
    <s v="Circle"/>
    <m/>
    <n v="6232600.6299999999"/>
    <s v="VIJAYBHAI MOHANBHAI SINDHAV"/>
    <n v="0"/>
    <s v="AT JALALPUR, TA. GADHADA, DIST. BOTAD - 364740"/>
    <n v="8849179437"/>
    <d v="2025-04-30T00:00:00"/>
    <s v="3054 SR 2023-24"/>
    <s v="Superintending Engineer, Panchayat Road and Building Circle-2, Rajkot"/>
    <s v="RPC-2/Tender/Bhav/64"/>
    <d v="2025-05-14T00:00:00"/>
    <n v="4"/>
    <n v="312000"/>
    <d v="2027-01-22T00:00:00"/>
    <n v="15300"/>
    <n v="0"/>
    <d v="2025-12-03T00:00:00"/>
    <d v="2026-11-23T00:00:00"/>
    <n v="891"/>
    <d v="2025-06-24T00:00:00"/>
    <m/>
    <m/>
    <m/>
    <m/>
    <m/>
    <m/>
    <m/>
    <m/>
    <m/>
    <m/>
    <m/>
    <m/>
    <m/>
    <d v="2025-07-01T00:00:00"/>
    <m/>
    <m/>
    <m/>
    <m/>
    <m/>
    <m/>
    <m/>
    <m/>
    <m/>
  </r>
  <r>
    <n v="5"/>
    <m/>
    <s v="2025-26"/>
    <n v="1"/>
    <n v="5"/>
    <s v="Resurfacing to Roads of Bhavnagar District Package No. RPC-2/BVN/MMGSY/Normal/2024-25/P.08 Ta. Talaja , Dist. Bhavnagar"/>
    <s v="(1) Unchadi Vavadi Road_x000a_(2) Bhegali Datrad Road_x000a_(3) Shelavadar Vavadi Road_x000a_(4) Chudi Approach Road_x000a_(5) Datha Rojiya Road"/>
    <s v="Talaja"/>
    <x v="4"/>
    <s v="Road"/>
    <m/>
    <n v="171514"/>
    <n v="1"/>
    <d v="2025-04-03T00:00:00"/>
    <d v="2025-04-15T00:00:00"/>
    <d v="2025-04-16T00:00:00"/>
    <d v="2025-08-13T00:00:00"/>
    <n v="25215998.109999999"/>
    <m/>
    <n v="23198718.260000002"/>
    <n v="-8"/>
    <s v="Below"/>
    <s v="Two Crore Thirty One Lakh Ninety Eight Thousand Seven Hundred Eighteen Rupees and Twenty Six Paise Only"/>
    <s v="Government"/>
    <m/>
    <n v="23198718.260000002"/>
    <s v="KRISHNA CONSTRUCTION"/>
    <s v="BHADRESHSINH BHAGWATSING GOHIL"/>
    <s v="A/8, AKSHARDEEP COMPLEX, OPP. DEEPAK MEMORIAL HALL, SANSKAR MANDAL, BHAVNAGAR-364002"/>
    <n v="9925209999"/>
    <d v="2025-04-30T00:00:00"/>
    <s v="3054 MMGSY NORMAL 2024-25"/>
    <s v="Road and Building Department, Ganghinagar"/>
    <s v="RBD/TRF/e-file/16/2025/2864/Section D1"/>
    <d v="2025-05-17T00:00:00"/>
    <n v="9"/>
    <n v="1160000"/>
    <d v="2029-09-24T00:00:00"/>
    <n v="56900"/>
    <n v="0"/>
    <d v="2026-08-16T00:00:00"/>
    <d v="2029-07-26T00:00:00"/>
    <n v="370"/>
    <d v="2025-05-27T00:00:00"/>
    <s v="2025-26"/>
    <n v="70"/>
    <d v="2025-08-08T00:00:00"/>
    <s v="BG"/>
    <s v="HDFC Bank"/>
    <s v="101GT02252020013"/>
    <n v="1160000"/>
    <d v="2025-07-21T00:00:00"/>
    <m/>
    <m/>
    <m/>
    <m/>
    <m/>
    <d v="2025-10-15T00:00:00"/>
    <n v="1048"/>
    <d v="2025-08-08T00:00:00"/>
    <m/>
    <m/>
    <m/>
    <m/>
    <m/>
    <m/>
    <m/>
  </r>
  <r>
    <n v="6"/>
    <m/>
    <s v="2025-26"/>
    <n v="1"/>
    <n v="6"/>
    <s v="Improvement of Khodiyar Jaliya Bhadali Rabarika Road Km 0/0 to 8/850 Ta. Shihor, Dist. Bhavnagar"/>
    <m/>
    <s v="Shihor"/>
    <x v="5"/>
    <s v="Road"/>
    <m/>
    <n v="171520"/>
    <n v="1"/>
    <d v="2025-04-03T00:00:00"/>
    <d v="2025-04-15T00:00:00"/>
    <d v="2025-04-16T00:00:00"/>
    <d v="2025-08-13T00:00:00"/>
    <m/>
    <s v="Yes"/>
    <m/>
    <m/>
    <s v="Equals"/>
    <s v="Zero Rupees Only"/>
    <s v="Division"/>
    <m/>
    <n v="0"/>
    <m/>
    <n v="0"/>
    <n v="0"/>
    <n v="0"/>
    <m/>
    <m/>
    <m/>
    <m/>
    <m/>
    <m/>
    <n v="0"/>
    <d v="1901-03-25T00:00:00"/>
    <n v="0"/>
    <n v="0"/>
    <d v="1900-02-03T00:00:00"/>
    <d v="1901-01-24T00:00:00"/>
    <m/>
    <m/>
    <m/>
    <m/>
    <m/>
    <m/>
    <m/>
    <m/>
    <m/>
    <m/>
    <m/>
    <m/>
    <m/>
    <m/>
    <m/>
    <m/>
    <m/>
    <m/>
    <m/>
    <m/>
    <m/>
    <m/>
    <m/>
    <m/>
    <m/>
  </r>
  <r>
    <n v="7"/>
    <m/>
    <s v="2025-26"/>
    <n v="1"/>
    <n v="7"/>
    <s v="Improvement and Routine Maintenance of Vadiya Ukharla Road (Vadiya Usrad Pipaliya Road) (ODR) Km.0/000 -5/100 Ta. Shihor, Dist. Bhavnagar"/>
    <m/>
    <s v="Shihor"/>
    <x v="5"/>
    <s v="Road"/>
    <m/>
    <n v="171523"/>
    <n v="1"/>
    <d v="2025-04-03T00:00:00"/>
    <d v="2025-04-15T00:00:00"/>
    <d v="2025-04-16T00:00:00"/>
    <d v="2025-08-13T00:00:00"/>
    <n v="22712488.68"/>
    <m/>
    <n v="20668364.699999999"/>
    <n v="-9"/>
    <s v="Below"/>
    <s v="Two Crore Six Lakh Sixty Eight Thousand Three Hundred Sixty Four Rupees and Seven Paise Only"/>
    <s v="Government"/>
    <m/>
    <n v="20668364.699999999"/>
    <s v="KRISHNA CONSTRUCTION"/>
    <s v="BHADRESHSINH BHAGWATSING GOHIL"/>
    <s v="A/8, AKSHARDEEP COMPLEX, OPP. DEEPAK MEMORIAL HALL, SANSKAR MANDAL, BHAVNAGAR-364002"/>
    <n v="9925209999"/>
    <d v="2025-04-30T00:00:00"/>
    <s v="5054 MMGSY SCSP 2024-25"/>
    <s v="Road and Building Department, Ganghinagar"/>
    <s v="RBD/TRF/e-file/16/2025/2863/Section D1"/>
    <d v="2025-05-21T00:00:00"/>
    <n v="8"/>
    <n v="1034000"/>
    <d v="2029-08-25T00:00:00"/>
    <n v="50700"/>
    <n v="0"/>
    <d v="2026-07-17T00:00:00"/>
    <d v="2029-06-26T00:00:00"/>
    <n v="735"/>
    <d v="2025-05-21T00:00:00"/>
    <s v="2025-26"/>
    <n v="73"/>
    <d v="2025-08-08T00:00:00"/>
    <s v="BG"/>
    <s v="HDFC Bank"/>
    <s v="101GT02252020004"/>
    <n v="1034000"/>
    <d v="2025-07-21T00:00:00"/>
    <m/>
    <m/>
    <m/>
    <m/>
    <m/>
    <d v="2025-10-15T00:00:00"/>
    <n v="1051"/>
    <d v="2025-08-08T00:00:00"/>
    <m/>
    <m/>
    <m/>
    <m/>
    <m/>
    <m/>
    <m/>
  </r>
  <r>
    <n v="8"/>
    <m/>
    <s v="2025-26"/>
    <n v="1"/>
    <n v="8"/>
    <s v="Resurfacing to Roads of Bhavnagar District Package No.RPC-2/BVN/MMGSY/Normal/2024-25/P.01 Ta. Vallabhipur, Dist. Bhavnagar"/>
    <s v="(1) Salapara (Velavadar) Approach Road_x000a_(2) Pati Approach Road_x000a_(3) Lakhanka Approach Road_x000a_(4) Nasitpar Junaratanpar Road"/>
    <s v="Vallabhipur"/>
    <x v="0"/>
    <s v="Road"/>
    <m/>
    <n v="171531"/>
    <n v="1"/>
    <d v="2025-04-03T00:00:00"/>
    <d v="2025-04-15T00:00:00"/>
    <d v="2025-04-16T00:00:00"/>
    <d v="2025-08-13T00:00:00"/>
    <n v="21183260.989999998"/>
    <m/>
    <n v="19700432.719999999"/>
    <n v="-7"/>
    <s v="Below"/>
    <s v="One Crore Ninety Seven Lakh Four Hundred Thirty Two Rupees and Seventy Two Paise Only"/>
    <s v="Circle"/>
    <m/>
    <n v="19700432.719999999"/>
    <s v="KRISHNA CONSTRUCTION"/>
    <s v="BHADRESHSINH BHAGWATSING GOHIL"/>
    <s v="A/8, AKSHARDEEP COMPLEX, OPP. DEEPAK MEMORIAL HALL, SANSKAR MANDAL, BHAVNAGAR-364002"/>
    <n v="9925209999"/>
    <d v="2025-04-30T00:00:00"/>
    <s v="3054 MMGSY NORMAL 2024-25"/>
    <s v="Road and Building Department, Ganghinagar"/>
    <s v="RBD/TRF/e-file/16/2025/2862/Section D1"/>
    <d v="2025-05-21T00:00:00"/>
    <n v="8"/>
    <n v="986000"/>
    <d v="2029-08-25T00:00:00"/>
    <n v="48400"/>
    <n v="0"/>
    <d v="2026-07-17T00:00:00"/>
    <d v="2029-06-26T00:00:00"/>
    <n v="736"/>
    <d v="2025-05-21T00:00:00"/>
    <s v="2025-26"/>
    <n v="67"/>
    <d v="2025-08-02T00:00:00"/>
    <s v="BG"/>
    <s v="HDFC Bank"/>
    <s v="101GT02252020010"/>
    <n v="986000"/>
    <d v="2025-07-21T00:00:00"/>
    <m/>
    <m/>
    <m/>
    <m/>
    <m/>
    <d v="2025-10-15T00:00:00"/>
    <n v="1059"/>
    <d v="2025-08-02T00:00:00"/>
    <m/>
    <m/>
    <m/>
    <m/>
    <m/>
    <m/>
    <m/>
  </r>
  <r>
    <n v="9"/>
    <m/>
    <s v="2025-26"/>
    <n v="1"/>
    <n v="9"/>
    <s v="Construction to Roads of Bhavnagar District Package No.RPC-2/BVN/MMGSY/Normal/2024-25/P.02 Ta. Mahuva, Dist. Bhavnagar"/>
    <s v="(1) Sodvadari To NH Road (Remaining Length)_x000a_(2) Gujarada Dudheri Road"/>
    <s v="Mahuva"/>
    <x v="1"/>
    <s v="Road"/>
    <m/>
    <n v="171582"/>
    <n v="1"/>
    <d v="2025-04-03T00:00:00"/>
    <d v="2025-04-15T00:00:00"/>
    <d v="2025-04-16T00:00:00"/>
    <d v="2025-08-13T00:00:00"/>
    <n v="19007984.359999999"/>
    <m/>
    <n v="17487345.609999999"/>
    <n v="-8"/>
    <s v="Below"/>
    <s v="One Crore Seventy Four Lakh Eighty Seven Thousand Three Hundred Forty Five Rupees and Sixty One Paise Only"/>
    <s v="Circle"/>
    <m/>
    <n v="17487345.609999999"/>
    <s v="KRISHNA CONSTRUCTION"/>
    <s v="BHADRESHSINH BHAGWATSING GOHIL"/>
    <s v="A/8, AKSHARDEEP COMPLEX, OPP. DEEPAK MEMORIAL HALL, SANSKAR MANDAL, BHAVNAGAR-364002"/>
    <n v="9925209999"/>
    <d v="2025-04-30T00:00:00"/>
    <s v="5054 MMGSY NORMAL 2024-25"/>
    <s v="Superintending Engineer, Panchayat Road and Building Circle-2, Rajkot"/>
    <s v="RPC-2/Tender/Bhav/63"/>
    <d v="2025-05-14T00:00:00"/>
    <n v="8"/>
    <n v="875000"/>
    <d v="2029-08-25T00:00:00"/>
    <n v="42900"/>
    <n v="0"/>
    <d v="2026-07-17T00:00:00"/>
    <d v="2029-06-26T00:00:00"/>
    <n v="856"/>
    <d v="2025-06-18T00:00:00"/>
    <s v="2025-26"/>
    <n v="64"/>
    <d v="2025-08-02T00:00:00"/>
    <s v="BG"/>
    <s v="HDFC Bank"/>
    <s v="101GT02252020009"/>
    <n v="875000"/>
    <d v="2025-07-21T00:00:00"/>
    <m/>
    <m/>
    <m/>
    <m/>
    <m/>
    <d v="2025-10-15T00:00:00"/>
    <n v="1056"/>
    <d v="2025-08-02T00:00:00"/>
    <m/>
    <m/>
    <m/>
    <m/>
    <m/>
    <m/>
    <m/>
  </r>
  <r>
    <n v="10"/>
    <m/>
    <s v="2025-26"/>
    <n v="1"/>
    <n v="10"/>
    <s v="Construction to Roads of Bhavnagar District Package No. RPC-2/BVN/MMGSY/Khas Angbhut/2024-25/P.01 Ta. Mahuva , Dist. Bhavnagar"/>
    <s v="(1) Bhadrod to NH Road (Dholivav Side)_x000a_(2) Bhadrod Khatsura Road (Panchmukhi Hanuman)"/>
    <s v="Mahuva"/>
    <x v="1"/>
    <s v="Road"/>
    <m/>
    <n v="171587"/>
    <n v="1"/>
    <d v="2025-04-03T00:00:00"/>
    <d v="2025-04-15T00:00:00"/>
    <d v="2025-04-16T00:00:00"/>
    <d v="2025-08-13T00:00:00"/>
    <n v="19285670.34"/>
    <m/>
    <n v="22012664.129999999"/>
    <n v="14.14"/>
    <s v="Above"/>
    <s v="Two Crore Twenty Lakh Twelve Thousand Six Hundred Sixty Four Rupees and Thirteen Paise Only"/>
    <s v="Government"/>
    <m/>
    <n v="22012664.129999999"/>
    <s v="VCPROJECT &amp; INFRA PVT. LTD."/>
    <n v="0"/>
    <s v="2/A, New York Corner, Behind Kiran Motors, Opp. Rajpath Club, Bodakdev, Ahmedabad - 380054"/>
    <n v="7777978777"/>
    <d v="2025-04-30T00:00:00"/>
    <s v="5054 MMGSY SCSP 2024-25"/>
    <s v="Road and Building Department, Ganghinagar"/>
    <s v="RBD/TRF/e-file/16/2025/3487/Section D1"/>
    <d v="2025-06-18T00:00:00"/>
    <n v="8"/>
    <n v="1101000"/>
    <d v="2029-08-25T00:00:00"/>
    <n v="54000"/>
    <n v="0"/>
    <d v="2026-07-17T00:00:00"/>
    <d v="2029-06-26T00:00:00"/>
    <n v="881"/>
    <d v="2025-06-21T00:00:00"/>
    <s v="2025-26"/>
    <n v="75"/>
    <d v="2025-08-08T00:00:00"/>
    <s v="BG"/>
    <s v="AU SMALL FINANCE BANK LTD"/>
    <s v="AOAIPBG251900001"/>
    <n v="1101000"/>
    <d v="2025-07-09T00:00:00"/>
    <m/>
    <m/>
    <m/>
    <m/>
    <m/>
    <d v="2025-10-15T00:00:00"/>
    <n v="1053"/>
    <d v="2025-08-08T00:00:00"/>
    <m/>
    <m/>
    <m/>
    <m/>
    <m/>
    <m/>
    <m/>
  </r>
  <r>
    <n v="11"/>
    <m/>
    <s v="2025-26"/>
    <n v="1"/>
    <n v="11"/>
    <s v="Resurfacing of Dundas to Pipalava Road (MDR) Km. 0/000 to 3/200 Ta. Mahuva , Dist. Bhavnagar"/>
    <m/>
    <s v="Mahuva"/>
    <x v="1"/>
    <s v="Road"/>
    <m/>
    <n v="171609"/>
    <n v="1"/>
    <d v="2025-04-03T00:00:00"/>
    <d v="2025-04-15T00:00:00"/>
    <d v="2025-04-16T00:00:00"/>
    <d v="2025-08-13T00:00:00"/>
    <n v="24637886.640000001"/>
    <m/>
    <n v="27126313.190000001"/>
    <n v="10.1"/>
    <s v="Above"/>
    <s v="Two Crore Seventy One Lakh Twenty Six Thousand Three Hundred Thirteen Rupees and Nineteen Paise Only"/>
    <s v="Government"/>
    <m/>
    <n v="27126313.190000001"/>
    <s v="VCPROJECT &amp; INFRA PVT. LTD."/>
    <n v="0"/>
    <s v="2/A, New York Corner, Behind Kiran Motors, Opp. Rajpath Club, Bodakdev, Ahmedabad - 380054"/>
    <n v="7777978777"/>
    <d v="2025-04-30T00:00:00"/>
    <s v="3054 MMGSY NORMAL 2024-25"/>
    <s v="Road and Building Department, Ganghinagar"/>
    <s v="RBD/TRF/e-file/16/2025/2861/Section D1"/>
    <d v="2025-05-21T00:00:00"/>
    <n v="8"/>
    <n v="1357000"/>
    <d v="2029-08-25T00:00:00"/>
    <n v="66500"/>
    <n v="0"/>
    <d v="2026-07-17T00:00:00"/>
    <d v="2029-06-26T00:00:00"/>
    <n v="737"/>
    <d v="2025-05-21T00:00:00"/>
    <s v="2025-26"/>
    <n v="57"/>
    <d v="2025-07-19T00:00:00"/>
    <s v="BG"/>
    <s v="CANARA BANK"/>
    <s v="01414GPGE2516701"/>
    <n v="1357000"/>
    <d v="2025-06-16T00:00:00"/>
    <m/>
    <m/>
    <m/>
    <m/>
    <m/>
    <d v="2025-10-15T00:00:00"/>
    <n v="993"/>
    <d v="2025-07-19T00:00:00"/>
    <m/>
    <m/>
    <m/>
    <m/>
    <m/>
    <m/>
    <m/>
  </r>
  <r>
    <n v="12"/>
    <m/>
    <s v="2025-26"/>
    <n v="1"/>
    <n v="12"/>
    <s v="Construction of Budhel to Malanka Road (NP) Km.0/000 to 4/250 Taluka And Dist. Bhavnagar"/>
    <m/>
    <s v="Bhavnagar"/>
    <x v="2"/>
    <s v="Road"/>
    <m/>
    <n v="171614"/>
    <n v="1"/>
    <d v="2025-04-03T00:00:00"/>
    <d v="2025-04-15T00:00:00"/>
    <d v="2025-04-16T00:00:00"/>
    <d v="2025-08-13T00:00:00"/>
    <n v="34424113.649999999"/>
    <m/>
    <n v="28513493.34"/>
    <n v="-17.170000000000002"/>
    <s v="Below"/>
    <s v="Two Crore Eighty Five Lakh Thirteen Thousand Four Hundred Ninety Three Rupees and Thirty Four Paise Only"/>
    <s v="Government"/>
    <m/>
    <n v="28513493.34"/>
    <s v="SHIV DHARA ENTERPRISE"/>
    <n v="0"/>
    <s v="Shop No. 131/B, First Floor, Shiva Belssing-2, Opp. BMC Office, Bhavnagar"/>
    <n v="9925888787"/>
    <d v="2025-05-15T00:00:00"/>
    <s v="5054 MMGSY NORMAL 2024-25"/>
    <s v="Road and Building Department, Ganghinagar"/>
    <s v="RBD/TRF/e-file/16/2025/3192/Section D1"/>
    <d v="2025-05-30T00:00:00"/>
    <n v="10"/>
    <n v="1426000"/>
    <d v="2029-10-24T00:00:00"/>
    <n v="94100"/>
    <n v="494000"/>
    <d v="2026-09-15T00:00:00"/>
    <d v="2029-08-25T00:00:00"/>
    <n v="882"/>
    <d v="2025-06-21T00:00:00"/>
    <m/>
    <m/>
    <m/>
    <m/>
    <m/>
    <m/>
    <m/>
    <m/>
    <m/>
    <m/>
    <m/>
    <m/>
    <m/>
    <d v="2025-10-15T00:00:00"/>
    <m/>
    <m/>
    <m/>
    <m/>
    <m/>
    <m/>
    <m/>
    <m/>
    <m/>
  </r>
  <r>
    <n v="13"/>
    <m/>
    <s v="2025-26"/>
    <n v="1"/>
    <n v="13"/>
    <s v="Resurfacing to Roads of Bhavnagar District Package No. RPC-2/BVN/MMGSY/Normal/2024-25/P.03 Ta. Mahuva , Dist. Bhavnagar"/>
    <s v="(1) Monpar Titodiya Bagdana Road_x000a_(2) Katrodi Hipavadali Road_x000a_"/>
    <s v="Mahuva"/>
    <x v="1"/>
    <s v="Road"/>
    <m/>
    <n v="171617"/>
    <n v="1"/>
    <d v="2025-04-03T00:00:00"/>
    <d v="2025-04-15T00:00:00"/>
    <d v="2025-04-16T00:00:00"/>
    <d v="2025-08-13T00:00:00"/>
    <n v="23364615.09"/>
    <m/>
    <n v="23362278.629999999"/>
    <n v="-0.01"/>
    <s v="Below"/>
    <s v="Two Crore Thirty Three Lakh Sixty Two Thousand Two Hundred Seventy Eight Rupees and Sixty Three Paise Only"/>
    <s v="Government"/>
    <m/>
    <n v="23362278.629999999"/>
    <s v="C M VAGHELA"/>
    <s v="CHATURBHAI MOHANBHAI VAGHELA"/>
    <s v="MOTI PANIYALI, Via. Po. SHETRUNJI, Ta. PALITANA, Dist. BHAVNAGAR-364270"/>
    <n v="9925448120"/>
    <d v="2025-04-30T00:00:00"/>
    <s v="3054 MMGSY NORMAL 2024-25"/>
    <s v="Road and Building Department, Ganghinagar"/>
    <s v="RBD/TRF/e-file/16/2025/2848/Section D1"/>
    <d v="2025-05-27T00:00:00"/>
    <n v="8"/>
    <n v="1169000"/>
    <d v="2029-08-25T00:00:00"/>
    <n v="57300"/>
    <n v="0"/>
    <d v="2026-07-17T00:00:00"/>
    <d v="2029-06-26T00:00:00"/>
    <n v="883"/>
    <d v="2025-06-21T00:00:00"/>
    <m/>
    <m/>
    <m/>
    <m/>
    <m/>
    <m/>
    <m/>
    <m/>
    <m/>
    <m/>
    <m/>
    <m/>
    <m/>
    <d v="2025-10-15T00:00:00"/>
    <m/>
    <m/>
    <m/>
    <m/>
    <m/>
    <m/>
    <m/>
    <m/>
    <m/>
  </r>
  <r>
    <n v="14"/>
    <m/>
    <s v="2025-26"/>
    <n v="1"/>
    <n v="14"/>
    <s v="Resurfacing of Konjali Kalela Boradi Road (MDR) Km.0/000 to 8/000 Ta. Mahuva, Dist. Bhavnagar"/>
    <m/>
    <s v="Mahuva"/>
    <x v="1"/>
    <s v="Road"/>
    <m/>
    <n v="171618"/>
    <n v="1"/>
    <d v="2025-04-03T00:00:00"/>
    <d v="2025-04-15T00:00:00"/>
    <d v="2025-04-16T00:00:00"/>
    <d v="2025-08-13T00:00:00"/>
    <n v="26862658.760000002"/>
    <m/>
    <n v="30142589.390000001"/>
    <n v="12.21"/>
    <s v="Above"/>
    <s v="Three Crore One Lakh Forty Two Thousand Five Hundred Eighty Nine Rupees and Thirty Nine Paise Only"/>
    <s v="Government"/>
    <m/>
    <n v="30142589.390000001"/>
    <s v="VCPROJECT &amp; INFRA PVT. LTD."/>
    <n v="0"/>
    <s v="2/A, New York Corner, Behind Kiran Motors, Opp. Rajpath Club, Bodakdev, Ahmedabad - 380054"/>
    <n v="7777978777"/>
    <d v="2025-04-30T00:00:00"/>
    <s v="3054 MMGSY NORMAL 2024-25"/>
    <s v="Road and Building Department, Ganghinagar"/>
    <s v="RBD/TRF/e-file/16/2025/2859/Section D1"/>
    <d v="2025-05-27T00:00:00"/>
    <n v="6"/>
    <n v="1508000"/>
    <d v="2029-06-26T00:00:00"/>
    <n v="73900"/>
    <n v="0"/>
    <d v="2026-05-18T00:00:00"/>
    <d v="2029-04-27T00:00:00"/>
    <n v="772"/>
    <d v="2025-05-27T00:00:00"/>
    <s v="2025-26"/>
    <n v="58"/>
    <d v="2025-07-19T00:00:00"/>
    <s v="BG"/>
    <s v="CANARA BANK"/>
    <s v="01414GPGE2516702"/>
    <n v="1508000"/>
    <d v="2025-06-16T00:00:00"/>
    <m/>
    <m/>
    <m/>
    <m/>
    <m/>
    <d v="2025-10-15T00:00:00"/>
    <n v="994"/>
    <d v="2025-07-19T00:00:00"/>
    <m/>
    <m/>
    <m/>
    <m/>
    <m/>
    <m/>
    <m/>
  </r>
  <r>
    <n v="15"/>
    <m/>
    <s v="2025-26"/>
    <n v="1"/>
    <n v="15"/>
    <s v="Resurfacing to Roads of Bhavnagar District Package No. RPC-2/BVN/MMGSY/Normal/2024-25/P.09 Taluka and Dist. Bhavnagar"/>
    <s v="(1) Bhojapara Approach Road_x000a_(2) Kardej Shampara Road_x000a_(3) Vartej Kamlej Road"/>
    <s v="Bhavnagar"/>
    <x v="2"/>
    <s v="Road"/>
    <m/>
    <n v="171621"/>
    <n v="1"/>
    <d v="2025-04-03T00:00:00"/>
    <d v="2025-04-15T00:00:00"/>
    <d v="2025-04-16T00:00:00"/>
    <d v="2025-08-13T00:00:00"/>
    <n v="11020839.960000001"/>
    <m/>
    <n v="11020839.960000001"/>
    <n v="0"/>
    <s v="Equals"/>
    <s v="One Crore Ten Lakh Twenty Thousand Eight Hundred Thirty Nine Rupees and Ninety Six Paise Only"/>
    <s v="Circle"/>
    <m/>
    <n v="11020839.960000001"/>
    <s v="KRISHNA CONSTRUCTION"/>
    <s v="BHADRESHSINH BHAGWATSING GOHIL"/>
    <s v="A/8, AKSHARDEEP COMPLEX, OPP. DEEPAK MEMORIAL HALL, SANSKAR MANDAL, BHAVNAGAR-364002"/>
    <n v="9925209999"/>
    <d v="2025-04-30T00:00:00"/>
    <s v="3054 MMGSY NORMAL 2024-25"/>
    <s v="Superintending Engineer, Panchayat Road and Building Circle-2, Rajkot"/>
    <s v="RPC-2/Tender/Bhav/62"/>
    <d v="2025-05-14T00:00:00"/>
    <n v="8"/>
    <n v="552000"/>
    <d v="2029-08-25T00:00:00"/>
    <n v="27100"/>
    <n v="0"/>
    <d v="2026-07-17T00:00:00"/>
    <d v="2029-06-26T00:00:00"/>
    <n v="857"/>
    <d v="2025-06-18T00:00:00"/>
    <s v="2025-26"/>
    <n v="69"/>
    <d v="2025-08-02T00:00:00"/>
    <s v="BG"/>
    <s v="HDFC Bank"/>
    <s v="101GT02252020014"/>
    <n v="552000"/>
    <d v="2025-07-21T00:00:00"/>
    <m/>
    <m/>
    <m/>
    <m/>
    <m/>
    <d v="2025-10-15T00:00:00"/>
    <n v="1061"/>
    <d v="2025-08-02T00:00:00"/>
    <m/>
    <m/>
    <m/>
    <m/>
    <m/>
    <m/>
    <m/>
  </r>
  <r>
    <n v="16"/>
    <m/>
    <s v="2025-26"/>
    <n v="1"/>
    <n v="16"/>
    <s v="Special Repairs Roads of Bhavnagar District Package No. RPC-2/BVN/Spaecial Repairs/2023-24/P.31 Ta. Palitana, Dist. Bhavnagar"/>
    <s v="(1) Moti Vavadi Sitapur Road_x000a_(2) Medha Approach Road_x000a_"/>
    <s v="Palitana"/>
    <x v="3"/>
    <s v="Road"/>
    <m/>
    <n v="171624"/>
    <n v="1"/>
    <d v="2025-04-03T00:00:00"/>
    <d v="2025-04-15T00:00:00"/>
    <d v="2025-04-16T00:00:00"/>
    <d v="2025-08-13T00:00:00"/>
    <n v="24743989.260000002"/>
    <m/>
    <n v="23259349.899999999"/>
    <n v="-6"/>
    <s v="Below"/>
    <s v="Two Crore Thirty Two Lakh Fifty Nine Thousand Three Hundred Forty Nine Rupees and Nine Paise Only"/>
    <s v="Government"/>
    <m/>
    <n v="23259349.899999999"/>
    <s v="OM CONSTRUCTION CO."/>
    <s v="VANRAJSINH BOGHUBHA SARVAIYA"/>
    <s v="314, Third Floor, Surabhi Mall, Waghawadi Road, BHAVNAGAR-364001"/>
    <n v="9427511001"/>
    <d v="2025-04-30T00:00:00"/>
    <s v="3054 SR 2023-24"/>
    <s v="Road and Building Department, Ganghinagar"/>
    <s v="RBD/TRF/e-file/16/2025/2856/Section D1"/>
    <d v="2025-05-20T00:00:00"/>
    <n v="8"/>
    <n v="1163000"/>
    <d v="2029-09-30T00:00:00"/>
    <n v="57000"/>
    <n v="0"/>
    <d v="2026-08-22T00:00:00"/>
    <d v="2029-08-01T00:00:00"/>
    <n v="892"/>
    <d v="2025-06-24T00:00:00"/>
    <s v="2025-26"/>
    <n v="215"/>
    <d v="2025-11-20T00:00:00"/>
    <s v="BG"/>
    <s v="State Bank of India"/>
    <s v="6376225BG0Y00072"/>
    <n v="1163000"/>
    <d v="2025-09-12T00:00:00"/>
    <m/>
    <m/>
    <m/>
    <m/>
    <m/>
    <d v="2025-11-20T00:00:00"/>
    <n v="1547"/>
    <d v="2025-11-20T00:00:00"/>
    <m/>
    <m/>
    <m/>
    <m/>
    <m/>
    <m/>
    <m/>
  </r>
  <r>
    <n v="17"/>
    <m/>
    <s v="2025-26"/>
    <n v="1"/>
    <n v="17"/>
    <s v="Construction Cement Concrete Roads on Talgajarada to NH Road Km 0/0 to 2/100 Ta. Mahuva, Dist. Bhavnagar"/>
    <m/>
    <s v="Mahuva"/>
    <x v="1"/>
    <s v="Road"/>
    <m/>
    <n v="171483"/>
    <n v="1"/>
    <d v="2025-04-03T00:00:00"/>
    <d v="2025-04-15T00:00:00"/>
    <d v="2025-04-16T00:00:00"/>
    <d v="2025-08-13T00:00:00"/>
    <n v="29379827.5"/>
    <m/>
    <n v="30848818.879999999"/>
    <n v="5"/>
    <s v="Above"/>
    <s v="Three Crore Eight Lakh Forty Eight Thousand Eight Hundred Eighteen Rupees and Eighty Eight Paise Only"/>
    <s v="Government"/>
    <m/>
    <n v="30848818.879999999"/>
    <s v="OM CONSTRUCTION CO."/>
    <s v="VANRAJSINH BOGHUBHA SARVAIYA"/>
    <s v="314, Third Floor, Surabhi Mall, Waghawadi Road, BHAVNAGAR-364001"/>
    <n v="9427511001"/>
    <d v="2025-04-30T00:00:00"/>
    <s v="5054 Suvidhapath 2024-25"/>
    <s v="Road and Building Department, Ganghinagar"/>
    <s v="RBD/TRF/e-file/16/2025/2855/Section D1"/>
    <d v="2025-05-20T00:00:00"/>
    <n v="6"/>
    <n v="1543000"/>
    <d v="2029-06-26T00:00:00"/>
    <n v="75700"/>
    <n v="0"/>
    <d v="2026-05-18T00:00:00"/>
    <d v="2029-04-27T00:00:00"/>
    <n v="734"/>
    <d v="2025-05-21T00:00:00"/>
    <s v="2025-26"/>
    <n v="61"/>
    <d v="2025-07-19T00:00:00"/>
    <s v="BG"/>
    <s v="Punjab National Bank"/>
    <s v="40500ILG002825"/>
    <n v="1543000"/>
    <d v="2025-06-23T00:00:00"/>
    <m/>
    <m/>
    <m/>
    <m/>
    <m/>
    <d v="2025-10-15T00:00:00"/>
    <n v="997"/>
    <d v="2025-07-19T00:00:00"/>
    <m/>
    <m/>
    <m/>
    <m/>
    <m/>
    <m/>
    <m/>
  </r>
  <r>
    <n v="18"/>
    <m/>
    <s v="2025-26"/>
    <n v="1"/>
    <n v="18"/>
    <s v="Constrcu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x v="0"/>
    <s v="Road"/>
    <m/>
    <n v="171618"/>
    <n v="1"/>
    <d v="2025-04-03T00:00:00"/>
    <d v="2025-04-15T00:00:00"/>
    <d v="2025-04-16T00:00:00"/>
    <d v="2025-08-13T00:00:00"/>
    <m/>
    <s v="Yes"/>
    <m/>
    <m/>
    <s v="Equals"/>
    <s v="Zero Rupees Only"/>
    <s v="Division"/>
    <m/>
    <n v="0"/>
    <m/>
    <n v="0"/>
    <n v="0"/>
    <n v="0"/>
    <m/>
    <m/>
    <m/>
    <m/>
    <m/>
    <m/>
    <n v="0"/>
    <d v="1901-03-25T00:00:00"/>
    <n v="0"/>
    <n v="0"/>
    <d v="1900-02-03T00:00:00"/>
    <d v="1901-01-24T00:00:00"/>
    <m/>
    <m/>
    <m/>
    <m/>
    <m/>
    <m/>
    <m/>
    <m/>
    <m/>
    <m/>
    <m/>
    <m/>
    <m/>
    <m/>
    <m/>
    <m/>
    <m/>
    <m/>
    <m/>
    <m/>
    <m/>
    <m/>
    <m/>
    <m/>
    <m/>
  </r>
  <r>
    <n v="19"/>
    <m/>
    <s v="2025-26"/>
    <n v="1"/>
    <n v="19"/>
    <s v="Construction Cement Concrete Roads of Bhavnagar District Package No. RPC-2/BVN/Suvidhapath/2024-25/P.11 Ta. Umrala, Dist. Bhavnagar"/>
    <s v="(1) Dharuka Bajud Road (At Dharuka Village)_x000a_(2) Umrala Keriya Piparali Road (At Keriya Village)_x000a_(3) Ratanpar Approach Road (At Ratanpar Village)_x000a_(4) Dharuka Chogath Road (At Chogath Village)"/>
    <s v="Umrala"/>
    <x v="0"/>
    <s v="Road"/>
    <m/>
    <n v="171638"/>
    <n v="1"/>
    <d v="2025-04-03T00:00:00"/>
    <d v="2025-04-15T00:00:00"/>
    <d v="2025-04-16T00:00:00"/>
    <d v="2025-08-13T00:00:00"/>
    <n v="12145304.619999999"/>
    <m/>
    <n v="9527991.4700000007"/>
    <n v="-21.55"/>
    <s v="Below"/>
    <s v="Ninety Five Lakh Twenty Seven Thousand Nine Hundred Ninety One Rupees and Forty Seven Paise Only"/>
    <s v="Circle"/>
    <m/>
    <n v="9527991.4700000007"/>
    <s v="V M SOJITRA"/>
    <s v=" VINODBHAI MEGHJIBHAI SOJITRA"/>
    <s v="SHOP NO. 7, FIRST FLOOR, AKSHAR RESIDENCY, GIRIRAJ MAIN ROAD,  JUNAGADH - 362001"/>
    <n v="0"/>
    <d v="2025-04-30T00:00:00"/>
    <s v="5054 Suvidhapath 2024-25"/>
    <s v="Superintending Engineer, Panchayat Road and Building Circle-2, Rajkot"/>
    <s v="RPC-2/Tender/Bhav/59"/>
    <d v="2025-05-14T00:00:00"/>
    <n v="8"/>
    <n v="477000"/>
    <d v="2029-08-25T00:00:00"/>
    <n v="44100"/>
    <n v="421000"/>
    <d v="2026-07-17T00:00:00"/>
    <d v="2029-06-26T00:00:00"/>
    <n v="858"/>
    <d v="2025-06-18T00:00:00"/>
    <m/>
    <m/>
    <m/>
    <m/>
    <m/>
    <m/>
    <m/>
    <m/>
    <m/>
    <m/>
    <m/>
    <m/>
    <m/>
    <d v="2025-10-15T00:00:00"/>
    <m/>
    <m/>
    <m/>
    <m/>
    <m/>
    <m/>
    <m/>
    <m/>
    <m/>
  </r>
  <r>
    <n v="20"/>
    <m/>
    <s v="2025-26"/>
    <n v="1"/>
    <n v="20"/>
    <s v="Construction of Cement Concrete Roads of Bhavnagar District Package No. RPC-2/BVN/Suvidhapath/2024-25/P.10 Ta. Umrala, Dist. Bhavnagar"/>
    <s v="(1) Limda Lakhavad Road (At Lakhavad Village)_x000a_(2) Alampar Vadod Road (At Vadod Village) _x000a_(3) Khijadiya Rajpipala Road (At Khijadiya Village) _x000a_(4) Vangadhra Bhojavadar Samadhiyala Road (At Vangadhra Village)"/>
    <s v="Umrala"/>
    <x v="0"/>
    <s v="Road"/>
    <m/>
    <n v="171643"/>
    <n v="1"/>
    <d v="2025-04-03T00:00:00"/>
    <d v="2025-04-15T00:00:00"/>
    <d v="2025-04-16T00:00:00"/>
    <d v="2025-08-13T00:00:00"/>
    <n v="15944827.16"/>
    <m/>
    <n v="12508716.91"/>
    <n v="-21.55"/>
    <s v="Below"/>
    <s v="One Crore Twenty Five Lakh Eight Thousand Seven Hundred Sixteen Rupees and Ninety One Paise Only"/>
    <s v="Circle"/>
    <m/>
    <n v="12508716.91"/>
    <s v="V M SOJITRA"/>
    <s v=" VINODBHAI MEGHJIBHAI SOJITRA"/>
    <s v="SHOP NO. 7, FIRST FLOOR, AKSHAR RESIDENCY, GIRIRAJ MAIN ROAD,  JUNAGADH - 362001"/>
    <n v="0"/>
    <d v="2025-04-30T00:00:00"/>
    <s v="5054 Suvidhapath 2024-25"/>
    <s v="Superintending Engineer, Panchayat Road and Building Circle-2, Rajkot"/>
    <s v="RPC-2/Tender/Bhav/58"/>
    <d v="2025-05-14T00:00:00"/>
    <n v="8"/>
    <n v="626000"/>
    <d v="2029-04-11T00:00:00"/>
    <n v="57800"/>
    <n v="553000"/>
    <d v="2026-03-03T00:00:00"/>
    <d v="2029-02-10T00:00:00"/>
    <n v="722"/>
    <d v="2025-05-20T00:00:00"/>
    <m/>
    <m/>
    <m/>
    <m/>
    <m/>
    <m/>
    <m/>
    <m/>
    <m/>
    <m/>
    <m/>
    <m/>
    <m/>
    <d v="2025-06-01T00:00:00"/>
    <m/>
    <m/>
    <m/>
    <m/>
    <m/>
    <m/>
    <m/>
    <m/>
    <m/>
  </r>
  <r>
    <n v="21"/>
    <m/>
    <s v="2025-26"/>
    <n v="1"/>
    <n v="21"/>
    <s v="Construction Cement Concrete Roads of Bhavnagar District Package No. RPC-2/BVN/Suvidhapath/2024-25/P.02 Ta. Palitana, Dist. Bhavnagar"/>
    <s v="(1) Virpur Malapara Road joining to Randola (village Virpur)_x000a_(2) Gheti Nanimal Road (village Gheti)_x000a_"/>
    <s v="Palitana"/>
    <x v="3"/>
    <s v="Road"/>
    <m/>
    <n v="171660"/>
    <n v="1"/>
    <d v="2025-04-03T00:00:00"/>
    <d v="2025-04-15T00:00:00"/>
    <d v="2025-04-16T00:00:00"/>
    <d v="2025-08-13T00:00:00"/>
    <n v="14196862.689999999"/>
    <m/>
    <n v="9655286.3200000003"/>
    <n v="-31.99"/>
    <s v="Below"/>
    <s v="Ninety Six Lakh Fifty Five Thousand Two Hundred Eighty Six Rupees and Thirty Two Paise Only"/>
    <s v="Circle"/>
    <m/>
    <n v="9655286.3200000003"/>
    <s v="OM CONSTRUCTION CO."/>
    <s v="VANRAJSINH BOGHUBHA SARVAIYA"/>
    <s v="314, Third Floor, Surabhi Mall, Waghawadi Road, BHAVNAGAR-364001"/>
    <n v="9427511001"/>
    <d v="2025-04-30T00:00:00"/>
    <s v="5054 Suvidhapath 2024-25"/>
    <s v="Superintending Engineer, Panchayat Road and Building Circle-2, Rajkot"/>
    <s v="RPC-2/Tender/Bhav/60"/>
    <d v="2025-05-14T00:00:00"/>
    <n v="6"/>
    <n v="483000"/>
    <d v="2029-06-26T00:00:00"/>
    <n v="69600"/>
    <n v="937000"/>
    <d v="2026-05-18T00:00:00"/>
    <d v="2029-04-27T00:00:00"/>
    <n v="721"/>
    <d v="2025-05-20T00:00:00"/>
    <s v="2025-26"/>
    <n v="62"/>
    <d v="2025-07-19T00:00:00"/>
    <s v="BG"/>
    <s v="Punjab National Bank"/>
    <s v="40500ILG002925"/>
    <n v="483000"/>
    <d v="2025-06-23T00:00:00"/>
    <s v="BG"/>
    <s v="Punjab National Bank"/>
    <s v="40500ILG002725"/>
    <n v="937000"/>
    <d v="2025-06-23T00:00:00"/>
    <d v="2025-10-15T00:00:00"/>
    <n v="998"/>
    <d v="2025-07-19T00:00:00"/>
    <m/>
    <m/>
    <m/>
    <m/>
    <m/>
    <m/>
    <m/>
  </r>
  <r>
    <n v="22"/>
    <m/>
    <s v="2025-26"/>
    <n v="1"/>
    <n v="22"/>
    <s v="Construction Cement Concrete Roads of Bhavnagar District Package No. RPC-2/BVN/Suvidhapath/2024-25/P.01 Ta. Palitana, Dist. Bhavnagar"/>
    <s v="(1) Surnagar Samadhiyala Road (village Samadhiyala)_x000a_(2) Kumbhan Khakhariya Road (village Kumbhan)_x000a_(3) Jamvali Primary School Approach Road (village Jamvali) _x000a_(4) Bhundarakha-1 to Bhundarakha Road (village Bhundarakha)_x000a_(5) Nanimal Dedarada Road (village Dedarada)_x000a_(6) Anida Mandavada Road (village Anida)_x000a_(7) Lapaliya Approach Road (village Lapaliya)"/>
    <s v="Palitana"/>
    <x v="3"/>
    <s v="Road"/>
    <m/>
    <n v="171664"/>
    <n v="1"/>
    <d v="2025-04-03T00:00:00"/>
    <d v="2025-04-15T00:00:00"/>
    <d v="2025-04-16T00:00:00"/>
    <d v="2025-08-13T00:00:00"/>
    <n v="18881716.440000001"/>
    <m/>
    <n v="12841455.35"/>
    <n v="-31.99"/>
    <s v="Below"/>
    <s v="One Crore Twenty Eight Lakh Forty One Thousand Four Hundred Fifty Five Rupees and Thirty Five Paise Only"/>
    <s v="Circle"/>
    <m/>
    <n v="12841455.35"/>
    <s v="OM CONSTRUCTION CO."/>
    <s v="VANRAJSINH BOGHUBHA SARVAIYA"/>
    <s v="314, Third Floor, Surabhi Mall, Waghawadi Road, BHAVNAGAR-364001"/>
    <n v="9427511001"/>
    <d v="2025-04-30T00:00:00"/>
    <s v="5054 Suvidhapath 2024-25"/>
    <s v="Superintending Engineer, Panchayat Road and Building Circle-2, Rajkot"/>
    <s v="RPC-2/Tender/Bhav/61"/>
    <d v="2025-05-14T00:00:00"/>
    <n v="8"/>
    <n v="643000"/>
    <d v="2029-09-30T00:00:00"/>
    <n v="92600"/>
    <n v="1246000"/>
    <d v="2026-08-22T00:00:00"/>
    <d v="2029-08-01T00:00:00"/>
    <n v="859"/>
    <d v="2025-06-18T00:00:00"/>
    <s v="2025-26"/>
    <n v="216"/>
    <d v="2025-11-20T00:00:00"/>
    <s v="BG"/>
    <s v="State Bank of India"/>
    <s v="6376225BG0Y00073"/>
    <n v="643000"/>
    <d v="2025-09-12T00:00:00"/>
    <s v="BG"/>
    <s v="State Bank of India"/>
    <s v="6376225BG0Y00071"/>
    <n v="1246000"/>
    <d v="2025-09-11T00:00:00"/>
    <d v="2025-11-20T00:00:00"/>
    <n v="1548"/>
    <d v="2025-11-20T00:00:00"/>
    <m/>
    <m/>
    <m/>
    <m/>
    <m/>
    <m/>
    <m/>
  </r>
  <r>
    <n v="23"/>
    <m/>
    <s v="2025-26"/>
    <n v="2"/>
    <n v="1"/>
    <s v="Construction To Roads of Bhavnagar District Package No. RPC-2/BVN/MMGSY/Normal/2024-25/P.03 Ta. Mahuva, Dist. Bhavnagar"/>
    <s v="(1) Mahuva Vaghnagar Road_x000a_(2) Katpar Bandar Vistar Road"/>
    <s v="Mahuva"/>
    <x v="1"/>
    <s v="Road"/>
    <m/>
    <n v="180644"/>
    <m/>
    <d v="2025-05-01T00:00:00"/>
    <d v="2025-05-12T00:00:00"/>
    <d v="2025-05-13T00:00:00"/>
    <d v="2025-09-09T00:00:00"/>
    <n v="13447081.02"/>
    <m/>
    <n v="13043668.59"/>
    <n v="-3"/>
    <s v="Below"/>
    <s v="One Crore Thirty Lakh Forty Three Thousand Six Hundred Sixty Eight Rupees and Fifty Nine Paise Only"/>
    <s v="Circle"/>
    <m/>
    <n v="13043668.59"/>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3"/>
    <d v="2025-06-02T00:00:00"/>
    <n v="6"/>
    <n v="653000"/>
    <d v="2029-06-26T00:00:00"/>
    <n v="32000"/>
    <n v="0"/>
    <d v="2026-05-18T00:00:00"/>
    <d v="2029-04-27T00:00:00"/>
    <n v="861"/>
    <d v="2025-06-19T00:00:00"/>
    <s v="2025-26"/>
    <n v="66"/>
    <d v="2025-08-02T00:00:00"/>
    <s v="BG"/>
    <s v="HDFC Bank"/>
    <s v="101GT02252020011"/>
    <n v="653000"/>
    <d v="2025-07-21T00:00:00"/>
    <m/>
    <m/>
    <m/>
    <m/>
    <m/>
    <d v="2025-10-15T00:00:00"/>
    <n v="1058"/>
    <d v="2025-08-02T00:00:00"/>
    <m/>
    <m/>
    <m/>
    <m/>
    <m/>
    <m/>
    <m/>
  </r>
  <r>
    <n v="24"/>
    <m/>
    <s v="2025-26"/>
    <n v="2"/>
    <n v="2"/>
    <s v="Construction To Roads of Bhavnagar District Package No. RPC-2/BVN/MMGSY/Normal/2024-25/P.01 Ta. Gariyadhar, Dist. Bhavnagar"/>
    <s v="(1) Shivendranagar Dedarada Cutting Road_x000a_(2) Bela Vinay Mandir High School Road"/>
    <s v="Gariyadhar"/>
    <x v="3"/>
    <s v="Road"/>
    <m/>
    <n v="180796"/>
    <m/>
    <d v="2025-05-01T00:00:00"/>
    <d v="2025-05-12T00:00:00"/>
    <d v="2025-05-13T00:00:00"/>
    <d v="2025-09-09T00:00:00"/>
    <n v="19431786.449999999"/>
    <m/>
    <n v="16175019.039999999"/>
    <n v="-16.760000000000002"/>
    <s v="Below"/>
    <s v="One Crore Sixty One Lakh Seventy Five Thousand Nineteen Rupees and Four Paise Only"/>
    <s v="Circle"/>
    <m/>
    <n v="16175019.039999999"/>
    <s v="C M VAGHELA"/>
    <s v="CHATURBHAI MOHANBHAI VAGHELA"/>
    <s v="MOTI PANIYALI, Via. Po. SHETRUNJI, Ta. PALITANA, Dist. BHAVNAGAR-364270"/>
    <n v="9925448120"/>
    <d v="2025-05-27T00:00:00"/>
    <s v="5054 MMGSY NORMAL 2024-25"/>
    <s v="Superintending Engineer, Panchayat Road and Building Circle-2, Rajkot"/>
    <s v="RPC-2/Tender/Bhav/102"/>
    <d v="2025-06-02T00:00:00"/>
    <n v="10"/>
    <n v="809000"/>
    <d v="2029-10-24T00:00:00"/>
    <n v="52600"/>
    <n v="263000"/>
    <d v="2026-09-15T00:00:00"/>
    <d v="2029-08-25T00:00:00"/>
    <n v="862"/>
    <d v="2025-06-19T00:00:00"/>
    <m/>
    <m/>
    <m/>
    <m/>
    <m/>
    <m/>
    <m/>
    <m/>
    <m/>
    <m/>
    <m/>
    <m/>
    <m/>
    <d v="2025-10-15T00:00:00"/>
    <m/>
    <m/>
    <m/>
    <m/>
    <m/>
    <m/>
    <m/>
    <m/>
    <m/>
  </r>
  <r>
    <n v="25"/>
    <m/>
    <s v="2025-26"/>
    <n v="2"/>
    <n v="3"/>
    <s v="Construction of Pachhegam Approach Road Km 0/0 to 2/400, Ta. Gariyadhar, Dist. Bhavnagar"/>
    <m/>
    <s v="Gariyadhar"/>
    <x v="3"/>
    <s v="Road"/>
    <m/>
    <n v="180803"/>
    <m/>
    <d v="2025-05-01T00:00:00"/>
    <d v="2025-05-12T00:00:00"/>
    <d v="2025-05-13T00:00:00"/>
    <d v="2025-09-09T00:00:00"/>
    <n v="18362127.199999999"/>
    <m/>
    <n v="15220367.24"/>
    <n v="-17.11"/>
    <s v="Below"/>
    <s v="One Crore Fifty Two Lakh Twenty Thousand Three Hundred Sixty Seven Rupees and Twenty Four Paise Only"/>
    <s v="Circle"/>
    <m/>
    <n v="15220367.24"/>
    <s v="C M VAGHELA"/>
    <s v="CHATURBHAI MOHANBHAI VAGHELA"/>
    <s v="MOTI PANIYALI, Via. Po. SHETRUNJI, Ta. PALITANA, Dist. BHAVNAGAR-364270"/>
    <n v="9925448120"/>
    <d v="2025-05-27T00:00:00"/>
    <s v="5054 MMGSY NORMAL 2024-25"/>
    <s v="Superintending Engineer, Panchayat Road and Building Circle-2, Rajkot"/>
    <s v="RPC-2/Tender/Bhav/99"/>
    <d v="2025-06-02T00:00:00"/>
    <n v="8"/>
    <n v="762000"/>
    <d v="2029-08-25T00:00:00"/>
    <n v="50200"/>
    <n v="262000"/>
    <d v="2026-07-17T00:00:00"/>
    <d v="2029-06-26T00:00:00"/>
    <n v="863"/>
    <d v="2025-06-19T00:00:00"/>
    <m/>
    <m/>
    <m/>
    <m/>
    <m/>
    <m/>
    <m/>
    <m/>
    <m/>
    <m/>
    <m/>
    <m/>
    <m/>
    <d v="2025-10-15T00:00:00"/>
    <m/>
    <m/>
    <m/>
    <m/>
    <m/>
    <m/>
    <m/>
    <m/>
    <m/>
  </r>
  <r>
    <n v="26"/>
    <m/>
    <s v="2025-26"/>
    <n v="2"/>
    <n v="4"/>
    <s v="Construction of Navaniya Kanthariya Road Km 0/0 to 4/500, Ta. Vallabhipur, Dist. Bhavnagar"/>
    <m/>
    <s v="Vallabhipur"/>
    <x v="0"/>
    <s v="Road"/>
    <m/>
    <n v="180808"/>
    <m/>
    <d v="2025-05-01T00:00:00"/>
    <d v="2025-05-12T00:00:00"/>
    <d v="2025-05-13T00:00:00"/>
    <d v="2025-09-09T00:00:00"/>
    <n v="35977034.640000001"/>
    <m/>
    <n v="30569686.329999998"/>
    <n v="-15.03"/>
    <s v="Below"/>
    <s v="Three Crore Five Lakh Sixty Nine Thousand Six Hundred Eighty Six Rupees and Thirty Three Paise Only"/>
    <s v="Government"/>
    <m/>
    <n v="30569686.329999998"/>
    <s v="BHAVANI CONSTRUCTION COMPANY"/>
    <s v="RANJITBHAI BAHADURBHAI VALA"/>
    <s v="101, SHREEEJI ANAND CORNER, NEAR HDFC BANK, TOWER ROAD, PARA, Dist. BOTAD -364710"/>
    <n v="0"/>
    <d v="2025-05-27T00:00:00"/>
    <s v="5054 MMGSY NORMAL 2024-25"/>
    <s v="Road and Building Department, Ganghinagar"/>
    <s v="RBD/TRF/e-file/16/2025/3350/Section D1"/>
    <d v="2025-06-06T00:00:00"/>
    <n v="10"/>
    <n v="1529000"/>
    <d v="2029-11-22T00:00:00"/>
    <n v="92700"/>
    <n v="362000"/>
    <d v="2026-10-14T00:00:00"/>
    <d v="2029-09-23T00:00:00"/>
    <n v="864"/>
    <d v="2025-06-19T00:00:00"/>
    <s v="2025-26"/>
    <n v="210"/>
    <d v="2025-11-13T00:00:00"/>
    <s v="FDR"/>
    <s v="HDFC Bank"/>
    <s v="5030044769452"/>
    <n v="1529000"/>
    <d v="2025-10-30T00:00:00"/>
    <s v="FDR"/>
    <s v="HDFC Bank"/>
    <s v="5030044769453"/>
    <n v="362000"/>
    <d v="2025-10-30T00:00:00"/>
    <d v="2025-11-13T00:00:00"/>
    <n v="1538"/>
    <d v="2025-11-13T00:00:00"/>
    <m/>
    <m/>
    <m/>
    <m/>
    <m/>
    <m/>
    <m/>
  </r>
  <r>
    <n v="27"/>
    <m/>
    <s v="2025-26"/>
    <n v="2"/>
    <n v="5"/>
    <s v="Construction of Pithalpur Gadhula Road Km 0/0 to 2/700, Ta. Talaja, Dist. Bhavnagar"/>
    <m/>
    <s v="Talaja"/>
    <x v="4"/>
    <s v="Road"/>
    <m/>
    <n v="180814"/>
    <m/>
    <d v="2025-05-01T00:00:00"/>
    <d v="2025-05-12T00:00:00"/>
    <d v="2025-05-13T00:00:00"/>
    <d v="2025-09-09T00:00:00"/>
    <n v="16879671.48"/>
    <m/>
    <n v="14687002.15"/>
    <n v="-12.99"/>
    <s v="Below"/>
    <s v="One Crore Forty Six Lakh Eighty Seven Thousand Two Rupees and Fifteen Paise Only"/>
    <s v="Circle"/>
    <m/>
    <n v="14687002.15"/>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0"/>
    <d v="2025-06-02T00:00:00"/>
    <n v="10"/>
    <n v="735000"/>
    <d v="2029-10-24T00:00:00"/>
    <n v="41000"/>
    <n v="101000"/>
    <d v="2026-09-15T00:00:00"/>
    <d v="2029-08-25T00:00:00"/>
    <n v="865"/>
    <d v="2025-06-19T00:00:00"/>
    <s v="2025-26"/>
    <n v="72"/>
    <d v="2025-08-08T00:00:00"/>
    <s v="BG"/>
    <s v="HDFC Bank"/>
    <s v="101GT02252020008"/>
    <n v="735000"/>
    <d v="2025-07-21T00:00:00"/>
    <s v="BG"/>
    <s v="HDFC Bank"/>
    <s v="101GT02252020015"/>
    <n v="101000"/>
    <d v="2025-07-21T00:00:00"/>
    <d v="2025-10-15T00:00:00"/>
    <n v="1050"/>
    <d v="2025-08-08T00:00:00"/>
    <m/>
    <m/>
    <m/>
    <m/>
    <m/>
    <m/>
    <m/>
  </r>
  <r>
    <n v="28"/>
    <m/>
    <s v="2025-26"/>
    <n v="2"/>
    <n v="6"/>
    <s v="Construction of Padargadh Borada Road Km 0/0 to 2/750, Ta. Talaja, Dist. Bhavnagar"/>
    <m/>
    <s v="Talaja"/>
    <x v="4"/>
    <s v="Road"/>
    <m/>
    <n v="180825"/>
    <m/>
    <d v="2025-05-01T00:00:00"/>
    <d v="2025-05-12T00:00:00"/>
    <d v="2025-05-13T00:00:00"/>
    <d v="2025-09-09T00:00:00"/>
    <n v="15690763.65"/>
    <m/>
    <n v="12747176.390000001"/>
    <n v="-18.760000000000002"/>
    <s v="Below"/>
    <s v="One Crore Twenty Seven Lakh Forty Seven Thousand One Hundred Seventy Six Rupees and Thirty Nine Paise Only"/>
    <s v="Circle"/>
    <m/>
    <n v="12747176.390000001"/>
    <s v="C M VAGHELA"/>
    <s v="CHATURBHAI MOHANBHAI VAGHELA"/>
    <s v="MOTI PANIYALI, Via. Po. SHETRUNJI, Ta. PALITANA, Dist. BHAVNAGAR-364270"/>
    <n v="9925448120"/>
    <d v="2025-05-27T00:00:00"/>
    <s v="5054 MMGSY NORMAL 2024-25"/>
    <s v="Superintending Engineer, Panchayat Road and Building Circle-2, Rajkot"/>
    <s v="RPC-2/Tender/Bhav/105"/>
    <d v="2025-06-02T00:00:00"/>
    <n v="8"/>
    <n v="638000"/>
    <d v="2029-08-25T00:00:00"/>
    <n v="44800"/>
    <n v="275000"/>
    <d v="2026-07-17T00:00:00"/>
    <d v="2029-06-26T00:00:00"/>
    <n v="866"/>
    <d v="2025-06-19T00:00:00"/>
    <m/>
    <m/>
    <m/>
    <m/>
    <m/>
    <m/>
    <m/>
    <m/>
    <m/>
    <m/>
    <m/>
    <m/>
    <m/>
    <d v="2025-10-15T00:00:00"/>
    <m/>
    <m/>
    <m/>
    <m/>
    <m/>
    <m/>
    <m/>
    <m/>
    <m/>
  </r>
  <r>
    <n v="29"/>
    <m/>
    <s v="2025-26"/>
    <n v="2"/>
    <n v="7"/>
    <s v="Construction of Mota Charodiya Jagatpir Ashram Road Km 0/0 to 1/800, Ta. Gariyadhar, Dist. Bhavnagar"/>
    <m/>
    <s v="Gariyadhar"/>
    <x v="3"/>
    <s v="Road"/>
    <m/>
    <n v="180832"/>
    <m/>
    <d v="2025-05-01T00:00:00"/>
    <d v="2025-05-12T00:00:00"/>
    <d v="2025-05-13T00:00:00"/>
    <d v="2025-09-09T00:00:00"/>
    <n v="11333888.539999999"/>
    <m/>
    <n v="9573735.6500000004"/>
    <n v="-15.53"/>
    <s v="Below"/>
    <s v="Ninety Five Lakh Seventy Three Thousand Seven Hundred Thirty Five Rupees and Sixty Five Paise Only"/>
    <s v="Circle"/>
    <m/>
    <n v="9573735.6500000004"/>
    <s v="C M VAGHELA"/>
    <s v="CHATURBHAI MOHANBHAI VAGHELA"/>
    <s v="MOTI PANIYALI, Via. Po. SHETRUNJI, Ta. PALITANA, Dist. BHAVNAGAR-364270"/>
    <n v="9925448120"/>
    <d v="2025-05-27T00:00:00"/>
    <s v="5054 MMGSY SCSP 2024-25"/>
    <s v="Superintending Engineer, Panchayat Road and Building Circle-2, Rajkot"/>
    <s v="RPC-2/Tender/Bhav/104"/>
    <d v="2025-06-02T00:00:00"/>
    <n v="8"/>
    <n v="479000"/>
    <d v="2029-08-25T00:00:00"/>
    <n v="29700"/>
    <n v="126000"/>
    <d v="2026-07-17T00:00:00"/>
    <d v="2029-06-26T00:00:00"/>
    <n v="867"/>
    <d v="2025-06-19T00:00:00"/>
    <m/>
    <m/>
    <m/>
    <m/>
    <m/>
    <m/>
    <m/>
    <m/>
    <m/>
    <m/>
    <m/>
    <m/>
    <m/>
    <d v="2025-10-15T00:00:00"/>
    <m/>
    <m/>
    <m/>
    <m/>
    <m/>
    <m/>
    <m/>
    <m/>
    <m/>
  </r>
  <r>
    <n v="30"/>
    <m/>
    <s v="2025-26"/>
    <n v="2"/>
    <n v="8"/>
    <s v="Construction of Gopnath joining to Mastramdhara link Road Km 0/0 to 2/250, Ta. Talaja, Dist. Bhavnagar"/>
    <m/>
    <s v="Talaja"/>
    <x v="4"/>
    <s v="Road"/>
    <m/>
    <n v="180651"/>
    <m/>
    <d v="2025-05-01T00:00:00"/>
    <d v="2025-05-12T00:00:00"/>
    <d v="2025-05-13T00:00:00"/>
    <d v="2025-09-09T00:00:00"/>
    <n v="13577420.949999999"/>
    <m/>
    <n v="9505552.4100000001"/>
    <n v="-29.99"/>
    <s v="Below"/>
    <s v="Ninety Five Lakh Five Thousand Five Hundred Fifty Two Rupees and Forty One Paise Only"/>
    <s v="Circle"/>
    <m/>
    <n v="9505552.4100000001"/>
    <s v="ASHAPURA CONSTRUCTION"/>
    <n v="0"/>
    <s v="&quot;Ashapura Nivas&quot;, Shivaji Nagar, Talaja, Ta. Talaja Dist. Bhavnagar"/>
    <n v="9638310999"/>
    <d v="2025-05-27T00:00:00"/>
    <s v="5054 MMGSY NORMAL 2024-25"/>
    <s v="Superintending Engineer, Panchayat Road and Building Circle-2, Rajkot"/>
    <s v="RPC-2/Tender/Bhav/97"/>
    <d v="2025-06-02T00:00:00"/>
    <n v="6"/>
    <n v="476000"/>
    <d v="2029-04-19T00:00:00"/>
    <n v="63300"/>
    <n v="815000"/>
    <d v="2026-03-11T00:00:00"/>
    <d v="2029-02-18T00:00:00"/>
    <n v="868"/>
    <d v="2025-06-19T00:00:00"/>
    <s v="2025-26"/>
    <n v="74"/>
    <d v="2025-08-08T00:00:00"/>
    <s v="FDR"/>
    <s v="HDFC Bank"/>
    <s v="50301195323355"/>
    <n v="476000"/>
    <d v="2025-07-31T00:00:00"/>
    <s v="FDR"/>
    <s v="HDFC Bank"/>
    <s v="50301193104650"/>
    <n v="815000"/>
    <d v="2025-07-25T00:00:00"/>
    <d v="2025-08-08T00:00:00"/>
    <n v="1052"/>
    <d v="2025-08-08T00:00:00"/>
    <m/>
    <m/>
    <m/>
    <m/>
    <m/>
    <m/>
    <m/>
  </r>
  <r>
    <n v="31"/>
    <m/>
    <s v="2025-26"/>
    <n v="2"/>
    <n v="9"/>
    <s v="Construction of Langala to Dedakadi Road Km 0/0 to 2/400, Ta. Vallabhipur, Dist. Bhavnagar"/>
    <m/>
    <s v="Umrala"/>
    <x v="0"/>
    <s v="Road"/>
    <m/>
    <n v="180840"/>
    <m/>
    <d v="2025-05-01T00:00:00"/>
    <d v="2025-05-12T00:00:00"/>
    <d v="2025-05-13T00:00:00"/>
    <d v="2025-09-09T00:00:00"/>
    <n v="15863200.939999999"/>
    <m/>
    <n v="14078590.83"/>
    <n v="-11.25"/>
    <s v="Below"/>
    <s v="One Crore Forty Lakh Seventy Eight Thousand Five Hundred Ninety Rupees and Eighty Three Paise Only"/>
    <s v="Circle"/>
    <m/>
    <n v="14078590.83"/>
    <s v="Universal associates"/>
    <n v="0"/>
    <s v="70, Hari Darshan Township, Subhashnagar, Bhavnagar"/>
    <n v="9825209897"/>
    <d v="2025-05-27T00:00:00"/>
    <s v="5054 MMGSY SCSP 2024-25"/>
    <s v="Superintending Engineer, Panchayat Road and Building Circle-2, Rajkot"/>
    <s v="RPC-2/Tender/Bhav/96"/>
    <d v="2025-06-02T00:00:00"/>
    <n v="8"/>
    <n v="704000"/>
    <d v="2029-08-25T00:00:00"/>
    <n v="36500"/>
    <n v="40000"/>
    <d v="2026-07-17T00:00:00"/>
    <d v="2029-06-26T00:00:00"/>
    <n v="869"/>
    <d v="2025-06-19T00:00:00"/>
    <s v="2025-26"/>
    <n v="89"/>
    <d v="2025-08-18T00:00:00"/>
    <s v="FDR"/>
    <s v="State Bank of India"/>
    <n v="44345147183"/>
    <n v="704000"/>
    <d v="2025-08-04T00:00:00"/>
    <s v="FDR"/>
    <s v="State Bank of India"/>
    <n v="44345136001"/>
    <n v="40000"/>
    <d v="2025-08-04T00:00:00"/>
    <d v="2025-10-15T00:00:00"/>
    <n v="1168"/>
    <d v="2025-08-18T00:00:00"/>
    <m/>
    <m/>
    <m/>
    <m/>
    <m/>
    <m/>
    <m/>
  </r>
  <r>
    <n v="32"/>
    <m/>
    <s v="2025-26"/>
    <n v="2"/>
    <n v="10"/>
    <s v="Construction of Sanala To Sanala Cutting Road (NP) Km.0/000 to 1/400 Ta. Jesar, Dist. Bhavnagar"/>
    <m/>
    <s v="Jesar"/>
    <x v="1"/>
    <s v="Road"/>
    <m/>
    <n v="180844"/>
    <m/>
    <d v="2025-05-01T00:00:00"/>
    <d v="2025-05-12T00:00:00"/>
    <d v="2025-05-13T00:00:00"/>
    <d v="2025-09-09T00:00:00"/>
    <n v="23183208.690000001"/>
    <m/>
    <n v="19107600.600000001"/>
    <n v="-17.579999999999998"/>
    <s v="Below"/>
    <s v="One Crore Ninety One Lakh Seven Thousand Six Hundred Rupees and Six Paise Only"/>
    <s v="Circle"/>
    <m/>
    <n v="19107600.600000001"/>
    <s v="C M VAGHELA"/>
    <s v="CHATURBHAI MOHANBHAI VAGHELA"/>
    <s v="MOTI PANIYALI, Via. Po. SHETRUNJI, Ta. PALITANA, Dist. BHAVNAGAR-364270"/>
    <n v="9925448120"/>
    <d v="2025-05-27T00:00:00"/>
    <s v="5054 MMGSY SCSP 2024-25"/>
    <s v="Road and Building Department, Ganghinagar"/>
    <s v="RBD/TRF/e-file/16/2025/3302/Section D1"/>
    <d v="2025-06-05T00:00:00"/>
    <n v="8"/>
    <n v="956000"/>
    <d v="2029-08-25T00:00:00"/>
    <n v="64100"/>
    <n v="352000"/>
    <d v="2026-07-17T00:00:00"/>
    <d v="2029-06-26T00:00:00"/>
    <n v="870"/>
    <d v="2025-06-19T00:00:00"/>
    <m/>
    <m/>
    <m/>
    <m/>
    <m/>
    <m/>
    <m/>
    <m/>
    <m/>
    <m/>
    <m/>
    <m/>
    <m/>
    <d v="2025-10-15T00:00:00"/>
    <m/>
    <m/>
    <m/>
    <m/>
    <m/>
    <m/>
    <m/>
    <m/>
    <m/>
  </r>
  <r>
    <n v="33"/>
    <s v="2024-25"/>
    <s v="2025-26"/>
    <n v="2"/>
    <n v="11"/>
    <s v="Resurfacing to Roads of Bhavnagar District Package no. RPC-2/BVN/MMGSY/Normal/2024-25/P.04 Ta. Shihor, Dist. Bhavnagar"/>
    <s v="(1) Ramdhari Chorvadala Road_x000a_(2) Sarvedi Dholakuva Road_x000a_(3) Sandhida Dhankadkunda Dholakuva Road"/>
    <s v="Shihor"/>
    <x v="5"/>
    <s v="Road"/>
    <m/>
    <n v="180848"/>
    <m/>
    <d v="2025-05-01T00:00:00"/>
    <d v="2025-05-12T00:00:00"/>
    <d v="2025-05-13T00:00:00"/>
    <d v="2025-09-09T00:00:00"/>
    <n v="44204292.450000003"/>
    <m/>
    <n v="38842311.780000001"/>
    <n v="-12.13"/>
    <s v="Below"/>
    <s v="Three Crore Eighty Eight Lakh Forty Two Thousand Three Hundred Eleven Rupees and Seventy Eight Paise Only"/>
    <s v="Government"/>
    <m/>
    <n v="38842311.780000001"/>
    <s v="SAMIR H SAIYAD"/>
    <n v="0"/>
    <s v="Shop No. 112, Sunrise Complex, Dawn Chowk, Bhavnagar "/>
    <n v="7600749191"/>
    <d v="2025-05-27T00:00:00"/>
    <s v="3054 MMGSY NORMAL 2024-25"/>
    <s v="Road and Building Department, Ganghinagar"/>
    <s v="RBD/TRF/e-file/16/2025/3300/Section D1"/>
    <d v="2025-06-17T00:00:00"/>
    <n v="10"/>
    <n v="1943000"/>
    <d v="2029-11-19T00:00:00"/>
    <n v="104500"/>
    <n v="189000"/>
    <d v="2026-10-11T00:00:00"/>
    <d v="2029-09-20T00:00:00"/>
    <n v="873"/>
    <d v="2025-06-21T00:00:00"/>
    <s v="2025-26"/>
    <n v="202"/>
    <d v="2025-11-10T00:00:00"/>
    <s v="FDR"/>
    <s v="Union Bank of India"/>
    <s v="32423030002307"/>
    <n v="1943000"/>
    <d v="2025-10-29T00:00:00"/>
    <s v="FDR"/>
    <s v="Union Bank of India"/>
    <s v="32423030002308"/>
    <n v="189000"/>
    <d v="2025-10-29T00:00:00"/>
    <d v="2025-11-10T00:00:00"/>
    <n v="1510"/>
    <d v="2025-11-10T00:00:00"/>
    <m/>
    <m/>
    <m/>
    <m/>
    <m/>
    <m/>
    <m/>
  </r>
  <r>
    <n v="34"/>
    <s v="2024-25"/>
    <s v="2025-26"/>
    <n v="2"/>
    <n v="12"/>
    <s v="Resurfacing and Routine Maintenance to Roads of Bhavnagar District Package no. RPC-2/BVN/MMGSY/Normal/2024-25/P.02 Ta. Bhavnagar Ghogha, Dist. Bhavnagar"/>
    <s v="(1) Avaniya Jodhpura Area Road_x000a_(2) Valukadpara Approach Road_x000a_(3) Navagam Approach Road_x000a_(4) Mota Khokhara To Vadi Area Road_x000a_(5) Bhikada Bhikadapara Road_x000a_"/>
    <s v="Bhavnagar"/>
    <x v="2"/>
    <s v="Road"/>
    <m/>
    <n v="180705"/>
    <m/>
    <d v="2025-05-01T00:00:00"/>
    <d v="2025-05-12T00:00:00"/>
    <d v="2025-05-13T00:00:00"/>
    <d v="2025-09-09T00:00:00"/>
    <n v="18127674.920000002"/>
    <m/>
    <n v="16088311.49"/>
    <n v="-11.25"/>
    <s v="Below"/>
    <s v="One Crore Sixty Lakh Eighty Eight Thousand Three Hundred Eleven Rupees and Forty Nine Paise Only"/>
    <s v="Circle"/>
    <n v="1224193.3999999999"/>
    <n v="17312504.890000001"/>
    <s v="Universal associates"/>
    <n v="0"/>
    <s v="70, Hari Darshan Township, Subhashnagar, Bhavnagar"/>
    <n v="9825209897"/>
    <d v="2025-05-27T00:00:00"/>
    <s v="5054 MMGSY NORMAL 2024-25"/>
    <s v="Superintending Engineer, Panchayat Road and Building Circle-2, Rajkot"/>
    <s v="RPC-2/Tender/Bhav/107"/>
    <d v="2025-06-02T00:00:00"/>
    <n v="8"/>
    <n v="805000"/>
    <d v="2029-08-25T00:00:00"/>
    <n v="41700"/>
    <n v="46000"/>
    <d v="2026-07-17T00:00:00"/>
    <d v="2029-06-26T00:00:00"/>
    <n v="874"/>
    <d v="2025-06-21T00:00:00"/>
    <s v="2025-26"/>
    <n v="63"/>
    <d v="2025-07-19T00:00:00"/>
    <s v="FDR"/>
    <s v="State Bank of India"/>
    <n v="44288079123"/>
    <n v="805000"/>
    <d v="2025-07-17T00:00:00"/>
    <s v="FDR"/>
    <s v="State Bank of India"/>
    <n v="44288012760"/>
    <n v="46000"/>
    <d v="2025-07-17T00:00:00"/>
    <d v="2025-10-15T00:00:00"/>
    <n v="999"/>
    <d v="2025-09-17T00:00:00"/>
    <m/>
    <m/>
    <m/>
    <m/>
    <m/>
    <m/>
    <m/>
  </r>
  <r>
    <n v="35"/>
    <m/>
    <s v="2025-26"/>
    <n v="2"/>
    <n v="13"/>
    <s v="Improvement of Khadsaliya Morchand Padva Road (VR NP) (Khadsaliya Morchand Km.0/000 -3/800) Ta.Ghogha, Dist.; Bhavnagar"/>
    <m/>
    <s v="Ghogha"/>
    <x v="2"/>
    <s v="Road"/>
    <m/>
    <n v="180856"/>
    <m/>
    <d v="2025-05-01T00:00:00"/>
    <d v="2025-05-12T00:00:00"/>
    <d v="2025-05-13T00:00:00"/>
    <d v="2025-09-09T00:00:00"/>
    <n v="15081719.609999999"/>
    <m/>
    <n v="13271913.26"/>
    <n v="-12"/>
    <s v="Below"/>
    <s v="One Crore Thirty Two Lakh Seventy One Thousand Nine Hundred Thirteen Rupees and Twenty Six Paise Only"/>
    <s v="Circle"/>
    <m/>
    <n v="13271913.26"/>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1"/>
    <d v="2025-06-02T00:00:00"/>
    <n v="8"/>
    <n v="664000"/>
    <d v="2029-08-25T00:00:00"/>
    <n v="35600"/>
    <n v="61000"/>
    <d v="2026-07-17T00:00:00"/>
    <d v="2029-06-26T00:00:00"/>
    <n v="875"/>
    <d v="2025-06-21T00:00:00"/>
    <s v="2025-26"/>
    <n v="65"/>
    <d v="2025-08-02T00:00:00"/>
    <s v="BG"/>
    <s v="HDFC Bank"/>
    <s v="101GT02252020007"/>
    <n v="664000"/>
    <d v="2025-07-21T00:00:00"/>
    <s v="BG"/>
    <s v="HDFC Bank"/>
    <s v="101GT02252020006"/>
    <n v="61000"/>
    <d v="2025-07-21T00:00:00"/>
    <d v="2025-10-15T00:00:00"/>
    <n v="1057"/>
    <d v="2025-08-02T00:00:00"/>
    <m/>
    <m/>
    <m/>
    <m/>
    <m/>
    <m/>
    <m/>
  </r>
  <r>
    <n v="36"/>
    <m/>
    <s v="2025-26"/>
    <n v="2"/>
    <n v="14"/>
    <s v="Resurfacing of Biladi Nana Mota Pipalava Kankot Road (Sec. Pipalava to Kankot) Km 0/0 to 1/800, Ta. Mahuva, Dist. Bhavnagar"/>
    <m/>
    <s v="Mahuva"/>
    <x v="1"/>
    <s v="Road"/>
    <m/>
    <n v="180716"/>
    <m/>
    <d v="2025-05-01T00:00:00"/>
    <d v="2025-05-12T00:00:00"/>
    <d v="2025-05-13T00:00:00"/>
    <d v="2025-09-09T00:00:00"/>
    <m/>
    <s v="Yes"/>
    <m/>
    <m/>
    <s v="Equals"/>
    <s v="Zero Rupees Only"/>
    <s v="Division"/>
    <m/>
    <n v="0"/>
    <m/>
    <n v="0"/>
    <n v="0"/>
    <n v="0"/>
    <m/>
    <m/>
    <m/>
    <m/>
    <m/>
    <m/>
    <n v="0"/>
    <d v="1901-03-25T00:00:00"/>
    <n v="0"/>
    <n v="0"/>
    <d v="1900-02-03T00:00:00"/>
    <d v="1901-01-24T00:00:00"/>
    <m/>
    <m/>
    <m/>
    <m/>
    <m/>
    <m/>
    <m/>
    <m/>
    <m/>
    <m/>
    <m/>
    <m/>
    <m/>
    <m/>
    <m/>
    <m/>
    <m/>
    <m/>
    <m/>
    <m/>
    <m/>
    <m/>
    <m/>
    <m/>
    <m/>
  </r>
  <r>
    <n v="37"/>
    <m/>
    <s v="2025-26"/>
    <n v="2"/>
    <n v="15"/>
    <s v="Resurfacing and Routine Maintenance of Borala Approach Road (VR) Km.0/000 to 1/100 Ta.Mahuva, Dist.; Bhavnagar"/>
    <m/>
    <s v="Mahuva"/>
    <x v="1"/>
    <s v="Road"/>
    <m/>
    <n v="180728"/>
    <n v="1"/>
    <d v="2025-05-01T00:00:00"/>
    <d v="2025-05-12T00:00:00"/>
    <d v="2025-05-13T00:00:00"/>
    <d v="2025-09-09T00:00:00"/>
    <n v="5574164.5300000003"/>
    <m/>
    <n v="6187322.6299999999"/>
    <n v="11"/>
    <s v="Above"/>
    <s v="Sixty One Lakh Eighty Seven Thousand Three Hundred Twenty Two Rupees and Sixty Three Paise Only"/>
    <s v="Circle"/>
    <m/>
    <n v="6187322.6299999999"/>
    <s v="SHIV DHARA ENTERPRISE"/>
    <n v="0"/>
    <s v="Shop No. 131/B, First Floor, Shiva Belssing-2, Opp. BMC Office, Bhavnagar"/>
    <n v="9925888787"/>
    <d v="2025-05-27T00:00:00"/>
    <s v="5054 MMGSY NORMAL 2024-25"/>
    <s v="Superintending Engineer, Panchayat Road and Building Circle-2, Rajkot"/>
    <s v="RPC-2/Tender/Bhav/118"/>
    <d v="2025-06-10T00:00:00"/>
    <n v="4"/>
    <n v="310000"/>
    <d v="2027-05-08T00:00:00"/>
    <n v="15200"/>
    <n v="0"/>
    <d v="2026-03-19T00:00:00"/>
    <d v="2027-03-09T00:00:00"/>
    <n v="876"/>
    <d v="2025-06-21T00:00:00"/>
    <m/>
    <m/>
    <m/>
    <m/>
    <m/>
    <m/>
    <m/>
    <m/>
    <m/>
    <m/>
    <m/>
    <m/>
    <m/>
    <d v="2025-10-15T00:00:00"/>
    <m/>
    <m/>
    <m/>
    <m/>
    <m/>
    <m/>
    <m/>
    <m/>
    <m/>
  </r>
  <r>
    <n v="38"/>
    <m/>
    <s v="2025-26"/>
    <n v="2"/>
    <n v="16"/>
    <s v="Construction of Minor Bridge on Mahuva Mota Jadra Road (NP BT) Ta.Mahuva, Dist.; Bhavnagar"/>
    <m/>
    <s v="Mahuva"/>
    <x v="1"/>
    <s v="Road"/>
    <m/>
    <n v="180660"/>
    <m/>
    <d v="2025-05-01T00:00:00"/>
    <d v="2025-05-12T00:00:00"/>
    <d v="2025-05-13T00:00:00"/>
    <d v="2025-09-09T00:00:00"/>
    <n v="15230378.720000001"/>
    <m/>
    <n v="10662788.140000001"/>
    <n v="-29.99"/>
    <s v="Below"/>
    <s v="One Crore Six Lakh Sixty Two Thousand Seven Hundred Eighty Eight Rupees and Fourteen Paise Only"/>
    <s v="Circle"/>
    <m/>
    <n v="10662788.140000001"/>
    <s v="VASHRAMBHAI BIJALBHAI AND CO"/>
    <s v="DINESHBHAI VASHRAMBHAI PADAYA,"/>
    <s v="53, Chandraprakash Residency, Sidasar Road, Leela Circle, Bhavnagar-364002"/>
    <n v="9375779757"/>
    <d v="2025-05-27T00:00:00"/>
    <s v="5054 MMGSY NORMAL 2024-25"/>
    <s v="Superintending Engineer, Panchayat Road and Building Circle-2, Rajkot"/>
    <s v="RPC-2/Tender/Bhav/98"/>
    <d v="2025-06-02T00:00:00"/>
    <n v="10"/>
    <n v="534000"/>
    <d v="2029-10-24T00:00:00"/>
    <n v="71000"/>
    <n v="914000"/>
    <d v="2026-09-15T00:00:00"/>
    <d v="2029-08-25T00:00:00"/>
    <n v="879"/>
    <d v="2025-06-21T00:00:00"/>
    <s v="2025-26"/>
    <n v="147"/>
    <d v="2025-09-10T00:00:00"/>
    <s v="FDR"/>
    <s v="HDFC Bank"/>
    <s v="50301204707986"/>
    <n v="534000"/>
    <d v="2025-08-20T00:00:00"/>
    <s v="FDR"/>
    <s v="HDFC Bank"/>
    <s v="50301204708710"/>
    <n v="914000"/>
    <d v="2025-08-20T00:00:00"/>
    <d v="2025-10-15T00:00:00"/>
    <n v="1291"/>
    <d v="2025-09-10T00:00:00"/>
    <m/>
    <m/>
    <m/>
    <m/>
    <m/>
    <m/>
    <m/>
  </r>
  <r>
    <n v="39"/>
    <m/>
    <s v="2025-26"/>
    <n v="2"/>
    <n v="17"/>
    <s v="Construction New Structure of Bhavnagar District Package No. RPC-2/BVN/MMGSY/Normal/2023-24/P.11 Ta. Mahuva"/>
    <s v="(1) Vented Causeway on Dharai Titodiya Road_x000a_(2) Slab Drain on Gundarana Padargadh Road"/>
    <s v="Mahuva"/>
    <x v="1"/>
    <s v="Road"/>
    <m/>
    <n v="180666"/>
    <m/>
    <d v="2025-05-01T00:00:00"/>
    <d v="2025-05-12T00:00:00"/>
    <d v="2025-05-13T00:00:00"/>
    <d v="2025-09-09T00:00:00"/>
    <n v="11706821.6"/>
    <m/>
    <n v="8624415.4700000007"/>
    <n v="-26.33"/>
    <s v="Below"/>
    <s v="Eighty Six Lakh Twenty Four Thousand Four Hundred Fifteen Rupees and Forty Seven Paise Only"/>
    <s v="Circle"/>
    <m/>
    <n v="8624415.4700000007"/>
    <s v="CHAUHAN LALJIBHAI ARJANBHAI"/>
    <n v="0"/>
    <s v="Plot No. 13/C, Sheri No. 9, Gurunagar, Behind Chitra Petrol, Bhavnagar 364003 "/>
    <n v="8980580857"/>
    <d v="2025-05-27T00:00:00"/>
    <s v="5054 MMGSY NORMAL 2024-25"/>
    <s v="Superintending Engineer, Panchayat Road and Building Circle-2, Rajkot"/>
    <s v="RPC-2/Tender/Bhav/95"/>
    <d v="2025-06-02T00:00:00"/>
    <n v="8"/>
    <n v="432000"/>
    <d v="2029-08-25T00:00:00"/>
    <n v="49300"/>
    <n v="574000"/>
    <d v="2026-07-17T00:00:00"/>
    <d v="2029-06-26T00:00:00"/>
    <n v="877"/>
    <d v="2025-06-21T00:00:00"/>
    <m/>
    <m/>
    <m/>
    <m/>
    <m/>
    <m/>
    <m/>
    <m/>
    <m/>
    <m/>
    <m/>
    <m/>
    <m/>
    <d v="2025-10-15T00:00:00"/>
    <m/>
    <m/>
    <m/>
    <m/>
    <m/>
    <m/>
    <m/>
    <m/>
    <m/>
  </r>
  <r>
    <n v="40"/>
    <m/>
    <s v="2025-26"/>
    <n v="2"/>
    <n v="18"/>
    <s v="Construc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x v="0"/>
    <s v="Road"/>
    <m/>
    <n v="180679"/>
    <m/>
    <d v="2025-05-01T00:00:00"/>
    <d v="2025-05-12T00:00:00"/>
    <d v="2025-05-13T00:00:00"/>
    <d v="2025-09-09T00:00:00"/>
    <n v="24576686.510000002"/>
    <m/>
    <n v="18427599.550000001"/>
    <n v="-25.02"/>
    <s v="Below"/>
    <s v="One Crore Eighty Four Lakh Twenty Seven Thousand Five Hundred Ninety Nine Rupees and Fifty Five Paise Only"/>
    <s v="Circle"/>
    <m/>
    <n v="18427599.550000001"/>
    <s v="BHAVANI CONSTRUCTION COMPANY"/>
    <s v="RANJITBHAI BAHADURBHAI VALA"/>
    <s v="101, SHREEEJI ANAND CORNER, NEAR HDFC BANK, TOWER ROAD, PARA, Dist. BOTAD -364710"/>
    <n v="0"/>
    <d v="2025-05-27T00:00:00"/>
    <s v="5054 Suvidhapath 2024-25"/>
    <s v="Road and Building Department, Ganghinagar"/>
    <s v="RBD/TRF/e-file/16/2025/3304/Section D1"/>
    <d v="2025-06-05T00:00:00"/>
    <n v="8"/>
    <n v="922000"/>
    <d v="2029-09-23T00:00:00"/>
    <n v="99500"/>
    <n v="1108000"/>
    <d v="2026-08-15T00:00:00"/>
    <d v="2029-07-25T00:00:00"/>
    <n v="878"/>
    <d v="2025-06-21T00:00:00"/>
    <s v="2025-26"/>
    <n v="211"/>
    <d v="2025-11-13T00:00:00"/>
    <s v="FDR"/>
    <s v="HDFC Bank"/>
    <s v="5030044769454"/>
    <n v="922000"/>
    <d v="2025-10-30T00:00:00"/>
    <s v="FDR"/>
    <s v="HDFC Bank"/>
    <s v="5030044769455"/>
    <n v="1108000"/>
    <d v="2025-10-30T00:00:00"/>
    <d v="2025-11-13T00:00:00"/>
    <n v="1539"/>
    <d v="2025-11-13T00:00:00"/>
    <m/>
    <m/>
    <m/>
    <m/>
    <m/>
    <m/>
    <m/>
  </r>
  <r>
    <n v="41"/>
    <m/>
    <s v="2025-26"/>
    <n v="2"/>
    <n v="19"/>
    <s v="Construction Cement Concrete Roads of Bhavnagar District Package No. RPC-2/BVN/Suvidhapath/2024-25/P.12, Ta. Palitana, Dist. Bhavnagar"/>
    <s v="(1) Luvarvav Bhundarakha Road (village Luvarvav)_x000a_(2) Dudhala Damarala Bypass Road (village Damarala)"/>
    <s v="Palitana"/>
    <x v="3"/>
    <s v="Road"/>
    <m/>
    <n v="180696"/>
    <m/>
    <d v="2025-05-01T00:00:00"/>
    <d v="2025-05-12T00:00:00"/>
    <d v="2025-05-13T00:00:00"/>
    <d v="2025-09-09T00:00:00"/>
    <n v="9144415.4199999999"/>
    <m/>
    <n v="6126758.3300000001"/>
    <n v="-33"/>
    <s v="Below"/>
    <s v="Sixty One Lakh Twenty Six Thousand Seven Hundred Fifty Eight Rupees and Thirty Three Paise Only"/>
    <s v="Circle"/>
    <m/>
    <n v="6126758.3300000001"/>
    <s v="C M VAGHELA"/>
    <s v="CHATURBHAI MOHANBHAI VAGHELA"/>
    <s v="MOTI PANIYALI, Via. Po. SHETRUNJI, Ta. PALITANA, Dist. BHAVNAGAR-364270"/>
    <n v="9925448120"/>
    <d v="2025-05-27T00:00:00"/>
    <s v="5054 Suvidhapath 2024-25"/>
    <s v="Superintending Engineer, Panchayat Road and Building Circle-2, Rajkot"/>
    <s v="RPC-2/Tender/Bhav/106"/>
    <d v="2025-06-02T00:00:00"/>
    <n v="4"/>
    <n v="307000"/>
    <d v="2027-05-08T00:00:00"/>
    <n v="46000"/>
    <n v="631000"/>
    <d v="2026-03-19T00:00:00"/>
    <d v="2027-03-09T00:00:00"/>
    <n v="880"/>
    <d v="2025-06-21T00:00:00"/>
    <m/>
    <m/>
    <m/>
    <m/>
    <m/>
    <m/>
    <m/>
    <m/>
    <m/>
    <m/>
    <m/>
    <m/>
    <m/>
    <d v="2025-10-15T00:00:00"/>
    <m/>
    <m/>
    <m/>
    <m/>
    <m/>
    <m/>
    <m/>
    <m/>
    <m/>
  </r>
  <r>
    <n v="42"/>
    <m/>
    <s v="2025-26"/>
    <n v="2"/>
    <n v="20"/>
    <s v="Construction of PanchTobara Gangajaliya To Malvali Road To Ratanvav Surnivas Road Km 0/0 to 2/200, Ta. Gariyadhar, Dist. Bhavnagar"/>
    <m/>
    <s v="Gariyadhar"/>
    <x v="3"/>
    <s v="Road"/>
    <m/>
    <m/>
    <m/>
    <d v="2025-05-01T00:00:00"/>
    <d v="2025-05-12T00:00:00"/>
    <d v="2025-05-13T00:00:00"/>
    <d v="2025-09-09T00:00:00"/>
    <m/>
    <s v="Yes"/>
    <m/>
    <m/>
    <s v="Equals"/>
    <s v="Zero Rupees Only"/>
    <s v="Division"/>
    <m/>
    <n v="0"/>
    <m/>
    <n v="0"/>
    <n v="0"/>
    <n v="0"/>
    <m/>
    <m/>
    <m/>
    <m/>
    <m/>
    <m/>
    <n v="0"/>
    <d v="1901-03-25T00:00:00"/>
    <n v="0"/>
    <n v="0"/>
    <d v="1900-02-03T00:00:00"/>
    <d v="1901-01-24T00:00:00"/>
    <m/>
    <m/>
    <m/>
    <m/>
    <m/>
    <m/>
    <m/>
    <m/>
    <m/>
    <m/>
    <m/>
    <m/>
    <m/>
    <m/>
    <m/>
    <m/>
    <m/>
    <m/>
    <m/>
    <m/>
    <m/>
    <m/>
    <m/>
    <m/>
    <m/>
  </r>
  <r>
    <n v="43"/>
    <m/>
    <s v="2025-26"/>
    <n v="3"/>
    <n v="1"/>
    <s v="Remaining works of Gram Panchayat office Building (Frame Structure) Gariyadhar Taluka Package No. 2017-18/18 (Shivendranagar, Moti Vavdi, Rupavati), Dist. Bhavnagar"/>
    <m/>
    <s v="Gariyadhar"/>
    <x v="3"/>
    <s v="Building"/>
    <m/>
    <n v="183939"/>
    <n v="8"/>
    <m/>
    <m/>
    <m/>
    <d v="1900-04-29T00:00:00"/>
    <m/>
    <s v="Yes"/>
    <m/>
    <m/>
    <s v="Equals"/>
    <s v="Zero Rupees Only"/>
    <s v="Division"/>
    <m/>
    <n v="0"/>
    <m/>
    <n v="0"/>
    <n v="0"/>
    <n v="0"/>
    <m/>
    <m/>
    <m/>
    <m/>
    <m/>
    <m/>
    <n v="0"/>
    <d v="1901-03-25T00:00:00"/>
    <n v="0"/>
    <n v="0"/>
    <d v="1900-02-03T00:00:00"/>
    <d v="1901-01-24T00:00:00"/>
    <m/>
    <m/>
    <m/>
    <m/>
    <m/>
    <m/>
    <m/>
    <m/>
    <m/>
    <m/>
    <m/>
    <m/>
    <m/>
    <m/>
    <m/>
    <m/>
    <m/>
    <m/>
    <m/>
    <m/>
    <m/>
    <m/>
    <m/>
    <m/>
    <m/>
  </r>
  <r>
    <n v="44"/>
    <m/>
    <s v="2025-26"/>
    <n v="3"/>
    <n v="2"/>
    <s v="Remaining works Construction of Gram Panchayat office Building (Frame Structure) at village Pansada Dist. Bhavnagar"/>
    <m/>
    <s v="Gariyadhar"/>
    <x v="3"/>
    <s v="Building"/>
    <m/>
    <n v="183940"/>
    <n v="8"/>
    <m/>
    <m/>
    <m/>
    <d v="1900-04-29T00:00:00"/>
    <m/>
    <s v="Yes"/>
    <m/>
    <m/>
    <s v="Equals"/>
    <s v="Zero Rupees Only"/>
    <s v="Division"/>
    <m/>
    <n v="0"/>
    <m/>
    <n v="0"/>
    <n v="0"/>
    <n v="0"/>
    <m/>
    <m/>
    <m/>
    <m/>
    <m/>
    <m/>
    <n v="0"/>
    <d v="1901-03-25T00:00:00"/>
    <n v="0"/>
    <n v="0"/>
    <d v="1900-02-03T00:00:00"/>
    <d v="1901-01-24T00:00:00"/>
    <m/>
    <m/>
    <m/>
    <m/>
    <m/>
    <m/>
    <m/>
    <m/>
    <m/>
    <m/>
    <m/>
    <m/>
    <m/>
    <m/>
    <m/>
    <m/>
    <m/>
    <m/>
    <m/>
    <m/>
    <m/>
    <m/>
    <m/>
    <m/>
    <m/>
  </r>
  <r>
    <n v="45"/>
    <m/>
    <s v="2025-26"/>
    <n v="3"/>
    <n v="3"/>
    <s v="Construction of School Building at Kalivav Primary School (One Class Room)  and Koliyak Kanya P.S. (Four Class Room) Ta. And Dist. Bhavnagar"/>
    <m/>
    <s v="Bhavnagar"/>
    <x v="2"/>
    <s v="Building"/>
    <m/>
    <n v="183941"/>
    <n v="6"/>
    <m/>
    <d v="2025-05-19T00:00:00"/>
    <m/>
    <d v="2025-09-16T00:00:00"/>
    <m/>
    <s v="Yes"/>
    <m/>
    <m/>
    <s v="Equals"/>
    <s v="Zero Rupees Only"/>
    <s v="Division"/>
    <m/>
    <n v="0"/>
    <m/>
    <n v="0"/>
    <n v="0"/>
    <n v="0"/>
    <m/>
    <m/>
    <m/>
    <m/>
    <m/>
    <m/>
    <n v="0"/>
    <d v="1901-03-25T00:00:00"/>
    <n v="0"/>
    <n v="0"/>
    <d v="1900-02-03T00:00:00"/>
    <d v="1901-01-24T00:00:00"/>
    <m/>
    <m/>
    <m/>
    <m/>
    <m/>
    <m/>
    <m/>
    <m/>
    <m/>
    <m/>
    <m/>
    <m/>
    <m/>
    <m/>
    <m/>
    <m/>
    <m/>
    <m/>
    <m/>
    <m/>
    <m/>
    <m/>
    <m/>
    <m/>
    <m/>
  </r>
  <r>
    <n v="46"/>
    <m/>
    <s v="2025-26"/>
    <n v="3"/>
    <n v="4"/>
    <s v="Construction of Nandghar (Anganvadi) Building at Undavi-1 (Bhavnagar) Ta. Bhavnagar Dist. Bhavnagar"/>
    <m/>
    <s v="Bhavnagar"/>
    <x v="2"/>
    <s v="Building"/>
    <s v="Anganvadi"/>
    <n v="183942"/>
    <n v="2"/>
    <m/>
    <m/>
    <m/>
    <d v="1900-04-29T00:00:00"/>
    <m/>
    <s v="Yes"/>
    <m/>
    <m/>
    <s v="Equals"/>
    <s v="Zero Rupees Only"/>
    <s v="Division"/>
    <m/>
    <n v="0"/>
    <m/>
    <n v="0"/>
    <n v="0"/>
    <n v="0"/>
    <m/>
    <m/>
    <m/>
    <m/>
    <m/>
    <m/>
    <n v="0"/>
    <d v="1901-03-25T00:00:00"/>
    <n v="0"/>
    <n v="0"/>
    <d v="1900-02-03T00:00:00"/>
    <d v="1901-01-24T00:00:00"/>
    <m/>
    <m/>
    <m/>
    <m/>
    <m/>
    <m/>
    <m/>
    <m/>
    <m/>
    <m/>
    <m/>
    <m/>
    <m/>
    <m/>
    <m/>
    <m/>
    <m/>
    <m/>
    <m/>
    <m/>
    <m/>
    <m/>
    <m/>
    <m/>
    <m/>
  </r>
  <r>
    <n v="47"/>
    <m/>
    <s v="2025-26"/>
    <n v="3"/>
    <n v="5"/>
    <s v="Construction of Nandghar (Anganvadi) Building at Village Boradi-4 Tal. Mahuva Dist. Bhavnagar"/>
    <m/>
    <s v="Mahuva"/>
    <x v="1"/>
    <s v="Building"/>
    <s v="Anganvadi"/>
    <n v="183943"/>
    <n v="2"/>
    <d v="2025-05-11T00:00:00"/>
    <d v="2025-05-19T00:00:00"/>
    <m/>
    <d v="2025-09-16T00:00:00"/>
    <n v="1024912.96"/>
    <m/>
    <n v="1006772"/>
    <n v="-1.77"/>
    <s v="Below"/>
    <s v="Ten Lakh Six Thousand Seven Hundred Seventy Two Rupees Only"/>
    <s v="Division"/>
    <m/>
    <n v="1006772"/>
    <s v="JAY KANDHAL CONSTRUCTION"/>
    <s v="Hareshbhai Punabhai Hadiya"/>
    <s v="At. Kundaliyala, Tal. Rajula, Dist. Amreli"/>
    <n v="8320411442"/>
    <m/>
    <m/>
    <m/>
    <m/>
    <m/>
    <n v="3"/>
    <n v="51000"/>
    <d v="2027-02-09T00:00:00"/>
    <n v="2500"/>
    <n v="0"/>
    <d v="2025-12-21T00:00:00"/>
    <d v="2026-12-11T00:00:00"/>
    <n v="885"/>
    <d v="2025-06-23T00:00:00"/>
    <s v="2025-26"/>
    <n v="83"/>
    <d v="2025-08-18T00:00:00"/>
    <s v="FDR"/>
    <s v="Bank of Baroda"/>
    <s v="95560300010767"/>
    <n v="51000"/>
    <d v="2025-08-12T00:00:00"/>
    <m/>
    <m/>
    <m/>
    <m/>
    <m/>
    <d v="2025-08-18T00:00:00"/>
    <n v="1062"/>
    <d v="2025-08-18T00:00:00"/>
    <m/>
    <m/>
    <m/>
    <m/>
    <m/>
    <m/>
    <m/>
  </r>
  <r>
    <n v="48"/>
    <m/>
    <s v="2025-26"/>
    <n v="3"/>
    <n v="6"/>
    <s v="Construction of Nandghar (Anganvadi) Building at Village Kumbhariya, Ta. Mahuva Dist. Bhavnagar"/>
    <m/>
    <s v="Mahuva"/>
    <x v="1"/>
    <s v="Building"/>
    <s v="Anganvadi"/>
    <n v="183944"/>
    <n v="2"/>
    <m/>
    <m/>
    <m/>
    <d v="1900-04-29T00:00:00"/>
    <m/>
    <s v="Yes"/>
    <m/>
    <m/>
    <s v="Equals"/>
    <s v="Zero Rupees Only"/>
    <s v="Division"/>
    <m/>
    <n v="0"/>
    <m/>
    <n v="0"/>
    <n v="0"/>
    <n v="0"/>
    <m/>
    <m/>
    <m/>
    <m/>
    <m/>
    <m/>
    <n v="0"/>
    <d v="1901-03-25T00:00:00"/>
    <n v="0"/>
    <n v="0"/>
    <d v="1900-02-03T00:00:00"/>
    <d v="1901-01-24T00:00:00"/>
    <m/>
    <m/>
    <m/>
    <m/>
    <m/>
    <m/>
    <m/>
    <m/>
    <m/>
    <m/>
    <m/>
    <m/>
    <m/>
    <m/>
    <m/>
    <m/>
    <m/>
    <m/>
    <m/>
    <m/>
    <m/>
    <m/>
    <m/>
    <m/>
    <m/>
  </r>
  <r>
    <n v="49"/>
    <m/>
    <s v="2025-26"/>
    <n v="3"/>
    <n v="7"/>
    <s v="Construction of Nandghar (Anganvadi) Building at Village Mota Khuntavada-2, Ta. Mahuva Dist. Bhavnagar"/>
    <m/>
    <s v="Mahuva"/>
    <x v="1"/>
    <s v="Building"/>
    <s v="Anganvadi"/>
    <n v="183945"/>
    <n v="2"/>
    <m/>
    <m/>
    <m/>
    <d v="1900-04-29T00:00:00"/>
    <m/>
    <s v="Yes"/>
    <m/>
    <m/>
    <s v="Equals"/>
    <s v="Zero Rupees Only"/>
    <s v="Division"/>
    <m/>
    <n v="0"/>
    <m/>
    <n v="0"/>
    <n v="0"/>
    <n v="0"/>
    <m/>
    <m/>
    <m/>
    <m/>
    <m/>
    <m/>
    <n v="0"/>
    <d v="1901-03-25T00:00:00"/>
    <n v="0"/>
    <n v="0"/>
    <d v="1900-02-03T00:00:00"/>
    <d v="1901-01-24T00:00:00"/>
    <m/>
    <m/>
    <m/>
    <m/>
    <m/>
    <m/>
    <m/>
    <m/>
    <m/>
    <m/>
    <m/>
    <m/>
    <m/>
    <m/>
    <m/>
    <m/>
    <m/>
    <m/>
    <m/>
    <m/>
    <m/>
    <m/>
    <m/>
    <m/>
    <m/>
  </r>
  <r>
    <n v="50"/>
    <m/>
    <s v="2025-26"/>
    <n v="3"/>
    <n v="8"/>
    <s v="Construction of Nandghar (Anganvadi) Building at Village Titodiya, Ta. Mahuva Dist. Bhavnagar"/>
    <m/>
    <s v="Mahuva"/>
    <x v="1"/>
    <s v="Building"/>
    <s v="Anganvadi"/>
    <n v="183946"/>
    <n v="2"/>
    <m/>
    <m/>
    <m/>
    <d v="1900-04-29T00:00:00"/>
    <m/>
    <s v="Yes"/>
    <m/>
    <m/>
    <s v="Equals"/>
    <s v="Zero Rupees Only"/>
    <s v="Division"/>
    <m/>
    <n v="0"/>
    <m/>
    <n v="0"/>
    <n v="0"/>
    <n v="0"/>
    <m/>
    <m/>
    <m/>
    <m/>
    <m/>
    <m/>
    <n v="0"/>
    <d v="1901-03-25T00:00:00"/>
    <n v="0"/>
    <n v="0"/>
    <d v="1900-02-03T00:00:00"/>
    <d v="1901-01-24T00:00:00"/>
    <m/>
    <m/>
    <m/>
    <m/>
    <m/>
    <m/>
    <m/>
    <m/>
    <m/>
    <m/>
    <m/>
    <m/>
    <m/>
    <m/>
    <m/>
    <m/>
    <m/>
    <m/>
    <m/>
    <m/>
    <m/>
    <m/>
    <m/>
    <m/>
    <m/>
  </r>
  <r>
    <n v="51"/>
    <m/>
    <s v="2025-26"/>
    <n v="3"/>
    <n v="9"/>
    <s v="Construction of Nandghar (Anganvadi) Building at Village Gundarani, Ta. Mahuva Dist. Bhavnagar"/>
    <m/>
    <s v="Mahuva"/>
    <x v="1"/>
    <s v="Building"/>
    <s v="Anganvadi"/>
    <n v="183947"/>
    <n v="2"/>
    <m/>
    <m/>
    <m/>
    <d v="1900-04-29T00:00:00"/>
    <m/>
    <s v="Yes"/>
    <m/>
    <m/>
    <s v="Equals"/>
    <s v="Zero Rupees Only"/>
    <s v="Division"/>
    <m/>
    <n v="0"/>
    <m/>
    <n v="0"/>
    <n v="0"/>
    <n v="0"/>
    <m/>
    <m/>
    <m/>
    <m/>
    <m/>
    <m/>
    <n v="0"/>
    <d v="1901-03-25T00:00:00"/>
    <n v="0"/>
    <n v="0"/>
    <d v="1900-02-03T00:00:00"/>
    <d v="1901-01-24T00:00:00"/>
    <m/>
    <m/>
    <m/>
    <m/>
    <m/>
    <m/>
    <m/>
    <m/>
    <m/>
    <m/>
    <m/>
    <m/>
    <m/>
    <m/>
    <m/>
    <m/>
    <m/>
    <m/>
    <m/>
    <m/>
    <m/>
    <m/>
    <m/>
    <m/>
    <m/>
  </r>
  <r>
    <n v="52"/>
    <m/>
    <s v="2025-26"/>
    <n v="3"/>
    <n v="10"/>
    <s v="Construction of Nandghar (Anganvadi) Building at Village Malvav-4 Tal. Mahuva Dist. Bhavnagar"/>
    <m/>
    <s v="Mahuva"/>
    <x v="1"/>
    <s v="Building"/>
    <s v="Anganvadi"/>
    <n v="183948"/>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6"/>
    <d v="2025-06-23T00:00:00"/>
    <s v="2025-26"/>
    <n v="92"/>
    <d v="2025-08-18T00:00:00"/>
    <s v="FDR"/>
    <s v="SAURASHTRA GRAMIN BANK"/>
    <n v="78048721869"/>
    <n v="51000"/>
    <d v="2025-07-25T00:00:00"/>
    <m/>
    <m/>
    <m/>
    <m/>
    <m/>
    <d v="2025-08-18T00:00:00"/>
    <n v="1171"/>
    <d v="2025-08-18T00:00:00"/>
    <m/>
    <m/>
    <m/>
    <m/>
    <m/>
    <m/>
    <m/>
  </r>
  <r>
    <n v="53"/>
    <m/>
    <s v="2025-26"/>
    <n v="3"/>
    <n v="11"/>
    <s v="Construction of Nandghar (Anganvadi) Building at Village Mota Malpara, Ta. Mahuva Dist. Bhavnagar"/>
    <m/>
    <s v="Mahuva"/>
    <x v="1"/>
    <s v="Building"/>
    <s v="Anganvadi"/>
    <n v="183949"/>
    <n v="2"/>
    <m/>
    <m/>
    <m/>
    <d v="1900-04-29T00:00:00"/>
    <m/>
    <s v="Yes"/>
    <m/>
    <m/>
    <s v="Equals"/>
    <s v="Zero Rupees Only"/>
    <s v="Division"/>
    <m/>
    <n v="0"/>
    <m/>
    <n v="0"/>
    <n v="0"/>
    <n v="0"/>
    <m/>
    <m/>
    <m/>
    <m/>
    <m/>
    <m/>
    <n v="0"/>
    <d v="1901-03-25T00:00:00"/>
    <n v="0"/>
    <n v="0"/>
    <d v="1900-02-03T00:00:00"/>
    <d v="1901-01-24T00:00:00"/>
    <m/>
    <m/>
    <m/>
    <m/>
    <m/>
    <m/>
    <m/>
    <m/>
    <m/>
    <m/>
    <m/>
    <m/>
    <m/>
    <m/>
    <m/>
    <m/>
    <m/>
    <m/>
    <m/>
    <m/>
    <m/>
    <m/>
    <m/>
    <m/>
    <m/>
  </r>
  <r>
    <n v="54"/>
    <m/>
    <s v="2025-26"/>
    <n v="3"/>
    <n v="12"/>
    <s v="Construction of Nandghar (Anganvadi) Building at Village Bagdana-3, Ta. Mahuva Dist. Bhavnagar"/>
    <m/>
    <s v="Mahuva"/>
    <x v="1"/>
    <s v="Building"/>
    <s v="Anganvadi"/>
    <n v="183950"/>
    <n v="2"/>
    <m/>
    <m/>
    <m/>
    <d v="1900-04-29T00:00:00"/>
    <m/>
    <s v="Yes"/>
    <m/>
    <m/>
    <s v="Equals"/>
    <s v="Zero Rupees Only"/>
    <s v="Division"/>
    <m/>
    <n v="0"/>
    <m/>
    <n v="0"/>
    <n v="0"/>
    <n v="0"/>
    <m/>
    <m/>
    <m/>
    <m/>
    <m/>
    <m/>
    <n v="0"/>
    <d v="1901-03-25T00:00:00"/>
    <n v="0"/>
    <n v="0"/>
    <d v="1900-02-03T00:00:00"/>
    <d v="1901-01-24T00:00:00"/>
    <m/>
    <m/>
    <m/>
    <m/>
    <m/>
    <m/>
    <m/>
    <m/>
    <m/>
    <m/>
    <m/>
    <m/>
    <m/>
    <m/>
    <m/>
    <m/>
    <m/>
    <m/>
    <m/>
    <m/>
    <m/>
    <m/>
    <m/>
    <m/>
    <m/>
  </r>
  <r>
    <n v="55"/>
    <m/>
    <s v="2025-26"/>
    <n v="3"/>
    <n v="13"/>
    <s v="Construction of Nandghar (Anganvadi) Building at Village Mota Khuntavada-3, Ta. Mahuva Dist. Bhavnagar"/>
    <m/>
    <s v="Mahuva"/>
    <x v="1"/>
    <s v="Building"/>
    <s v="Anganvadi"/>
    <n v="183953"/>
    <n v="2"/>
    <m/>
    <m/>
    <m/>
    <d v="1900-04-29T00:00:00"/>
    <m/>
    <s v="Yes"/>
    <m/>
    <m/>
    <s v="Equals"/>
    <s v="Zero Rupees Only"/>
    <s v="Division"/>
    <m/>
    <n v="0"/>
    <m/>
    <n v="0"/>
    <n v="0"/>
    <n v="0"/>
    <m/>
    <m/>
    <m/>
    <m/>
    <m/>
    <m/>
    <n v="0"/>
    <d v="1901-03-25T00:00:00"/>
    <n v="0"/>
    <n v="0"/>
    <d v="1900-02-03T00:00:00"/>
    <d v="1901-01-24T00:00:00"/>
    <m/>
    <m/>
    <m/>
    <m/>
    <m/>
    <m/>
    <m/>
    <m/>
    <m/>
    <m/>
    <m/>
    <m/>
    <m/>
    <m/>
    <m/>
    <m/>
    <m/>
    <m/>
    <m/>
    <m/>
    <m/>
    <m/>
    <m/>
    <m/>
    <m/>
  </r>
  <r>
    <n v="56"/>
    <m/>
    <s v="2025-26"/>
    <n v="3"/>
    <n v="14"/>
    <s v="Construction of Nandghar (Anganvadi) Building at Village Vaghvadarda, Ta. Mahuva Dist. Bhavnagar"/>
    <m/>
    <s v="Mahuva"/>
    <x v="1"/>
    <s v="Building"/>
    <s v="Anganvadi"/>
    <n v="183954"/>
    <n v="2"/>
    <m/>
    <m/>
    <m/>
    <d v="1900-04-29T00:00:00"/>
    <m/>
    <s v="Yes"/>
    <m/>
    <m/>
    <s v="Equals"/>
    <s v="Zero Rupees Only"/>
    <s v="Division"/>
    <m/>
    <n v="0"/>
    <m/>
    <n v="0"/>
    <n v="0"/>
    <n v="0"/>
    <m/>
    <m/>
    <m/>
    <m/>
    <m/>
    <m/>
    <n v="0"/>
    <d v="1901-03-25T00:00:00"/>
    <n v="0"/>
    <n v="0"/>
    <d v="1900-02-03T00:00:00"/>
    <d v="1901-01-24T00:00:00"/>
    <m/>
    <m/>
    <m/>
    <m/>
    <m/>
    <m/>
    <m/>
    <m/>
    <m/>
    <m/>
    <m/>
    <m/>
    <m/>
    <m/>
    <m/>
    <m/>
    <m/>
    <m/>
    <m/>
    <m/>
    <m/>
    <m/>
    <m/>
    <m/>
    <m/>
  </r>
  <r>
    <n v="57"/>
    <m/>
    <s v="2025-26"/>
    <n v="3"/>
    <n v="15"/>
    <s v="Construction of Nandghar (Anganvadi) Building at Village Nikol, Ta. Mahuva Dist. Bhavnagar"/>
    <m/>
    <s v="Mahuva"/>
    <x v="1"/>
    <s v="Building"/>
    <s v="Anganvadi"/>
    <n v="183955"/>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7"/>
    <d v="2025-06-23T00:00:00"/>
    <s v="2025-26"/>
    <n v="91"/>
    <d v="2025-08-18T00:00:00"/>
    <s v="FDR"/>
    <s v="SAURASHTRA GRAMIN BANK"/>
    <n v="78048721858"/>
    <n v="51000"/>
    <d v="2025-07-25T00:00:00"/>
    <m/>
    <m/>
    <m/>
    <m/>
    <m/>
    <d v="2025-08-18T00:00:00"/>
    <n v="1170"/>
    <d v="2025-08-18T00:00:00"/>
    <m/>
    <m/>
    <m/>
    <m/>
    <m/>
    <m/>
    <m/>
  </r>
  <r>
    <n v="58"/>
    <m/>
    <s v="2025-26"/>
    <n v="3"/>
    <n v="16"/>
    <s v="Construction of Nandghar (Anganvadi) Building at Village Lusadi, Ta. Mahuva Dist. Bhavnagar"/>
    <m/>
    <s v="Mahuva"/>
    <x v="1"/>
    <s v="Building"/>
    <s v="Anganvadi"/>
    <n v="183956"/>
    <n v="2"/>
    <m/>
    <m/>
    <m/>
    <d v="1900-04-29T00:00:00"/>
    <m/>
    <s v="Yes"/>
    <m/>
    <m/>
    <s v="Equals"/>
    <s v="Zero Rupees Only"/>
    <s v="Division"/>
    <m/>
    <n v="0"/>
    <m/>
    <n v="0"/>
    <n v="0"/>
    <n v="0"/>
    <m/>
    <m/>
    <m/>
    <m/>
    <m/>
    <m/>
    <n v="0"/>
    <d v="1901-03-25T00:00:00"/>
    <n v="0"/>
    <n v="0"/>
    <d v="1900-02-03T00:00:00"/>
    <d v="1901-01-24T00:00:00"/>
    <m/>
    <m/>
    <m/>
    <m/>
    <m/>
    <m/>
    <m/>
    <m/>
    <m/>
    <m/>
    <m/>
    <m/>
    <m/>
    <m/>
    <m/>
    <m/>
    <m/>
    <m/>
    <m/>
    <m/>
    <m/>
    <m/>
    <m/>
    <m/>
    <m/>
  </r>
  <r>
    <n v="59"/>
    <m/>
    <s v="2025-26"/>
    <n v="3"/>
    <n v="17"/>
    <s v="Construction of Nandghar (Anganvadi) Building at Village Boradi-1 Tal. Mahuva Dist. Bhavnagar"/>
    <m/>
    <s v="Mahuva"/>
    <x v="1"/>
    <s v="Building"/>
    <s v="Anganvadi"/>
    <n v="183957"/>
    <n v="2"/>
    <d v="2025-05-11T00:00:00"/>
    <d v="2025-05-19T00:00:00"/>
    <m/>
    <d v="2025-09-16T00:00:00"/>
    <n v="1024912.96"/>
    <m/>
    <n v="1006772"/>
    <n v="-1.77"/>
    <s v="Below"/>
    <s v="Ten Lakh Six Thousand Seven Hundred Seventy Two Rupees Only"/>
    <s v="Division"/>
    <m/>
    <n v="1006772"/>
    <s v="JAY KANDHAL CONSTRUCTION"/>
    <s v="Hareshbhai Punabhai Hadiya"/>
    <s v="At. Kundaliyala, Tal. Rajula, Dist. Amreli"/>
    <n v="8320411442"/>
    <m/>
    <m/>
    <m/>
    <m/>
    <m/>
    <n v="3"/>
    <n v="51000"/>
    <d v="2027-02-09T00:00:00"/>
    <n v="2500"/>
    <n v="0"/>
    <d v="2025-12-21T00:00:00"/>
    <d v="2026-12-11T00:00:00"/>
    <n v="888"/>
    <d v="2025-06-23T00:00:00"/>
    <s v="2025-26"/>
    <n v="84"/>
    <d v="2025-08-18T00:00:00"/>
    <s v="FDR"/>
    <s v="Bank of Baroda"/>
    <s v="95560300010766"/>
    <n v="51000"/>
    <d v="2025-08-12T00:00:00"/>
    <m/>
    <m/>
    <m/>
    <m/>
    <m/>
    <d v="2025-08-18T00:00:00"/>
    <n v="1063"/>
    <d v="2025-08-18T00:00:00"/>
    <m/>
    <m/>
    <m/>
    <m/>
    <m/>
    <m/>
    <m/>
  </r>
  <r>
    <n v="60"/>
    <m/>
    <s v="2025-26"/>
    <n v="3"/>
    <n v="18"/>
    <s v="Construction of Nandghar (Anganvadi) Building at Village Malvav-3 Tal. Mahuva Dist. Bhavnagar"/>
    <m/>
    <s v="Mahuva"/>
    <x v="1"/>
    <s v="Building"/>
    <s v="Anganvadi"/>
    <n v="183958"/>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9"/>
    <d v="2025-06-23T00:00:00"/>
    <s v="2025-26"/>
    <n v="90"/>
    <d v="2025-08-18T00:00:00"/>
    <s v="FDR"/>
    <s v="SAURASHTRA GRAMIN BANK"/>
    <n v="78048721870"/>
    <n v="51000"/>
    <d v="2025-07-25T00:00:00"/>
    <m/>
    <m/>
    <m/>
    <m/>
    <m/>
    <d v="2025-08-18T00:00:00"/>
    <n v="1169"/>
    <d v="2025-08-18T00:00:00"/>
    <m/>
    <m/>
    <m/>
    <m/>
    <m/>
    <m/>
    <m/>
  </r>
  <r>
    <n v="61"/>
    <m/>
    <s v="2025-26"/>
    <n v="3"/>
    <n v="19"/>
    <s v="Construction of Nandghar (Anganvadi) Building at Village Dudana, Ta. Mahuva Dist. Bhavnagar"/>
    <m/>
    <s v="Mahuva"/>
    <x v="1"/>
    <s v="Building"/>
    <s v="Anganvadi"/>
    <n v="183959"/>
    <n v="2"/>
    <m/>
    <m/>
    <m/>
    <d v="1900-04-29T00:00:00"/>
    <m/>
    <s v="Yes"/>
    <m/>
    <m/>
    <s v="Equals"/>
    <s v="Zero Rupees Only"/>
    <s v="Division"/>
    <m/>
    <n v="0"/>
    <m/>
    <n v="0"/>
    <n v="0"/>
    <n v="0"/>
    <m/>
    <m/>
    <m/>
    <m/>
    <m/>
    <m/>
    <n v="0"/>
    <d v="1901-03-25T00:00:00"/>
    <n v="0"/>
    <n v="0"/>
    <d v="1900-02-03T00:00:00"/>
    <d v="1901-01-24T00:00:00"/>
    <m/>
    <m/>
    <m/>
    <m/>
    <m/>
    <m/>
    <m/>
    <m/>
    <m/>
    <m/>
    <m/>
    <m/>
    <m/>
    <m/>
    <m/>
    <m/>
    <m/>
    <m/>
    <m/>
    <m/>
    <m/>
    <m/>
    <m/>
    <m/>
    <m/>
  </r>
  <r>
    <n v="62"/>
    <m/>
    <s v="2025-26"/>
    <n v="4"/>
    <n v="1"/>
    <m/>
    <m/>
    <m/>
    <x v="6"/>
    <s v="Building"/>
    <m/>
    <m/>
    <m/>
    <m/>
    <m/>
    <m/>
    <d v="1900-04-29T00:00:00"/>
    <m/>
    <s v="Yes"/>
    <m/>
    <m/>
    <s v="Equals"/>
    <s v="Zero Rupees Only"/>
    <s v="Division"/>
    <m/>
    <n v="0"/>
    <m/>
    <n v="0"/>
    <n v="0"/>
    <n v="0"/>
    <m/>
    <m/>
    <m/>
    <m/>
    <m/>
    <m/>
    <n v="0"/>
    <d v="1901-03-25T00:00:00"/>
    <n v="0"/>
    <n v="0"/>
    <d v="1900-02-03T00:00:00"/>
    <d v="1901-01-24T00:00:00"/>
    <m/>
    <m/>
    <m/>
    <m/>
    <m/>
    <m/>
    <m/>
    <m/>
    <m/>
    <m/>
    <m/>
    <m/>
    <m/>
    <m/>
    <m/>
    <m/>
    <m/>
    <m/>
    <m/>
    <m/>
    <m/>
    <m/>
    <m/>
    <m/>
    <m/>
  </r>
  <r>
    <n v="63"/>
    <m/>
    <s v="2025-26"/>
    <n v="4"/>
    <n v="2"/>
    <m/>
    <m/>
    <m/>
    <x v="6"/>
    <s v="Building"/>
    <m/>
    <m/>
    <m/>
    <m/>
    <m/>
    <m/>
    <d v="1900-04-29T00:00:00"/>
    <m/>
    <s v="Yes"/>
    <m/>
    <m/>
    <s v="Equals"/>
    <s v="Zero Rupees Only"/>
    <s v="Division"/>
    <m/>
    <n v="0"/>
    <m/>
    <n v="0"/>
    <n v="0"/>
    <n v="0"/>
    <m/>
    <m/>
    <m/>
    <m/>
    <m/>
    <m/>
    <n v="0"/>
    <d v="1901-03-25T00:00:00"/>
    <n v="0"/>
    <n v="0"/>
    <d v="1900-02-03T00:00:00"/>
    <d v="1901-01-24T00:00:00"/>
    <m/>
    <m/>
    <m/>
    <m/>
    <m/>
    <m/>
    <m/>
    <m/>
    <m/>
    <m/>
    <m/>
    <m/>
    <m/>
    <m/>
    <m/>
    <m/>
    <m/>
    <m/>
    <m/>
    <m/>
    <m/>
    <m/>
    <m/>
    <m/>
    <m/>
  </r>
  <r>
    <n v="64"/>
    <m/>
    <s v="2025-26"/>
    <n v="4"/>
    <n v="3"/>
    <m/>
    <m/>
    <m/>
    <x v="6"/>
    <s v="Building"/>
    <m/>
    <m/>
    <m/>
    <m/>
    <m/>
    <m/>
    <d v="1900-04-29T00:00:00"/>
    <m/>
    <s v="Yes"/>
    <m/>
    <m/>
    <s v="Equals"/>
    <s v="Zero Rupees Only"/>
    <s v="Division"/>
    <m/>
    <n v="0"/>
    <m/>
    <n v="0"/>
    <n v="0"/>
    <n v="0"/>
    <m/>
    <m/>
    <m/>
    <m/>
    <m/>
    <m/>
    <n v="0"/>
    <d v="1901-03-25T00:00:00"/>
    <n v="0"/>
    <n v="0"/>
    <d v="1900-02-03T00:00:00"/>
    <d v="1901-01-24T00:00:00"/>
    <m/>
    <m/>
    <m/>
    <m/>
    <m/>
    <m/>
    <m/>
    <m/>
    <m/>
    <m/>
    <m/>
    <m/>
    <m/>
    <m/>
    <m/>
    <m/>
    <m/>
    <m/>
    <m/>
    <m/>
    <m/>
    <m/>
    <m/>
    <m/>
    <m/>
  </r>
  <r>
    <n v="65"/>
    <m/>
    <s v="2025-26"/>
    <n v="4"/>
    <n v="4"/>
    <s v="Construction of Gram Panchayat office (Frame structure) at Village Morchupna Tal. Jesar Dist. Bhavnagar"/>
    <m/>
    <s v="Jesar"/>
    <x v="1"/>
    <s v="Building"/>
    <s v="Gram Panchayat"/>
    <n v="187879"/>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899"/>
    <d v="2025-06-27T00:00:00"/>
    <s v="2025-26"/>
    <n v="45"/>
    <d v="2025-07-14T00:00:00"/>
    <s v="FDR"/>
    <s v="SAURASHTRA GRAMIN BANK"/>
    <n v="78048407397"/>
    <n v="88000"/>
    <d v="2025-07-07T00:00:00"/>
    <s v="FDR"/>
    <s v="SAURASHTRA GRAMIN BANK"/>
    <n v="78048460248"/>
    <n v="24000"/>
    <d v="2025-07-10T00:00:00"/>
    <d v="2025-07-14T00:00:00"/>
    <n v="949"/>
    <d v="2025-07-14T00:00:00"/>
    <m/>
    <m/>
    <m/>
    <m/>
    <m/>
    <m/>
    <m/>
  </r>
  <r>
    <n v="66"/>
    <m/>
    <s v="2025-26"/>
    <n v="4"/>
    <n v="5"/>
    <m/>
    <m/>
    <m/>
    <x v="6"/>
    <s v="Building"/>
    <m/>
    <m/>
    <m/>
    <m/>
    <m/>
    <m/>
    <d v="1900-04-29T00:00:00"/>
    <m/>
    <s v="Yes"/>
    <m/>
    <m/>
    <s v="Equals"/>
    <s v="Zero Rupees Only"/>
    <s v="Division"/>
    <m/>
    <n v="0"/>
    <m/>
    <n v="0"/>
    <n v="0"/>
    <n v="0"/>
    <m/>
    <m/>
    <m/>
    <m/>
    <m/>
    <m/>
    <n v="0"/>
    <d v="1901-03-25T00:00:00"/>
    <n v="0"/>
    <n v="0"/>
    <d v="1900-02-03T00:00:00"/>
    <d v="1901-01-24T00:00:00"/>
    <m/>
    <m/>
    <m/>
    <m/>
    <m/>
    <m/>
    <m/>
    <m/>
    <m/>
    <m/>
    <m/>
    <m/>
    <m/>
    <m/>
    <m/>
    <m/>
    <m/>
    <m/>
    <m/>
    <m/>
    <m/>
    <m/>
    <m/>
    <m/>
    <m/>
  </r>
  <r>
    <n v="67"/>
    <m/>
    <s v="2025-26"/>
    <n v="4"/>
    <n v="6"/>
    <s v="Construction of Gram Panchayat office (Frame structure) at Village Intiya Tal. Jesar Dist. Bhavnagar"/>
    <m/>
    <s v="Jesar"/>
    <x v="1"/>
    <s v="Building"/>
    <s v="Gram Panchayat"/>
    <n v="187881"/>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0"/>
    <d v="2025-06-27T00:00:00"/>
    <s v="2025-26"/>
    <n v="94"/>
    <d v="2025-08-18T00:00:00"/>
    <s v="FDR"/>
    <s v="SAURASHTRA GRAMIN BANK"/>
    <n v="78048506863"/>
    <n v="99000"/>
    <d v="2025-07-14T00:00:00"/>
    <m/>
    <m/>
    <m/>
    <m/>
    <m/>
    <d v="2025-08-18T00:00:00"/>
    <n v="1173"/>
    <d v="2025-08-18T00:00:00"/>
    <m/>
    <m/>
    <m/>
    <m/>
    <m/>
    <m/>
    <m/>
  </r>
  <r>
    <n v="68"/>
    <m/>
    <s v="2025-26"/>
    <n v="4"/>
    <n v="7"/>
    <m/>
    <m/>
    <m/>
    <x v="6"/>
    <s v="Building"/>
    <m/>
    <m/>
    <m/>
    <m/>
    <m/>
    <m/>
    <d v="1900-04-29T00:00:00"/>
    <m/>
    <s v="Yes"/>
    <m/>
    <m/>
    <s v="Equals"/>
    <s v="Zero Rupees Only"/>
    <s v="Division"/>
    <m/>
    <n v="0"/>
    <m/>
    <n v="0"/>
    <n v="0"/>
    <n v="0"/>
    <m/>
    <m/>
    <m/>
    <m/>
    <m/>
    <m/>
    <n v="0"/>
    <d v="1901-03-25T00:00:00"/>
    <n v="0"/>
    <n v="0"/>
    <d v="1900-02-03T00:00:00"/>
    <d v="1901-01-24T00:00:00"/>
    <m/>
    <m/>
    <m/>
    <m/>
    <m/>
    <m/>
    <m/>
    <m/>
    <m/>
    <m/>
    <m/>
    <m/>
    <m/>
    <m/>
    <m/>
    <m/>
    <m/>
    <m/>
    <m/>
    <m/>
    <m/>
    <m/>
    <m/>
    <m/>
    <m/>
  </r>
  <r>
    <n v="69"/>
    <m/>
    <s v="2025-26"/>
    <n v="4"/>
    <n v="8"/>
    <s v="Construction of Gram Panchayat office (Frame structure) at Village Ranparda (Chok) Tal. Jesar Dist. Bhavnagar"/>
    <m/>
    <s v="Jesar"/>
    <x v="1"/>
    <s v="Building"/>
    <s v="Gram Panchayat"/>
    <n v="187883"/>
    <n v="1"/>
    <m/>
    <m/>
    <m/>
    <d v="1900-04-29T00:00:00"/>
    <n v="2079935.08"/>
    <m/>
    <n v="1892532.93"/>
    <n v="-9.01"/>
    <s v="Below"/>
    <s v="Eighteen Lakh Ninety Two Thousand Five Hundred Thirty Two Rupees and Ninety Three Paise Only"/>
    <s v="Division"/>
    <m/>
    <n v="1892532.93"/>
    <s v="C M VAGHELA"/>
    <s v="CHATURBHAI MOHANBHAI VAGHELA"/>
    <s v="MOTI PANIYALI, Via. Po. SHETRUNJI, Ta. PALITANA, Dist. BHAVNAGAR-364270"/>
    <n v="9925448120"/>
    <m/>
    <s v="CDP-5"/>
    <m/>
    <m/>
    <m/>
    <n v="4"/>
    <n v="95000"/>
    <d v="2027-05-08T00:00:00"/>
    <n v="4700"/>
    <n v="0"/>
    <d v="2026-03-19T00:00:00"/>
    <d v="2027-03-09T00:00:00"/>
    <n v="901"/>
    <d v="2025-06-27T00:00:00"/>
    <s v="2025-26"/>
    <n v="193"/>
    <d v="2025-10-13T00:00:00"/>
    <s v="FDR"/>
    <s v="HDFC Bank"/>
    <s v="50301222159542"/>
    <n v="95000"/>
    <d v="2025-09-26T00:00:00"/>
    <m/>
    <m/>
    <m/>
    <m/>
    <m/>
    <d v="2025-10-15T00:00:00"/>
    <n v="1476"/>
    <d v="2025-10-13T00:00:00"/>
    <m/>
    <m/>
    <m/>
    <m/>
    <m/>
    <m/>
    <m/>
  </r>
  <r>
    <n v="70"/>
    <m/>
    <s v="2025-26"/>
    <n v="4"/>
    <n v="9"/>
    <s v="Construction of Gram Panchayat office (Frame structure) at Village Ranparada (Khara) Tal. Palitana Dist. Bhavnagar"/>
    <m/>
    <s v="Palitana"/>
    <x v="3"/>
    <s v="Building"/>
    <s v="Gram Panchayat"/>
    <n v="187884"/>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2"/>
    <d v="2025-06-27T00:00:00"/>
    <s v="2025-26"/>
    <n v="95"/>
    <d v="2025-08-18T00:00:00"/>
    <s v="FDR"/>
    <s v="SAURASHTRA GRAMIN BANK"/>
    <n v="78048506829"/>
    <n v="99000"/>
    <d v="2025-07-14T00:00:00"/>
    <m/>
    <m/>
    <m/>
    <m/>
    <m/>
    <d v="2025-08-18T00:00:00"/>
    <n v="1174"/>
    <d v="2025-08-18T00:00:00"/>
    <m/>
    <m/>
    <m/>
    <m/>
    <m/>
    <m/>
    <m/>
  </r>
  <r>
    <n v="71"/>
    <m/>
    <s v="2025-26"/>
    <n v="4"/>
    <n v="10"/>
    <s v="Construction of Gram Panchayat office (Frame structure) at Village Dudhala Ta. Palitana Dist. Bhavnagar"/>
    <m/>
    <s v="Palitana"/>
    <x v="3"/>
    <s v="Building"/>
    <s v="Gram Panchayat"/>
    <n v="187885"/>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3"/>
    <d v="2025-06-27T00:00:00"/>
    <s v="2025-26"/>
    <n v="96"/>
    <d v="2025-08-18T00:00:00"/>
    <s v="FDR"/>
    <s v="SAURASHTRA GRAMIN BANK"/>
    <n v="78048506193"/>
    <n v="99000"/>
    <d v="2025-07-14T00:00:00"/>
    <m/>
    <m/>
    <m/>
    <m/>
    <m/>
    <d v="2025-08-18T00:00:00"/>
    <n v="1175"/>
    <d v="2025-08-18T00:00:00"/>
    <m/>
    <m/>
    <m/>
    <m/>
    <m/>
    <m/>
    <m/>
  </r>
  <r>
    <n v="72"/>
    <m/>
    <s v="2025-26"/>
    <n v="4"/>
    <n v="11"/>
    <s v="Construction of Gram Panchayat office (Frame structure) at Village Moti Rajsthali Tal. Palitana Dist. Bhavnagar"/>
    <m/>
    <s v="Palitana"/>
    <x v="3"/>
    <s v="Building"/>
    <s v="Gram Panchayat"/>
    <n v="187886"/>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4"/>
    <d v="2025-06-27T00:00:00"/>
    <s v="2025-26"/>
    <n v="46"/>
    <d v="2025-07-14T00:00:00"/>
    <s v="FDR"/>
    <s v="SAURASHTRA GRAMIN BANK"/>
    <n v="78048407364"/>
    <n v="88000"/>
    <d v="2025-07-07T00:00:00"/>
    <s v="FDR"/>
    <s v="SAURASHTRA GRAMIN BANK"/>
    <n v="78048459947"/>
    <n v="24000"/>
    <d v="2025-07-10T00:00:00"/>
    <d v="2025-07-14T00:00:00"/>
    <n v="950"/>
    <d v="2025-07-14T00:00:00"/>
    <m/>
    <m/>
    <m/>
    <m/>
    <m/>
    <m/>
    <m/>
  </r>
  <r>
    <n v="73"/>
    <m/>
    <s v="2025-26"/>
    <n v="4"/>
    <n v="12"/>
    <s v="Construction of Gram Panchayat office (Frame structure) at Village Satananes Ta.Palitana Dist. Bhavnagar"/>
    <m/>
    <s v="Palitana"/>
    <x v="3"/>
    <s v="Building"/>
    <s v="Gram Panchayat"/>
    <n v="187887"/>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5"/>
    <d v="2025-06-27T00:00:00"/>
    <s v="2025-26"/>
    <n v="47"/>
    <d v="2025-07-14T00:00:00"/>
    <s v="FDR"/>
    <s v="SAURASHTRA GRAMIN BANK"/>
    <n v="78048407353"/>
    <n v="88000"/>
    <d v="2025-07-07T00:00:00"/>
    <s v="FDR"/>
    <s v="SAURASHTRA GRAMIN BANK"/>
    <n v="78048460306"/>
    <n v="24000"/>
    <d v="2025-07-10T00:00:00"/>
    <d v="2025-07-14T00:00:00"/>
    <n v="951"/>
    <d v="2025-07-14T00:00:00"/>
    <m/>
    <m/>
    <m/>
    <m/>
    <m/>
    <m/>
    <m/>
  </r>
  <r>
    <n v="74"/>
    <m/>
    <s v="2025-26"/>
    <n v="4"/>
    <n v="13"/>
    <s v="Construction of Gram Panchayat office (Frame structure) at Village Chonda Tal. Palitana Dist. Bhavnagar"/>
    <m/>
    <s v="Palitana"/>
    <x v="3"/>
    <s v="Building"/>
    <s v="Gram Panchayat"/>
    <n v="187888"/>
    <n v="1"/>
    <m/>
    <m/>
    <m/>
    <d v="1900-04-29T00:00:00"/>
    <n v="2079935.08"/>
    <m/>
    <n v="1923731.96"/>
    <n v="-7.51"/>
    <s v="Below"/>
    <s v="Nineteen Lakh Twenty Three Thousand Seven Hundred Thirty One Rupees and Ninety Six Paise Only"/>
    <s v="Division"/>
    <m/>
    <n v="1923731.96"/>
    <s v="SANDIP DINESHBHAI VANZARA"/>
    <s v="SANDIP DINESHBHAI VANZARA"/>
    <s v="Opp. HP PUMP, Palitana Road, Gariyadhar"/>
    <n v="8866209297"/>
    <m/>
    <m/>
    <m/>
    <m/>
    <m/>
    <n v="4"/>
    <n v="97000"/>
    <d v="2027-03-11T00:00:00"/>
    <n v="4800"/>
    <n v="0"/>
    <d v="2026-01-20T00:00:00"/>
    <d v="2027-01-10T00:00:00"/>
    <n v="906"/>
    <d v="2025-06-27T00:00:00"/>
    <s v="2025-26"/>
    <n v="93"/>
    <d v="2025-08-18T00:00:00"/>
    <s v="FDR"/>
    <s v="State Bank of India"/>
    <s v="00000044293876825"/>
    <n v="97000"/>
    <d v="2025-07-19T00:00:00"/>
    <m/>
    <m/>
    <m/>
    <m/>
    <m/>
    <d v="2025-08-18T00:00:00"/>
    <n v="1172"/>
    <d v="2025-08-18T00:00:00"/>
    <m/>
    <m/>
    <m/>
    <m/>
    <m/>
    <m/>
    <m/>
  </r>
  <r>
    <n v="75"/>
    <m/>
    <s v="2025-26"/>
    <n v="4"/>
    <n v="14"/>
    <m/>
    <m/>
    <m/>
    <x v="6"/>
    <s v="Building"/>
    <m/>
    <m/>
    <m/>
    <m/>
    <m/>
    <m/>
    <d v="1900-04-29T00:00:00"/>
    <m/>
    <s v="Yes"/>
    <m/>
    <m/>
    <s v="Equals"/>
    <s v="Zero Rupees Only"/>
    <s v="Division"/>
    <m/>
    <n v="0"/>
    <m/>
    <n v="0"/>
    <n v="0"/>
    <n v="0"/>
    <m/>
    <m/>
    <m/>
    <m/>
    <m/>
    <m/>
    <n v="0"/>
    <d v="1901-03-25T00:00:00"/>
    <n v="0"/>
    <n v="0"/>
    <d v="1900-02-03T00:00:00"/>
    <d v="1901-01-24T00:00:00"/>
    <m/>
    <m/>
    <m/>
    <m/>
    <m/>
    <m/>
    <m/>
    <m/>
    <m/>
    <m/>
    <m/>
    <m/>
    <m/>
    <m/>
    <m/>
    <m/>
    <m/>
    <m/>
    <m/>
    <m/>
    <m/>
    <m/>
    <m/>
    <m/>
    <m/>
  </r>
  <r>
    <n v="76"/>
    <m/>
    <s v="2025-26"/>
    <n v="4"/>
    <n v="15"/>
    <m/>
    <m/>
    <m/>
    <x v="6"/>
    <s v="Building"/>
    <m/>
    <m/>
    <m/>
    <m/>
    <m/>
    <m/>
    <d v="1900-04-29T00:00:00"/>
    <m/>
    <s v="Yes"/>
    <m/>
    <m/>
    <s v="Equals"/>
    <s v="Zero Rupees Only"/>
    <s v="Division"/>
    <m/>
    <n v="0"/>
    <m/>
    <n v="0"/>
    <n v="0"/>
    <n v="0"/>
    <m/>
    <m/>
    <m/>
    <m/>
    <m/>
    <m/>
    <n v="0"/>
    <d v="1901-03-25T00:00:00"/>
    <n v="0"/>
    <n v="0"/>
    <d v="1900-02-03T00:00:00"/>
    <d v="1901-01-24T00:00:00"/>
    <m/>
    <m/>
    <m/>
    <m/>
    <m/>
    <m/>
    <m/>
    <m/>
    <m/>
    <m/>
    <m/>
    <m/>
    <m/>
    <m/>
    <m/>
    <m/>
    <m/>
    <m/>
    <m/>
    <m/>
    <m/>
    <m/>
    <m/>
    <m/>
    <m/>
  </r>
  <r>
    <n v="77"/>
    <m/>
    <s v="2025-26"/>
    <n v="4"/>
    <n v="16"/>
    <s v="Construction of Gram Panchayat office (Frame structure) at Village Bhandariya Ta. Palitana Dist. Bhavnagar"/>
    <m/>
    <s v="Palitana"/>
    <x v="3"/>
    <s v="Building"/>
    <s v="Gram Panchayat"/>
    <n v="187891"/>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7"/>
    <d v="2025-06-27T00:00:00"/>
    <s v="2025-26"/>
    <n v="48"/>
    <d v="2025-07-14T00:00:00"/>
    <s v="FDR"/>
    <s v="SAURASHTRA GRAMIN BANK"/>
    <n v="78048407342"/>
    <n v="88000"/>
    <d v="2025-07-07T00:00:00"/>
    <s v="FDR"/>
    <s v="SAURASHTRA GRAMIN BANK"/>
    <n v="78048460328"/>
    <n v="24000"/>
    <d v="2025-07-10T00:00:00"/>
    <d v="2025-07-14T00:00:00"/>
    <n v="952"/>
    <d v="2025-07-14T00:00:00"/>
    <m/>
    <m/>
    <m/>
    <m/>
    <m/>
    <m/>
    <m/>
  </r>
  <r>
    <n v="78"/>
    <m/>
    <s v="2025-26"/>
    <n v="4"/>
    <n v="17"/>
    <m/>
    <m/>
    <m/>
    <x v="6"/>
    <s v="Building"/>
    <m/>
    <m/>
    <m/>
    <m/>
    <m/>
    <m/>
    <d v="1900-04-29T00:00:00"/>
    <m/>
    <s v="Yes"/>
    <m/>
    <m/>
    <s v="Equals"/>
    <s v="Zero Rupees Only"/>
    <s v="Division"/>
    <m/>
    <n v="0"/>
    <m/>
    <n v="0"/>
    <n v="0"/>
    <n v="0"/>
    <m/>
    <m/>
    <m/>
    <m/>
    <m/>
    <m/>
    <n v="0"/>
    <d v="1901-03-25T00:00:00"/>
    <n v="0"/>
    <n v="0"/>
    <d v="1900-02-03T00:00:00"/>
    <d v="1901-01-24T00:00:00"/>
    <m/>
    <m/>
    <m/>
    <m/>
    <m/>
    <m/>
    <m/>
    <m/>
    <m/>
    <m/>
    <m/>
    <m/>
    <m/>
    <m/>
    <m/>
    <m/>
    <m/>
    <m/>
    <m/>
    <m/>
    <m/>
    <m/>
    <m/>
    <m/>
    <m/>
  </r>
  <r>
    <n v="79"/>
    <m/>
    <s v="2025-26"/>
    <n v="4"/>
    <n v="18"/>
    <m/>
    <m/>
    <m/>
    <x v="6"/>
    <s v="Building"/>
    <m/>
    <m/>
    <m/>
    <m/>
    <m/>
    <m/>
    <d v="1900-04-29T00:00:00"/>
    <m/>
    <s v="Yes"/>
    <m/>
    <m/>
    <s v="Equals"/>
    <s v="Zero Rupees Only"/>
    <s v="Division"/>
    <m/>
    <n v="0"/>
    <m/>
    <n v="0"/>
    <n v="0"/>
    <n v="0"/>
    <m/>
    <m/>
    <m/>
    <m/>
    <m/>
    <m/>
    <n v="0"/>
    <d v="1901-03-25T00:00:00"/>
    <n v="0"/>
    <n v="0"/>
    <d v="1900-02-03T00:00:00"/>
    <d v="1901-01-24T00:00:00"/>
    <m/>
    <m/>
    <m/>
    <m/>
    <m/>
    <m/>
    <m/>
    <m/>
    <m/>
    <m/>
    <m/>
    <m/>
    <m/>
    <m/>
    <m/>
    <m/>
    <m/>
    <m/>
    <m/>
    <m/>
    <m/>
    <m/>
    <m/>
    <m/>
    <m/>
  </r>
  <r>
    <n v="80"/>
    <m/>
    <s v="2025-26"/>
    <n v="4"/>
    <n v="19"/>
    <s v="Construction of Gram Panchayat office (Frame structure) at Village Motishree Tal. Palitana Dist. Bhavnagar"/>
    <m/>
    <s v="Palitana"/>
    <x v="3"/>
    <s v="Building"/>
    <s v="Gram Panchayat"/>
    <n v="187894"/>
    <n v="1"/>
    <m/>
    <m/>
    <m/>
    <d v="1900-04-29T00:00:00"/>
    <n v="2079935.08"/>
    <m/>
    <n v="1923939.95"/>
    <n v="-7.5"/>
    <s v="Below"/>
    <s v="Nineteen Lakh Twenty Three Thousand Nine Hundred Thirty Nine Rupees and Ninety Five Paise Only"/>
    <s v="Division"/>
    <m/>
    <n v="1923939.95"/>
    <s v="UDAYBHAI R. LUNSAR"/>
    <s v="UDAYBHAI RAMKUBHAI LUNSAR"/>
    <s v="Shop No. 5, First Floor, Nilkanth Arcade, Opp. Arjun Tokiz, Palitana Road, Gariyadhar- 364505"/>
    <n v="9824226646"/>
    <m/>
    <m/>
    <m/>
    <m/>
    <m/>
    <n v="4"/>
    <n v="97000"/>
    <d v="2027-03-11T00:00:00"/>
    <n v="4800"/>
    <n v="0"/>
    <d v="2026-01-20T00:00:00"/>
    <d v="2027-01-10T00:00:00"/>
    <n v="908"/>
    <d v="2025-06-27T00:00:00"/>
    <s v="2025-26"/>
    <n v="97"/>
    <d v="2025-08-18T00:00:00"/>
    <s v="FDR"/>
    <s v="SAURASHTRA GRAMIN BANK"/>
    <n v="78048506910"/>
    <n v="97000"/>
    <d v="2025-07-14T00:00:00"/>
    <m/>
    <m/>
    <m/>
    <m/>
    <m/>
    <d v="2025-08-18T00:00:00"/>
    <n v="1176"/>
    <d v="2025-08-18T00:00:00"/>
    <m/>
    <m/>
    <m/>
    <m/>
    <m/>
    <m/>
    <m/>
  </r>
  <r>
    <n v="81"/>
    <m/>
    <s v="2025-26"/>
    <n v="4"/>
    <n v="20"/>
    <s v="Construction of Gram Panchayat office (Frame structure) at Village Dungarpur Tal. Palitana Dist. Bhavnagar"/>
    <m/>
    <s v="Palitana"/>
    <x v="3"/>
    <s v="Building"/>
    <s v="Gram Panchayat"/>
    <n v="187895"/>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9"/>
    <d v="2025-06-27T00:00:00"/>
    <s v="2025-26"/>
    <n v="49"/>
    <d v="2025-07-14T00:00:00"/>
    <s v="FDR"/>
    <s v="SAURASHTRA GRAMIN BANK"/>
    <n v="78048407331"/>
    <n v="88000"/>
    <d v="2025-07-07T00:00:00"/>
    <s v="FDR"/>
    <s v="SAURASHTRA GRAMIN BANK"/>
    <n v="78048460282"/>
    <n v="24000"/>
    <d v="2025-07-10T00:00:00"/>
    <d v="2025-07-14T00:00:00"/>
    <n v="953"/>
    <d v="2025-07-14T00:00:00"/>
    <m/>
    <m/>
    <m/>
    <m/>
    <m/>
    <m/>
    <m/>
  </r>
  <r>
    <n v="82"/>
    <m/>
    <s v="2025-26"/>
    <n v="4"/>
    <n v="21"/>
    <m/>
    <m/>
    <m/>
    <x v="6"/>
    <s v="Building"/>
    <m/>
    <m/>
    <m/>
    <m/>
    <m/>
    <m/>
    <d v="1900-04-29T00:00:00"/>
    <m/>
    <s v="Yes"/>
    <m/>
    <m/>
    <s v="Equals"/>
    <s v="Zero Rupees Only"/>
    <s v="Division"/>
    <m/>
    <n v="0"/>
    <m/>
    <n v="0"/>
    <n v="0"/>
    <n v="0"/>
    <m/>
    <m/>
    <m/>
    <m/>
    <m/>
    <m/>
    <n v="0"/>
    <d v="1901-03-25T00:00:00"/>
    <n v="0"/>
    <n v="0"/>
    <d v="1900-02-03T00:00:00"/>
    <d v="1901-01-24T00:00:00"/>
    <m/>
    <m/>
    <m/>
    <m/>
    <m/>
    <m/>
    <m/>
    <m/>
    <m/>
    <m/>
    <m/>
    <m/>
    <m/>
    <m/>
    <m/>
    <m/>
    <m/>
    <m/>
    <m/>
    <m/>
    <m/>
    <m/>
    <m/>
    <m/>
    <m/>
  </r>
  <r>
    <n v="83"/>
    <m/>
    <s v="2025-26"/>
    <n v="4"/>
    <n v="22"/>
    <s v="Construction of Gram Panchayat office (Frame structure) at Village Nava Sarod Tal. Palitana Dist. Bhavnagar"/>
    <m/>
    <s v="Palitana"/>
    <x v="3"/>
    <s v="Building"/>
    <s v="Gram Panchayat"/>
    <n v="187897"/>
    <n v="1"/>
    <m/>
    <m/>
    <m/>
    <d v="1900-04-29T00:00:00"/>
    <n v="2079935.08"/>
    <m/>
    <n v="1980930.17"/>
    <n v="-4.76"/>
    <s v="Below"/>
    <s v="Nineteen Lakh Eighty Thousand Nine Hundred Thirty Rupees and Seventeen Paise Only"/>
    <s v="Division"/>
    <m/>
    <n v="1980930.17"/>
    <s v="ASHOKBHAI PARSHOTAMBHAI_x000a_BARAIYA"/>
    <s v="ASHOKBHAI PARSHOTAMBHAI_x000a_BARAIYA"/>
    <s v="At Lapaliya, Post- Nani Rajsthali, Tal. Palitana - 364270"/>
    <n v="9898775037"/>
    <m/>
    <m/>
    <m/>
    <m/>
    <m/>
    <n v="4"/>
    <n v="100000"/>
    <d v="2027-02-05T00:00:00"/>
    <n v="4900"/>
    <n v="0"/>
    <d v="2025-12-17T00:00:00"/>
    <d v="2026-12-07T00:00:00"/>
    <n v="910"/>
    <d v="2025-06-27T00:00:00"/>
    <m/>
    <m/>
    <m/>
    <m/>
    <m/>
    <m/>
    <m/>
    <m/>
    <m/>
    <m/>
    <m/>
    <m/>
    <m/>
    <d v="2025-07-15T00:00:00"/>
    <m/>
    <m/>
    <m/>
    <m/>
    <m/>
    <m/>
    <m/>
    <m/>
    <m/>
  </r>
  <r>
    <n v="84"/>
    <m/>
    <s v="2025-26"/>
    <n v="4"/>
    <n v="23"/>
    <m/>
    <m/>
    <m/>
    <x v="6"/>
    <s v="Building"/>
    <m/>
    <m/>
    <m/>
    <m/>
    <m/>
    <m/>
    <d v="1900-04-29T00:00:00"/>
    <m/>
    <s v="Yes"/>
    <m/>
    <m/>
    <s v="Equals"/>
    <s v="Zero Rupees Only"/>
    <s v="Division"/>
    <m/>
    <n v="0"/>
    <m/>
    <n v="0"/>
    <n v="0"/>
    <n v="0"/>
    <m/>
    <m/>
    <m/>
    <m/>
    <m/>
    <m/>
    <n v="0"/>
    <d v="1901-03-25T00:00:00"/>
    <n v="0"/>
    <n v="0"/>
    <d v="1900-02-03T00:00:00"/>
    <d v="1901-01-24T00:00:00"/>
    <m/>
    <m/>
    <m/>
    <m/>
    <m/>
    <m/>
    <m/>
    <m/>
    <m/>
    <m/>
    <m/>
    <m/>
    <m/>
    <m/>
    <m/>
    <m/>
    <m/>
    <m/>
    <m/>
    <m/>
    <m/>
    <m/>
    <m/>
    <m/>
    <m/>
  </r>
  <r>
    <n v="85"/>
    <m/>
    <s v="2025-26"/>
    <n v="4"/>
    <n v="24"/>
    <m/>
    <m/>
    <m/>
    <x v="6"/>
    <s v="Building"/>
    <m/>
    <m/>
    <m/>
    <m/>
    <m/>
    <m/>
    <d v="1900-04-29T00:00:00"/>
    <m/>
    <s v="Yes"/>
    <m/>
    <m/>
    <s v="Equals"/>
    <s v="Zero Rupees Only"/>
    <s v="Division"/>
    <m/>
    <n v="0"/>
    <m/>
    <n v="0"/>
    <n v="0"/>
    <n v="0"/>
    <m/>
    <m/>
    <m/>
    <m/>
    <m/>
    <m/>
    <n v="0"/>
    <d v="1901-03-25T00:00:00"/>
    <n v="0"/>
    <n v="0"/>
    <d v="1900-02-03T00:00:00"/>
    <d v="1901-01-24T00:00:00"/>
    <m/>
    <m/>
    <m/>
    <m/>
    <m/>
    <m/>
    <m/>
    <m/>
    <m/>
    <m/>
    <m/>
    <m/>
    <m/>
    <m/>
    <m/>
    <m/>
    <m/>
    <m/>
    <m/>
    <m/>
    <m/>
    <m/>
    <m/>
    <m/>
    <m/>
  </r>
  <r>
    <n v="86"/>
    <m/>
    <s v="2025-26"/>
    <n v="4"/>
    <n v="25"/>
    <m/>
    <m/>
    <m/>
    <x v="6"/>
    <s v="Building"/>
    <m/>
    <m/>
    <m/>
    <m/>
    <m/>
    <m/>
    <d v="1900-04-29T00:00:00"/>
    <m/>
    <s v="Yes"/>
    <m/>
    <m/>
    <s v="Equals"/>
    <s v="Zero Rupees Only"/>
    <s v="Division"/>
    <m/>
    <n v="0"/>
    <m/>
    <n v="0"/>
    <n v="0"/>
    <n v="0"/>
    <m/>
    <m/>
    <m/>
    <m/>
    <m/>
    <m/>
    <n v="0"/>
    <d v="1901-03-25T00:00:00"/>
    <n v="0"/>
    <n v="0"/>
    <d v="1900-02-03T00:00:00"/>
    <d v="1901-01-24T00:00:00"/>
    <m/>
    <m/>
    <m/>
    <m/>
    <m/>
    <m/>
    <m/>
    <m/>
    <m/>
    <m/>
    <m/>
    <m/>
    <m/>
    <m/>
    <m/>
    <m/>
    <m/>
    <m/>
    <m/>
    <m/>
    <m/>
    <m/>
    <m/>
    <m/>
    <m/>
  </r>
  <r>
    <n v="87"/>
    <m/>
    <s v="2025-26"/>
    <n v="4"/>
    <n v="26"/>
    <m/>
    <m/>
    <m/>
    <x v="6"/>
    <s v="Building"/>
    <m/>
    <m/>
    <m/>
    <m/>
    <m/>
    <m/>
    <d v="1900-04-29T00:00:00"/>
    <m/>
    <s v="Yes"/>
    <m/>
    <m/>
    <s v="Equals"/>
    <s v="Zero Rupees Only"/>
    <s v="Division"/>
    <m/>
    <n v="0"/>
    <m/>
    <n v="0"/>
    <n v="0"/>
    <n v="0"/>
    <m/>
    <m/>
    <m/>
    <m/>
    <m/>
    <m/>
    <n v="0"/>
    <d v="1901-03-25T00:00:00"/>
    <n v="0"/>
    <n v="0"/>
    <d v="1900-02-03T00:00:00"/>
    <d v="1901-01-24T00:00:00"/>
    <m/>
    <m/>
    <m/>
    <m/>
    <m/>
    <m/>
    <m/>
    <m/>
    <m/>
    <m/>
    <m/>
    <m/>
    <m/>
    <m/>
    <m/>
    <m/>
    <m/>
    <m/>
    <m/>
    <m/>
    <m/>
    <m/>
    <m/>
    <m/>
    <m/>
  </r>
  <r>
    <n v="88"/>
    <m/>
    <s v="2025-26"/>
    <n v="4"/>
    <n v="27"/>
    <m/>
    <m/>
    <m/>
    <x v="6"/>
    <s v="Building"/>
    <m/>
    <m/>
    <m/>
    <m/>
    <m/>
    <m/>
    <d v="1900-04-29T00:00:00"/>
    <m/>
    <s v="Yes"/>
    <m/>
    <m/>
    <s v="Equals"/>
    <s v="Zero Rupees Only"/>
    <s v="Division"/>
    <m/>
    <n v="0"/>
    <m/>
    <n v="0"/>
    <n v="0"/>
    <n v="0"/>
    <m/>
    <m/>
    <m/>
    <m/>
    <m/>
    <m/>
    <n v="0"/>
    <d v="1901-03-25T00:00:00"/>
    <n v="0"/>
    <n v="0"/>
    <d v="1900-02-03T00:00:00"/>
    <d v="1901-01-24T00:00:00"/>
    <m/>
    <m/>
    <m/>
    <m/>
    <m/>
    <m/>
    <m/>
    <m/>
    <m/>
    <m/>
    <m/>
    <m/>
    <m/>
    <m/>
    <m/>
    <m/>
    <m/>
    <m/>
    <m/>
    <m/>
    <m/>
    <m/>
    <m/>
    <m/>
    <m/>
  </r>
  <r>
    <n v="89"/>
    <m/>
    <s v="2025-26"/>
    <n v="4"/>
    <n v="28"/>
    <s v="Construction of Gram Panchayat office (Frame structure) at Village Bambhaniya Tal. Mahuva Dist. Bhavnagar"/>
    <m/>
    <s v="Mahuva"/>
    <x v="1"/>
    <s v="Building"/>
    <s v="Gram Panchayat"/>
    <n v="187904"/>
    <n v="1"/>
    <d v="2025-05-18T00:00:00"/>
    <d v="2025-05-26T00:00:00"/>
    <d v="2025-05-27T00:00:00"/>
    <d v="2025-09-23T00:00:00"/>
    <n v="2079935.08"/>
    <m/>
    <n v="1967618.59"/>
    <n v="-5.4"/>
    <s v="Below"/>
    <s v="Nineteen Lakh Sixty Seven Thousand Six Hundred Eighteen Rupees and Fifty Nine Paise Only"/>
    <s v="Division"/>
    <m/>
    <n v="1967618.59"/>
    <s v="MAYANKKUMAR JAYANTIBHAI GODHANI"/>
    <n v="0"/>
    <s v="314, Rise On Plaza, Sarthana Jakatnaka, Surat - 395006"/>
    <n v="9099381567"/>
    <m/>
    <s v="CDP-5"/>
    <m/>
    <m/>
    <m/>
    <n v="4"/>
    <n v="99000"/>
    <d v="2027-06-11T00:00:00"/>
    <n v="4900"/>
    <n v="0"/>
    <d v="2026-04-22T00:00:00"/>
    <d v="2027-04-12T00:00:00"/>
    <n v="911"/>
    <d v="2025-06-27T00:00:00"/>
    <s v="2025-26"/>
    <n v="206"/>
    <d v="2025-11-13T00:00:00"/>
    <s v="FDR"/>
    <s v="State Bank of India"/>
    <n v="44496602672"/>
    <n v="99000"/>
    <d v="2025-09-24T00:00:00"/>
    <m/>
    <m/>
    <m/>
    <m/>
    <m/>
    <d v="2025-11-18T00:00:00"/>
    <n v="1534"/>
    <d v="2025-11-13T00:00:00"/>
    <m/>
    <m/>
    <m/>
    <m/>
    <m/>
    <m/>
    <m/>
  </r>
  <r>
    <n v="90"/>
    <m/>
    <s v="2025-26"/>
    <n v="4"/>
    <n v="29"/>
    <s v="Construction of Gram Panchayat office (Frame structure) at Village Dundas Tal. Mahuva Dist. Bhavnagar"/>
    <m/>
    <s v="Mahuva"/>
    <x v="1"/>
    <s v="Building"/>
    <s v="Gram Panchayat"/>
    <n v="187905"/>
    <n v="1"/>
    <m/>
    <m/>
    <m/>
    <d v="1900-04-29T00:00:00"/>
    <n v="2079935.08"/>
    <m/>
    <n v="1930179.75"/>
    <n v="-7.2"/>
    <s v="Below"/>
    <s v="Nineteen Lakh Thirty Thousand One Hundred Seventy Nine Rupees and Seventy Five Paise Only"/>
    <s v="Division"/>
    <m/>
    <n v="1930179.75"/>
    <s v="MAYANKKUMAR JAYANTIBHAI GODHANI"/>
    <n v="0"/>
    <s v="314, Rise On Plaza, Sarthana Jakatnaka, Surat - 395006"/>
    <n v="9099381567"/>
    <m/>
    <s v="CDP-5"/>
    <m/>
    <m/>
    <m/>
    <n v="4"/>
    <n v="97000"/>
    <d v="2027-06-11T00:00:00"/>
    <n v="4800"/>
    <n v="0"/>
    <d v="2026-04-22T00:00:00"/>
    <d v="2027-04-12T00:00:00"/>
    <n v="912"/>
    <d v="2025-06-27T00:00:00"/>
    <s v="2025-26"/>
    <n v="207"/>
    <d v="2025-11-13T00:00:00"/>
    <s v="FDR"/>
    <s v="State Bank of India"/>
    <n v="44496676203"/>
    <n v="97000"/>
    <d v="2025-09-24T00:00:00"/>
    <m/>
    <m/>
    <m/>
    <m/>
    <m/>
    <d v="2025-11-18T00:00:00"/>
    <n v="1535"/>
    <d v="2025-11-13T00:00:00"/>
    <m/>
    <m/>
    <m/>
    <m/>
    <m/>
    <m/>
    <m/>
  </r>
  <r>
    <n v="91"/>
    <m/>
    <s v="2025-26"/>
    <n v="4"/>
    <n v="30"/>
    <m/>
    <m/>
    <m/>
    <x v="6"/>
    <s v="Building"/>
    <m/>
    <m/>
    <m/>
    <m/>
    <m/>
    <m/>
    <d v="1900-04-29T00:00:00"/>
    <m/>
    <s v="Yes"/>
    <m/>
    <m/>
    <s v="Equals"/>
    <s v="Zero Rupees Only"/>
    <s v="Division"/>
    <m/>
    <n v="0"/>
    <m/>
    <n v="0"/>
    <n v="0"/>
    <n v="0"/>
    <m/>
    <m/>
    <m/>
    <m/>
    <m/>
    <m/>
    <n v="0"/>
    <d v="1901-03-25T00:00:00"/>
    <n v="0"/>
    <n v="0"/>
    <d v="1900-02-03T00:00:00"/>
    <d v="1901-01-24T00:00:00"/>
    <m/>
    <m/>
    <m/>
    <m/>
    <m/>
    <m/>
    <m/>
    <m/>
    <m/>
    <m/>
    <m/>
    <m/>
    <m/>
    <m/>
    <m/>
    <m/>
    <m/>
    <m/>
    <m/>
    <m/>
    <m/>
    <m/>
    <m/>
    <m/>
    <m/>
  </r>
  <r>
    <n v="92"/>
    <m/>
    <s v="2025-26"/>
    <n v="4"/>
    <n v="31"/>
    <m/>
    <m/>
    <m/>
    <x v="6"/>
    <s v="Building"/>
    <m/>
    <m/>
    <m/>
    <m/>
    <m/>
    <m/>
    <d v="1900-04-29T00:00:00"/>
    <m/>
    <s v="Yes"/>
    <m/>
    <m/>
    <s v="Equals"/>
    <s v="Zero Rupees Only"/>
    <s v="Division"/>
    <m/>
    <n v="0"/>
    <m/>
    <n v="0"/>
    <n v="0"/>
    <n v="0"/>
    <m/>
    <m/>
    <m/>
    <m/>
    <m/>
    <m/>
    <n v="0"/>
    <d v="1901-03-25T00:00:00"/>
    <n v="0"/>
    <n v="0"/>
    <d v="1900-02-03T00:00:00"/>
    <d v="1901-01-24T00:00:00"/>
    <m/>
    <m/>
    <m/>
    <m/>
    <m/>
    <m/>
    <m/>
    <m/>
    <m/>
    <m/>
    <m/>
    <m/>
    <m/>
    <m/>
    <m/>
    <m/>
    <m/>
    <m/>
    <m/>
    <m/>
    <m/>
    <m/>
    <m/>
    <m/>
    <m/>
  </r>
  <r>
    <n v="93"/>
    <m/>
    <s v="2025-26"/>
    <n v="4"/>
    <n v="32"/>
    <m/>
    <m/>
    <m/>
    <x v="6"/>
    <s v="Building"/>
    <m/>
    <m/>
    <m/>
    <m/>
    <m/>
    <m/>
    <d v="1900-04-29T00:00:00"/>
    <m/>
    <s v="Yes"/>
    <m/>
    <m/>
    <s v="Equals"/>
    <s v="Zero Rupees Only"/>
    <s v="Division"/>
    <m/>
    <n v="0"/>
    <m/>
    <n v="0"/>
    <n v="0"/>
    <n v="0"/>
    <m/>
    <m/>
    <m/>
    <m/>
    <m/>
    <m/>
    <n v="0"/>
    <d v="1901-03-25T00:00:00"/>
    <n v="0"/>
    <n v="0"/>
    <d v="1900-02-03T00:00:00"/>
    <d v="1901-01-24T00:00:00"/>
    <m/>
    <m/>
    <m/>
    <m/>
    <m/>
    <m/>
    <m/>
    <m/>
    <m/>
    <m/>
    <m/>
    <m/>
    <m/>
    <m/>
    <m/>
    <m/>
    <m/>
    <m/>
    <m/>
    <m/>
    <m/>
    <m/>
    <m/>
    <m/>
    <m/>
  </r>
  <r>
    <n v="94"/>
    <m/>
    <s v="2025-26"/>
    <n v="4"/>
    <n v="33"/>
    <s v="Construction of Gram Panchayat office (Frame structure) at Village Kotamoi Tal. Jesar Dist. Bhavnagar"/>
    <m/>
    <s v="Jesar"/>
    <x v="1"/>
    <s v="Building"/>
    <s v="Gram Panchayat"/>
    <n v="187909"/>
    <n v="1"/>
    <m/>
    <m/>
    <m/>
    <d v="1900-04-29T00:00:00"/>
    <n v="2027056.59"/>
    <m/>
    <n v="1844418.79"/>
    <n v="-9.01"/>
    <s v="Below"/>
    <s v="Eighteen Lakh Forty Four Thousand Four Hundred Eighteen Rupees and Seventy Nine Paise Only"/>
    <s v="Division"/>
    <m/>
    <n v="1844418.79"/>
    <s v="C M VAGHELA"/>
    <s v="CHATURBHAI MOHANBHAI VAGHELA"/>
    <s v="MOTI PANIYALI, Via. Po. SHETRUNJI, Ta. PALITANA, Dist. BHAVNAGAR-364270"/>
    <n v="9925448120"/>
    <m/>
    <m/>
    <m/>
    <m/>
    <m/>
    <n v="4"/>
    <n v="93000"/>
    <d v="2027-02-05T00:00:00"/>
    <n v="4600"/>
    <n v="0"/>
    <d v="2025-12-17T00:00:00"/>
    <d v="2026-12-07T00:00:00"/>
    <n v="913"/>
    <d v="2025-06-27T00:00:00"/>
    <m/>
    <m/>
    <m/>
    <m/>
    <m/>
    <m/>
    <m/>
    <m/>
    <m/>
    <m/>
    <m/>
    <m/>
    <m/>
    <d v="2025-07-15T00:00:00"/>
    <m/>
    <m/>
    <m/>
    <m/>
    <m/>
    <m/>
    <m/>
    <m/>
    <m/>
  </r>
  <r>
    <n v="95"/>
    <m/>
    <s v="2025-26"/>
    <n v="4"/>
    <n v="34"/>
    <m/>
    <m/>
    <m/>
    <x v="6"/>
    <s v="Building"/>
    <m/>
    <m/>
    <m/>
    <m/>
    <m/>
    <m/>
    <d v="1900-04-29T00:00:00"/>
    <m/>
    <s v="Yes"/>
    <m/>
    <m/>
    <s v="Equals"/>
    <s v="Zero Rupees Only"/>
    <s v="Division"/>
    <m/>
    <n v="0"/>
    <m/>
    <n v="0"/>
    <n v="0"/>
    <n v="0"/>
    <m/>
    <m/>
    <m/>
    <m/>
    <m/>
    <m/>
    <n v="0"/>
    <d v="1901-03-25T00:00:00"/>
    <n v="0"/>
    <n v="0"/>
    <d v="1900-02-03T00:00:00"/>
    <d v="1901-01-24T00:00:00"/>
    <m/>
    <m/>
    <m/>
    <m/>
    <m/>
    <m/>
    <m/>
    <m/>
    <m/>
    <m/>
    <m/>
    <m/>
    <m/>
    <m/>
    <m/>
    <m/>
    <m/>
    <m/>
    <m/>
    <m/>
    <m/>
    <m/>
    <m/>
    <m/>
    <m/>
  </r>
  <r>
    <n v="96"/>
    <m/>
    <s v="2025-26"/>
    <n v="4"/>
    <n v="35"/>
    <m/>
    <m/>
    <m/>
    <x v="6"/>
    <s v="Building"/>
    <m/>
    <m/>
    <m/>
    <m/>
    <m/>
    <m/>
    <d v="1900-04-29T00:00:00"/>
    <m/>
    <s v="Yes"/>
    <m/>
    <m/>
    <s v="Equals"/>
    <s v="Zero Rupees Only"/>
    <s v="Division"/>
    <m/>
    <n v="0"/>
    <m/>
    <n v="0"/>
    <n v="0"/>
    <n v="0"/>
    <m/>
    <m/>
    <m/>
    <m/>
    <m/>
    <m/>
    <n v="0"/>
    <d v="1901-03-25T00:00:00"/>
    <n v="0"/>
    <n v="0"/>
    <d v="1900-02-03T00:00:00"/>
    <d v="1901-01-24T00:00:00"/>
    <m/>
    <m/>
    <m/>
    <m/>
    <m/>
    <m/>
    <m/>
    <m/>
    <m/>
    <m/>
    <m/>
    <m/>
    <m/>
    <m/>
    <m/>
    <m/>
    <m/>
    <m/>
    <m/>
    <m/>
    <m/>
    <m/>
    <m/>
    <m/>
    <m/>
  </r>
  <r>
    <n v="97"/>
    <m/>
    <s v="2025-26"/>
    <n v="4"/>
    <n v="36"/>
    <m/>
    <m/>
    <m/>
    <x v="6"/>
    <s v="Building"/>
    <m/>
    <m/>
    <m/>
    <m/>
    <m/>
    <m/>
    <d v="1900-04-29T00:00:00"/>
    <m/>
    <s v="Yes"/>
    <m/>
    <m/>
    <s v="Equals"/>
    <s v="Zero Rupees Only"/>
    <s v="Division"/>
    <m/>
    <n v="0"/>
    <m/>
    <n v="0"/>
    <n v="0"/>
    <n v="0"/>
    <m/>
    <m/>
    <m/>
    <m/>
    <m/>
    <m/>
    <n v="0"/>
    <d v="1901-03-25T00:00:00"/>
    <n v="0"/>
    <n v="0"/>
    <d v="1900-02-03T00:00:00"/>
    <d v="1901-01-24T00:00:00"/>
    <m/>
    <m/>
    <m/>
    <m/>
    <m/>
    <m/>
    <m/>
    <m/>
    <m/>
    <m/>
    <m/>
    <m/>
    <m/>
    <m/>
    <m/>
    <m/>
    <m/>
    <m/>
    <m/>
    <m/>
    <m/>
    <m/>
    <m/>
    <m/>
    <m/>
  </r>
  <r>
    <n v="98"/>
    <m/>
    <s v="2025-26"/>
    <n v="4"/>
    <n v="37"/>
    <s v="Construction of Gram Panchayat office (Frame structure) at Village Hadamtala Tal.Umrala Dist. Bhavnagar"/>
    <m/>
    <s v="Umrala"/>
    <x v="0"/>
    <s v="Building"/>
    <s v="Gram Panchayat"/>
    <n v="187914"/>
    <n v="1"/>
    <m/>
    <m/>
    <m/>
    <d v="1900-04-29T00:00:00"/>
    <n v="2027056.59"/>
    <m/>
    <n v="1801850.6"/>
    <n v="-11.11"/>
    <s v="Below"/>
    <s v="Eighteen Lakh One Thousand Eight Hundred Fifty Rupees and Six Paise Only"/>
    <s v="Division"/>
    <m/>
    <n v="1801850.6"/>
    <s v="DEV CONSTRUCTION"/>
    <s v="D. H. Gohil"/>
    <s v="At. Vangadhra, Ta.Umrala, Dist. Bhavnagar"/>
    <n v="8780286268"/>
    <m/>
    <m/>
    <m/>
    <m/>
    <m/>
    <n v="4"/>
    <n v="91000"/>
    <d v="2027-04-03T00:00:00"/>
    <n v="4800"/>
    <n v="5000"/>
    <d v="2026-02-12T00:00:00"/>
    <d v="2027-02-02T00:00:00"/>
    <n v="914"/>
    <d v="2025-06-27T00:00:00"/>
    <s v="2025-26"/>
    <n v="149"/>
    <d v="2025-09-10T00:00:00"/>
    <s v="FDR"/>
    <s v="State Bank of India"/>
    <n v="44412611449"/>
    <n v="91000"/>
    <d v="2025-08-28T00:00:00"/>
    <s v="FDR"/>
    <s v="State Bank of India"/>
    <n v="44412614122"/>
    <n v="5000"/>
    <d v="2025-08-28T00:00:00"/>
    <d v="2025-09-10T00:00:00"/>
    <n v="1293"/>
    <d v="2025-09-10T00:00:00"/>
    <m/>
    <m/>
    <m/>
    <m/>
    <m/>
    <m/>
    <m/>
  </r>
  <r>
    <n v="99"/>
    <m/>
    <s v="2025-26"/>
    <n v="4"/>
    <n v="38"/>
    <m/>
    <m/>
    <m/>
    <x v="6"/>
    <s v="Building"/>
    <m/>
    <m/>
    <m/>
    <m/>
    <m/>
    <m/>
    <d v="1900-04-29T00:00:00"/>
    <m/>
    <s v="Yes"/>
    <m/>
    <m/>
    <s v="Equals"/>
    <s v="Zero Rupees Only"/>
    <s v="Division"/>
    <m/>
    <n v="0"/>
    <m/>
    <n v="0"/>
    <n v="0"/>
    <n v="0"/>
    <m/>
    <m/>
    <m/>
    <m/>
    <m/>
    <m/>
    <n v="0"/>
    <d v="1901-03-25T00:00:00"/>
    <n v="0"/>
    <n v="0"/>
    <d v="1900-02-03T00:00:00"/>
    <d v="1901-01-24T00:00:00"/>
    <m/>
    <m/>
    <m/>
    <m/>
    <m/>
    <m/>
    <m/>
    <m/>
    <m/>
    <m/>
    <m/>
    <m/>
    <m/>
    <m/>
    <m/>
    <m/>
    <m/>
    <m/>
    <m/>
    <m/>
    <m/>
    <m/>
    <m/>
    <m/>
    <m/>
  </r>
  <r>
    <n v="100"/>
    <m/>
    <s v="2025-26"/>
    <n v="4"/>
    <n v="39"/>
    <s v="Construction of Gram Panchayat office ( for Population from 5000- 10000) at Village Ranghola Tal. Umrala Dist. Bhavnagar"/>
    <m/>
    <s v="Umrala"/>
    <x v="0"/>
    <s v="Building"/>
    <s v="Gram Panchayat"/>
    <n v="187916"/>
    <n v="1"/>
    <m/>
    <m/>
    <m/>
    <d v="1900-04-29T00:00:00"/>
    <n v="2654980.89"/>
    <m/>
    <n v="2389748.2999999998"/>
    <n v="-9.99"/>
    <s v="Below"/>
    <s v="Twenty Three Lakh Eighty Nine Thousand Seven Hundred Forty Eight Rupees and Three Paise Only"/>
    <s v="Division"/>
    <m/>
    <n v="2389748.2999999998"/>
    <s v="DEV CONSTRUCTION"/>
    <s v="D. H. Gohil"/>
    <s v="At. Vangadhra, Ta.Umrala, Dist. Bhavnagar"/>
    <n v="8780286268"/>
    <m/>
    <m/>
    <m/>
    <m/>
    <m/>
    <n v="4"/>
    <n v="120000"/>
    <d v="2027-02-05T00:00:00"/>
    <n v="5900"/>
    <n v="0"/>
    <d v="2025-12-17T00:00:00"/>
    <d v="2026-12-07T00:00:00"/>
    <n v="915"/>
    <d v="2025-06-27T00:00:00"/>
    <m/>
    <m/>
    <m/>
    <m/>
    <m/>
    <m/>
    <m/>
    <m/>
    <m/>
    <m/>
    <m/>
    <m/>
    <m/>
    <d v="2025-07-15T00:00:00"/>
    <m/>
    <m/>
    <m/>
    <m/>
    <m/>
    <m/>
    <m/>
    <m/>
    <m/>
  </r>
  <r>
    <n v="101"/>
    <m/>
    <s v="2025-26"/>
    <n v="4"/>
    <n v="40"/>
    <m/>
    <m/>
    <m/>
    <x v="6"/>
    <s v="Building"/>
    <m/>
    <m/>
    <m/>
    <m/>
    <m/>
    <m/>
    <d v="1900-04-29T00:00:00"/>
    <m/>
    <s v="Yes"/>
    <m/>
    <m/>
    <s v="Equals"/>
    <s v="Zero Rupees Only"/>
    <s v="Division"/>
    <m/>
    <n v="0"/>
    <m/>
    <n v="0"/>
    <n v="0"/>
    <n v="0"/>
    <m/>
    <m/>
    <m/>
    <m/>
    <m/>
    <m/>
    <n v="0"/>
    <d v="1901-03-25T00:00:00"/>
    <n v="0"/>
    <n v="0"/>
    <d v="1900-02-03T00:00:00"/>
    <d v="1901-01-24T00:00:00"/>
    <m/>
    <m/>
    <m/>
    <m/>
    <m/>
    <m/>
    <m/>
    <m/>
    <m/>
    <m/>
    <m/>
    <m/>
    <m/>
    <m/>
    <m/>
    <m/>
    <m/>
    <m/>
    <m/>
    <m/>
    <m/>
    <m/>
    <m/>
    <m/>
    <m/>
  </r>
  <r>
    <n v="102"/>
    <m/>
    <s v="2025-26"/>
    <n v="4"/>
    <n v="41"/>
    <m/>
    <m/>
    <m/>
    <x v="6"/>
    <s v="Building"/>
    <m/>
    <m/>
    <m/>
    <m/>
    <m/>
    <m/>
    <d v="1900-04-29T00:00:00"/>
    <m/>
    <s v="Yes"/>
    <m/>
    <m/>
    <s v="Equals"/>
    <s v="Zero Rupees Only"/>
    <s v="Division"/>
    <m/>
    <n v="0"/>
    <m/>
    <n v="0"/>
    <n v="0"/>
    <n v="0"/>
    <m/>
    <m/>
    <m/>
    <m/>
    <m/>
    <m/>
    <n v="0"/>
    <d v="1901-03-25T00:00:00"/>
    <n v="0"/>
    <n v="0"/>
    <d v="1900-02-03T00:00:00"/>
    <d v="1901-01-24T00:00:00"/>
    <m/>
    <m/>
    <m/>
    <m/>
    <m/>
    <m/>
    <m/>
    <m/>
    <m/>
    <m/>
    <m/>
    <m/>
    <m/>
    <m/>
    <m/>
    <m/>
    <m/>
    <m/>
    <m/>
    <m/>
    <m/>
    <m/>
    <m/>
    <m/>
    <m/>
  </r>
  <r>
    <n v="103"/>
    <m/>
    <s v="2025-26"/>
    <n v="4"/>
    <n v="42"/>
    <s v="Construction of Gram Panchayat office ( for Population from 5000- 10000) at Village Chogath Tal. Umrala Dist. Bhavnagar"/>
    <m/>
    <s v="Umrala"/>
    <x v="0"/>
    <s v="Building"/>
    <s v="Gram Panchayat"/>
    <n v="187919"/>
    <n v="1"/>
    <m/>
    <m/>
    <m/>
    <d v="1900-04-29T00:00:00"/>
    <n v="2654980.89"/>
    <m/>
    <n v="2360012.5099999998"/>
    <n v="-11.11"/>
    <s v="Below"/>
    <s v="Twenty Three Lakh Sixty Thousand Twelve Rupees and Fifty One Paise Only"/>
    <s v="Division"/>
    <m/>
    <n v="2360012.5099999998"/>
    <s v="DEV CONSTRUCTION"/>
    <s v="D. H. Gohil"/>
    <s v="At. Vangadhra, Ta.Umrala, Dist. Bhavnagar"/>
    <n v="8780286268"/>
    <m/>
    <m/>
    <m/>
    <m/>
    <m/>
    <n v="4"/>
    <n v="119000"/>
    <d v="2027-02-05T00:00:00"/>
    <n v="6200"/>
    <n v="6000"/>
    <d v="2025-12-17T00:00:00"/>
    <d v="2026-12-07T00:00:00"/>
    <n v="916"/>
    <d v="2025-06-27T00:00:00"/>
    <m/>
    <m/>
    <m/>
    <m/>
    <m/>
    <m/>
    <m/>
    <m/>
    <m/>
    <m/>
    <m/>
    <m/>
    <m/>
    <d v="2025-07-15T00:00:00"/>
    <m/>
    <m/>
    <m/>
    <m/>
    <m/>
    <m/>
    <m/>
    <m/>
    <m/>
  </r>
  <r>
    <n v="104"/>
    <m/>
    <s v="2025-26"/>
    <n v="5"/>
    <n v="1"/>
    <s v="Design, Supply, Construct, Erection and Commissioning of Modular Structure through 3D Monolithic Precast Technology for AWC (Anganvadi Center) at various locations at Gir Somnath, Junagadh, Bhavnagar Districts in the Gujarat State, Phase 2 Package 4"/>
    <m/>
    <m/>
    <x v="6"/>
    <s v="Consultant"/>
    <m/>
    <n v="189005"/>
    <n v="1"/>
    <m/>
    <m/>
    <m/>
    <d v="1900-04-29T00:00:00"/>
    <m/>
    <s v="Yes"/>
    <m/>
    <m/>
    <s v="Equals"/>
    <s v="Zero Rupees Only"/>
    <s v="Division"/>
    <m/>
    <n v="0"/>
    <m/>
    <n v="0"/>
    <n v="0"/>
    <n v="0"/>
    <m/>
    <m/>
    <m/>
    <m/>
    <m/>
    <m/>
    <n v="0"/>
    <d v="1901-03-25T00:00:00"/>
    <n v="0"/>
    <n v="0"/>
    <d v="1900-02-03T00:00:00"/>
    <d v="1901-01-24T00:00:00"/>
    <m/>
    <m/>
    <m/>
    <m/>
    <m/>
    <m/>
    <m/>
    <m/>
    <m/>
    <m/>
    <m/>
    <m/>
    <m/>
    <m/>
    <m/>
    <m/>
    <m/>
    <m/>
    <m/>
    <m/>
    <m/>
    <m/>
    <m/>
    <m/>
    <m/>
  </r>
  <r>
    <n v="105"/>
    <m/>
    <s v="2025-26"/>
    <n v="6"/>
    <n v="1"/>
    <s v="Empanelment of Consultancy Services for Identification of Road alignment(ROW) as per revenue Records for Different roads under jurisdiction of R &amp; B (P) Division, Bhavnagar"/>
    <m/>
    <m/>
    <x v="6"/>
    <s v="Consultant"/>
    <m/>
    <m/>
    <n v="1"/>
    <m/>
    <m/>
    <m/>
    <d v="1900-04-29T00:00:00"/>
    <m/>
    <m/>
    <m/>
    <m/>
    <s v="Equals"/>
    <s v="Zero Rupees Only"/>
    <s v="Division"/>
    <m/>
    <n v="0"/>
    <m/>
    <n v="0"/>
    <n v="0"/>
    <n v="0"/>
    <m/>
    <m/>
    <m/>
    <m/>
    <m/>
    <m/>
    <n v="0"/>
    <d v="1901-03-25T00:00:00"/>
    <n v="0"/>
    <n v="0"/>
    <d v="1900-02-03T00:00:00"/>
    <d v="1901-01-24T00:00:00"/>
    <m/>
    <m/>
    <m/>
    <m/>
    <m/>
    <m/>
    <m/>
    <m/>
    <m/>
    <m/>
    <m/>
    <m/>
    <m/>
    <m/>
    <m/>
    <m/>
    <m/>
    <d v="2025-08-26T00:00:00"/>
    <m/>
    <m/>
    <m/>
    <m/>
    <m/>
    <m/>
    <m/>
  </r>
  <r>
    <n v="106"/>
    <m/>
    <s v="2025-26"/>
    <n v="7"/>
    <n v="1"/>
    <s v="Design, Supply, Construct, Erection and Commissioning of Modular Structure through 3D Monolithic Precast Technology for AWC (Anganvadi Center) at various locations at Gir Somnath, Junagadh, Bhavnagar Districts in the Gujarat State, Phase 2 Package 4"/>
    <m/>
    <m/>
    <x v="6"/>
    <s v="Consultant"/>
    <m/>
    <n v="199480"/>
    <n v="2"/>
    <d v="2025-06-28T00:00:00"/>
    <d v="2025-07-07T00:00:00"/>
    <d v="2025-07-08T00:00:00"/>
    <d v="2025-11-04T00:00:00"/>
    <n v="419152057.25"/>
    <m/>
    <m/>
    <m/>
    <s v="Equals"/>
    <s v="Zero Rupees Only"/>
    <s v="Division"/>
    <m/>
    <n v="0"/>
    <m/>
    <n v="0"/>
    <n v="0"/>
    <n v="0"/>
    <d v="2025-08-06T00:00:00"/>
    <m/>
    <m/>
    <m/>
    <m/>
    <m/>
    <n v="0"/>
    <d v="1903-03-15T00:00:00"/>
    <n v="0"/>
    <n v="0"/>
    <d v="1900-02-03T00:00:00"/>
    <d v="1903-01-14T00:00:00"/>
    <m/>
    <m/>
    <m/>
    <m/>
    <m/>
    <m/>
    <m/>
    <m/>
    <m/>
    <m/>
    <m/>
    <m/>
    <m/>
    <m/>
    <m/>
    <m/>
    <m/>
    <m/>
    <m/>
    <m/>
    <m/>
    <m/>
    <m/>
    <m/>
    <m/>
  </r>
  <r>
    <n v="107"/>
    <m/>
    <s v="2025-26"/>
    <n v="8"/>
    <n v="1"/>
    <s v="Construction of Gram Panchayat office (Frame structure) at Village Karla Tal. Jesar Dist. Bhavnagar"/>
    <m/>
    <s v="Jesar"/>
    <x v="1"/>
    <s v="Building"/>
    <s v="Gram Panchayat"/>
    <n v="199536"/>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0"/>
    <d v="2025-08-08T00:00:00"/>
    <s v="2025-26"/>
    <n v="154"/>
    <d v="2025-09-11T00:00:00"/>
    <s v="FDR"/>
    <s v="State Bank of India"/>
    <n v="44407033360"/>
    <n v="104000"/>
    <d v="2025-08-30T00:00:00"/>
    <m/>
    <m/>
    <m/>
    <m/>
    <m/>
    <d v="2025-09-11T00:00:00"/>
    <n v="1299"/>
    <d v="2025-09-11T00:00:00"/>
    <m/>
    <m/>
    <m/>
    <m/>
    <m/>
    <m/>
    <m/>
  </r>
  <r>
    <n v="108"/>
    <m/>
    <s v="2025-26"/>
    <n v="8"/>
    <n v="2"/>
    <s v="Construction of Gram Panchayat office (Frame structure) at Village Chiroda Tal. Jesar Dist. Bhavnagar"/>
    <m/>
    <s v="Jesar"/>
    <x v="1"/>
    <s v="Building"/>
    <s v="Gram Panchayat"/>
    <n v="199539"/>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8"/>
    <d v="2025-08-08T00:00:00"/>
    <s v="2025-26"/>
    <n v="155"/>
    <d v="2025-09-11T00:00:00"/>
    <s v="FDR"/>
    <s v="State Bank of India"/>
    <n v="44407033359"/>
    <n v="104000"/>
    <d v="2025-08-30T00:00:00"/>
    <m/>
    <m/>
    <m/>
    <m/>
    <m/>
    <d v="2025-09-11T00:00:00"/>
    <n v="1300"/>
    <d v="2025-09-11T00:00:00"/>
    <m/>
    <m/>
    <m/>
    <m/>
    <m/>
    <m/>
    <m/>
  </r>
  <r>
    <n v="109"/>
    <m/>
    <s v="2025-26"/>
    <n v="8"/>
    <n v="3"/>
    <s v="Construction of Gram Panchayat office (Frame structure) at Village Shantinagar Tal. Jesar Dist. Bhavnagar"/>
    <m/>
    <s v="Jesar"/>
    <x v="1"/>
    <s v="Building"/>
    <s v="Gram Panchayat"/>
    <n v="199541"/>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9"/>
    <d v="2025-08-08T00:00:00"/>
    <s v="2025-26"/>
    <n v="156"/>
    <d v="2025-09-11T00:00:00"/>
    <s v="FDR"/>
    <s v="State Bank of India"/>
    <n v="44407033361"/>
    <n v="104000"/>
    <d v="2025-08-30T00:00:00"/>
    <m/>
    <m/>
    <m/>
    <m/>
    <m/>
    <d v="2025-09-11T00:00:00"/>
    <n v="1301"/>
    <d v="2025-09-11T00:00:00"/>
    <m/>
    <m/>
    <m/>
    <m/>
    <m/>
    <m/>
    <m/>
  </r>
  <r>
    <n v="110"/>
    <m/>
    <s v="2025-26"/>
    <n v="8"/>
    <n v="4"/>
    <s v="Construction of Gram Panchayat office (Frame structure) at Village Shevadivadar Tal. Jesar Dist. Bhavnagar"/>
    <m/>
    <s v="Jesar"/>
    <x v="1"/>
    <s v="Building"/>
    <s v="Gram Panchayat"/>
    <n v="199544"/>
    <n v="2"/>
    <d v="2025-06-29T00:00:00"/>
    <d v="2025-07-10T00:00:00"/>
    <d v="2025-07-11T00:00:00"/>
    <d v="2025-11-07T00:00:00"/>
    <n v="2079935.08"/>
    <m/>
    <n v="1957426.9"/>
    <n v="-5.89"/>
    <s v="Below"/>
    <s v="Nineteen Lakh Fifty Seven Thousand Four Hundred Twenty Six Rupees and Nine Paise Only"/>
    <s v="Division"/>
    <m/>
    <n v="1957426.9"/>
    <s v="Shri Siddhi Vinayak Construction"/>
    <s v="Labhshankar ladhva"/>
    <s v="At Po. Karmadiya, Via Thaliya, Ta. Mahuva, Dist. Bhavnagar - 364145"/>
    <n v="9825445121"/>
    <m/>
    <s v="CDP-5"/>
    <m/>
    <m/>
    <m/>
    <n v="4"/>
    <n v="98000"/>
    <d v="2027-04-24T00:00:00"/>
    <n v="4900"/>
    <n v="0"/>
    <d v="2026-03-05T00:00:00"/>
    <d v="2027-02-23T00:00:00"/>
    <n v="1120"/>
    <d v="2025-08-08T00:00:00"/>
    <s v="2025-26"/>
    <n v="168"/>
    <d v="2025-10-01T00:00:00"/>
    <s v="FDR"/>
    <s v="SAURASHTRA GRAMIN BANK"/>
    <n v="78048996970"/>
    <n v="98000"/>
    <d v="2025-08-18T00:00:00"/>
    <m/>
    <m/>
    <m/>
    <m/>
    <m/>
    <d v="2025-10-01T00:00:00"/>
    <n v="1410"/>
    <d v="2025-10-01T00:00:00"/>
    <m/>
    <m/>
    <m/>
    <m/>
    <m/>
    <m/>
    <m/>
  </r>
  <r>
    <n v="111"/>
    <m/>
    <s v="2025-26"/>
    <n v="8"/>
    <n v="5"/>
    <s v="Construction of Gram Panchayat office (Frame structure) at Village Tol Saladi Chotili Tal. Jesar Dist. Bhavnagar"/>
    <m/>
    <s v="Jesar"/>
    <x v="1"/>
    <s v="Building"/>
    <s v="Gram Panchayat"/>
    <n v="199545"/>
    <n v="2"/>
    <d v="2025-06-29T00:00:00"/>
    <d v="2025-07-10T00:00:00"/>
    <d v="2025-07-11T00:00:00"/>
    <d v="2025-11-07T00:00:00"/>
    <n v="2079935.08"/>
    <m/>
    <n v="1936627.55"/>
    <n v="-6.89"/>
    <s v="Below"/>
    <s v="Nineteen Lakh Thirty Six Thousand Six Hundred Twenty Seven Rupees and Fifty Five Paise Only"/>
    <s v="Division"/>
    <m/>
    <n v="1936627.55"/>
    <s v="Shri Siddhi Vinayak Construction"/>
    <s v="Labhshankar ladhva"/>
    <s v="At Po. Karmadiya, Via Thaliya, Ta. Mahuva, Dist. Bhavnagar - 364145"/>
    <n v="9825445121"/>
    <m/>
    <s v="CDP-5"/>
    <m/>
    <m/>
    <m/>
    <n v="4"/>
    <n v="97000"/>
    <d v="2027-03-25T00:00:00"/>
    <n v="4800"/>
    <n v="0"/>
    <d v="2026-02-03T00:00:00"/>
    <d v="2027-01-24T00:00:00"/>
    <n v="1124"/>
    <d v="2025-08-08T00:00:00"/>
    <s v="2025-26"/>
    <n v="131"/>
    <d v="2025-09-01T00:00:00"/>
    <s v="FDR"/>
    <s v="SAURASHTRA GRAMIN BANK"/>
    <n v="78048996969"/>
    <n v="97000"/>
    <d v="2025-08-18T00:00:00"/>
    <m/>
    <m/>
    <m/>
    <m/>
    <m/>
    <d v="2025-09-01T00:00:00"/>
    <n v="1239"/>
    <d v="2025-09-01T00:00:00"/>
    <m/>
    <m/>
    <m/>
    <m/>
    <m/>
    <m/>
    <m/>
  </r>
  <r>
    <n v="112"/>
    <m/>
    <s v="2025-26"/>
    <n v="8"/>
    <n v="6"/>
    <s v="Construction of Gram Panchayat office (Frame structure) at Village Senjaliya Ta. Palitana Dist. Bhavnagar"/>
    <m/>
    <s v="Palitana"/>
    <x v="3"/>
    <s v="Building"/>
    <s v="Gram Panchayat"/>
    <n v="199546"/>
    <n v="2"/>
    <d v="2025-06-29T00:00:00"/>
    <d v="2025-07-10T00:00:00"/>
    <d v="2025-07-11T00:00:00"/>
    <d v="2025-11-07T00:00:00"/>
    <n v="2079935.08"/>
    <m/>
    <n v="1954930.98"/>
    <n v="-6.01"/>
    <s v="Below"/>
    <s v="Nineteen Lakh Fifty Four Thousand Nine Hundred Thirty Rupees and Ninety Eight Paise Only"/>
    <s v="Division"/>
    <m/>
    <n v="1954930.98"/>
    <s v="BABUBHAI HAKABHAI GOHIL"/>
    <n v="0"/>
    <s v="Dr. Ambedkar Society, Jamvali Road, Palitana, Dist Bhavnagar"/>
    <n v="9106563480"/>
    <m/>
    <m/>
    <m/>
    <m/>
    <m/>
    <n v="4"/>
    <n v="98000"/>
    <d v="2027-03-08T00:00:00"/>
    <n v="4900"/>
    <n v="0"/>
    <d v="2026-01-17T00:00:00"/>
    <d v="2027-01-07T00:00:00"/>
    <n v="1125"/>
    <d v="2025-08-08T00:00:00"/>
    <m/>
    <m/>
    <m/>
    <m/>
    <m/>
    <m/>
    <m/>
    <m/>
    <m/>
    <m/>
    <m/>
    <m/>
    <m/>
    <d v="2025-08-15T00:00:00"/>
    <m/>
    <m/>
    <m/>
    <m/>
    <m/>
    <m/>
    <m/>
    <m/>
    <m/>
  </r>
  <r>
    <n v="113"/>
    <m/>
    <s v="2025-26"/>
    <n v="8"/>
    <n v="7"/>
    <s v="Construction of Gram Panchayat office (Frame structure) at Village Pithalpur Ta. Palitana Dist. Bhavnagar"/>
    <m/>
    <s v="Palitana"/>
    <x v="3"/>
    <s v="Building"/>
    <s v="Gram Panchayat"/>
    <n v="199547"/>
    <n v="2"/>
    <d v="2025-06-29T00:00:00"/>
    <d v="2025-07-10T00:00:00"/>
    <d v="2025-07-11T00:00:00"/>
    <d v="2025-11-07T00:00:00"/>
    <n v="2079935.08"/>
    <m/>
    <n v="1944531.31"/>
    <n v="-6.51"/>
    <s v="Below"/>
    <s v="Nineteen Lakh Forty Four Thousand Five Hundred Thirty One Rupees and Thirty One Paise Only"/>
    <s v="Division"/>
    <m/>
    <n v="1944531.31"/>
    <s v="SHIV CONTRUCTION"/>
    <s v="ALIGBHAI LAKHUBHAI BARAL"/>
    <s v="At Bhandariya, Ta. Palitana, Dist. Bhavnagar"/>
    <n v="8780428967"/>
    <m/>
    <s v="CDP-5"/>
    <m/>
    <m/>
    <m/>
    <n v="4"/>
    <n v="98000"/>
    <d v="2027-03-11T00:00:00"/>
    <n v="4900"/>
    <n v="0"/>
    <d v="2026-01-20T00:00:00"/>
    <d v="2027-01-10T00:00:00"/>
    <n v="1126"/>
    <d v="2025-08-08T00:00:00"/>
    <s v="2025-26"/>
    <n v="98"/>
    <d v="2025-08-18T00:00:00"/>
    <s v="FDR"/>
    <s v="SAURASHTRA GRAMIN BANK"/>
    <n v="78048990934"/>
    <n v="98000"/>
    <d v="2025-08-18T00:00:00"/>
    <m/>
    <m/>
    <m/>
    <m/>
    <m/>
    <d v="2025-08-18T00:00:00"/>
    <n v="1178"/>
    <d v="2025-08-18T00:00:00"/>
    <m/>
    <m/>
    <m/>
    <m/>
    <m/>
    <m/>
    <m/>
  </r>
  <r>
    <n v="114"/>
    <m/>
    <s v="2025-26"/>
    <n v="8"/>
    <n v="8"/>
    <s v="Construction of Gram Panchayat office (Frame structure) at Village Nani Paniyali Ta. Palitana Dist. Bhavnagar"/>
    <m/>
    <s v="Palitana"/>
    <x v="3"/>
    <s v="Building"/>
    <s v="Gram Panchayat"/>
    <n v="199552"/>
    <n v="2"/>
    <d v="2025-06-29T00:00:00"/>
    <d v="2025-07-10T00:00:00"/>
    <d v="2025-07-11T00:00:00"/>
    <d v="2025-11-07T00:00:00"/>
    <n v="2079935.08"/>
    <m/>
    <n v="1927475.84"/>
    <n v="-7.33"/>
    <s v="Below"/>
    <s v="Nineteen Lakh Twenty Seven Thousand Four Hundred Seventy Five Rupees and Eighty Four Paise Only"/>
    <s v="Division"/>
    <m/>
    <n v="1927475.84"/>
    <s v="Aarti Construction"/>
    <n v="0"/>
    <s v="Shetrunji Dam, Nani Paniyali, Palitana, Bhavnagar-364270"/>
    <n v="8140303377"/>
    <m/>
    <s v="CDP-5"/>
    <m/>
    <m/>
    <m/>
    <n v="4"/>
    <n v="97000"/>
    <d v="2027-04-24T00:00:00"/>
    <n v="4800"/>
    <n v="0"/>
    <d v="2026-03-05T00:00:00"/>
    <d v="2027-02-23T00:00:00"/>
    <n v="1127"/>
    <d v="2025-08-08T00:00:00"/>
    <s v="2025-26"/>
    <n v="161"/>
    <d v="2025-10-01T00:00:00"/>
    <s v="FDR"/>
    <s v="SAURASHTRA GRAMIN BANK"/>
    <n v="78049078234"/>
    <n v="97000"/>
    <d v="2025-08-25T00:00:00"/>
    <m/>
    <m/>
    <m/>
    <m/>
    <m/>
    <d v="2025-10-01T00:00:00"/>
    <n v="1402"/>
    <d v="2025-10-01T00:00:00"/>
    <m/>
    <m/>
    <m/>
    <m/>
    <m/>
    <m/>
    <m/>
  </r>
  <r>
    <n v="115"/>
    <m/>
    <s v="2025-26"/>
    <n v="8"/>
    <n v="9"/>
    <s v="Construction of Gram Panchayat office (Frame structure) at Village Hanol Ta. Palitana Dist. Bhavnagar"/>
    <m/>
    <s v="Palitana"/>
    <x v="3"/>
    <s v="Building"/>
    <s v="Gram Panchayat"/>
    <n v="199554"/>
    <n v="2"/>
    <d v="2025-06-29T00:00:00"/>
    <d v="2025-07-10T00:00:00"/>
    <d v="2025-07-11T00:00:00"/>
    <d v="2025-11-07T00:00:00"/>
    <n v="2079935.08"/>
    <m/>
    <n v="2012337.19"/>
    <n v="-3.25"/>
    <s v="Below"/>
    <s v="Twenty Lakh Twelve Thousand Three Hundred Thirty Seven Rupees and Nineteen Paise Only"/>
    <s v="Division"/>
    <m/>
    <n v="2012337.19"/>
    <s v="BABUBHAI HAKABHAI GOHIL"/>
    <n v="0"/>
    <s v="Dr. Ambedkar Society, Jamvali Road, Palitana, Dist Bhavnagar"/>
    <n v="9106563480"/>
    <m/>
    <s v="CDP-5"/>
    <m/>
    <m/>
    <m/>
    <n v="4"/>
    <n v="101000"/>
    <d v="2027-05-06T00:00:00"/>
    <n v="5000"/>
    <n v="0"/>
    <d v="2026-03-17T00:00:00"/>
    <d v="2027-03-07T00:00:00"/>
    <n v="1128"/>
    <d v="2025-08-08T00:00:00"/>
    <s v="2025-26"/>
    <n v="192"/>
    <d v="2025-10-13T00:00:00"/>
    <s v="BG"/>
    <s v="Union Bank of India"/>
    <s v="58490GI3D4045925"/>
    <n v="101000"/>
    <d v="2025-10-07T00:00:00"/>
    <m/>
    <m/>
    <m/>
    <m/>
    <m/>
    <d v="2025-10-13T00:00:00"/>
    <n v="1476"/>
    <d v="2025-10-13T00:00:00"/>
    <m/>
    <m/>
    <m/>
    <m/>
    <m/>
    <m/>
    <m/>
  </r>
  <r>
    <n v="116"/>
    <m/>
    <s v="2025-26"/>
    <n v="8"/>
    <n v="10"/>
    <s v="Construction of Gram Panchayat office (Frame structure) at Village Nanimal Tal. Palitana Dist. Bhavnagar"/>
    <m/>
    <s v="Palitana"/>
    <x v="3"/>
    <s v="Building"/>
    <s v="Gram Panchayat"/>
    <n v="199557"/>
    <n v="2"/>
    <d v="2025-06-29T00:00:00"/>
    <d v="2025-07-10T00:00:00"/>
    <d v="2025-07-11T00:00:00"/>
    <d v="2025-11-07T00:00:00"/>
    <n v="2079935.08"/>
    <m/>
    <n v="1944531.31"/>
    <n v="-6.51"/>
    <s v="Below"/>
    <s v="Nineteen Lakh Forty Four Thousand Five Hundred Thirty One Rupees and Thirty One Paise Only"/>
    <s v="Division"/>
    <m/>
    <n v="1944531.31"/>
    <s v="GOHIL NARENDRASINH P"/>
    <s v="Narendrasinh Parbatsinh Gohil"/>
    <s v="At Village Rajapara (Thadach), Ta. Palitana, Dist. Bhavnagar - 364270"/>
    <n v="9998577523"/>
    <m/>
    <s v="CDP-5"/>
    <m/>
    <m/>
    <m/>
    <n v="4"/>
    <n v="98000"/>
    <d v="2027-03-26T00:00:00"/>
    <n v="4900"/>
    <n v="0"/>
    <d v="2026-02-04T00:00:00"/>
    <d v="2027-01-25T00:00:00"/>
    <n v="1129"/>
    <d v="2025-08-08T00:00:00"/>
    <s v="2025-26"/>
    <n v="141"/>
    <d v="2025-09-02T00:00:00"/>
    <s v="FDR"/>
    <s v="SAURASHTRA GRAMIN BANK"/>
    <n v="78049041419"/>
    <n v="98000"/>
    <d v="2025-08-21T00:00:00"/>
    <m/>
    <m/>
    <m/>
    <m/>
    <m/>
    <d v="2025-09-02T00:00:00"/>
    <n v="1252"/>
    <d v="2025-09-02T00:00:00"/>
    <m/>
    <m/>
    <m/>
    <m/>
    <m/>
    <m/>
    <m/>
  </r>
  <r>
    <n v="117"/>
    <m/>
    <s v="2025-26"/>
    <n v="8"/>
    <n v="11"/>
    <s v="Construction of Gram Panchayat office (Frame structure) at Village Khadsaliya Tal. Mahuva Dist. Bhavnagar"/>
    <m/>
    <s v="Mahuva"/>
    <x v="1"/>
    <s v="Building"/>
    <s v="Gram Panchayat"/>
    <n v="199560"/>
    <n v="2"/>
    <d v="2025-06-29T00:00:00"/>
    <d v="2025-07-10T00:00:00"/>
    <d v="2025-07-11T00:00:00"/>
    <d v="2025-11-07T00:00:00"/>
    <n v="2079935.08"/>
    <m/>
    <n v="1989873.89"/>
    <n v="-4.33"/>
    <s v="Below"/>
    <s v="Nineteen Lakh Eighty Nine Thousand Eight Hundred Seventy Three Rupees and Eighty Nine Paise Only"/>
    <s v="Division"/>
    <m/>
    <n v="1989873.89"/>
    <s v="VANDEMATARAM CONSTRUCTION"/>
    <s v="(1) Batiya Vishalbhai Vinubhai_x000a_(2) Dhandhukiya Umeshbhai "/>
    <s v="At. Dihor, Tana Varal Road, Shak Market, Ta. Talaja, Dist. Bhavnagar-364150"/>
    <n v="9067752267"/>
    <m/>
    <s v="CDP-5"/>
    <m/>
    <m/>
    <m/>
    <n v="4"/>
    <n v="100000"/>
    <d v="2027-03-08T00:00:00"/>
    <n v="4900"/>
    <n v="0"/>
    <d v="2026-01-17T00:00:00"/>
    <d v="2027-01-07T00:00:00"/>
    <n v="1130"/>
    <d v="2025-08-08T00:00:00"/>
    <m/>
    <m/>
    <m/>
    <m/>
    <m/>
    <m/>
    <m/>
    <m/>
    <m/>
    <m/>
    <m/>
    <m/>
    <m/>
    <d v="2025-08-15T00:00:00"/>
    <m/>
    <m/>
    <m/>
    <m/>
    <m/>
    <m/>
    <m/>
    <m/>
    <m/>
  </r>
  <r>
    <n v="118"/>
    <m/>
    <s v="2025-26"/>
    <n v="8"/>
    <n v="1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19"/>
    <m/>
    <s v="2025-26"/>
    <n v="8"/>
    <n v="13"/>
    <s v="Construction of Gram Panchayat office (Frame structure) at Village Lusadi Tal. Mahuva Dist. Bhavnagar"/>
    <m/>
    <s v="Mahuva"/>
    <x v="1"/>
    <s v="Building"/>
    <s v="Gram Panchayat"/>
    <n v="199563"/>
    <n v="2"/>
    <d v="2025-06-29T00:00:00"/>
    <d v="2025-07-10T00:00:00"/>
    <d v="2025-07-11T00:00:00"/>
    <d v="2025-11-07T00:00:00"/>
    <n v="2079935.08"/>
    <m/>
    <n v="1817863.26"/>
    <n v="-12.6"/>
    <s v="Below"/>
    <s v="Eighteen Lakh Seventeen Thousand Eight Hundred Sixty Three Rupees and Twenty Six Paise Only"/>
    <s v="Division"/>
    <m/>
    <n v="1817863.26"/>
    <s v="BALAJI CONSTRUCTION"/>
    <s v="Siddharth Parbatbhai Bed"/>
    <s v="At Hemal, Ta. Jafarabad, Dist. Amreli - 365545"/>
    <n v="9586762457"/>
    <m/>
    <s v="CDP-5"/>
    <m/>
    <m/>
    <m/>
    <n v="4"/>
    <n v="91000"/>
    <d v="2027-04-03T00:00:00"/>
    <n v="5000"/>
    <n v="11000"/>
    <d v="2026-02-12T00:00:00"/>
    <d v="2027-02-02T00:00:00"/>
    <n v="1132"/>
    <d v="2025-08-08T00:00:00"/>
    <s v="2025-26"/>
    <n v="143"/>
    <d v="2025-09-10T00:00:00"/>
    <s v="FDR"/>
    <s v="SAURASHTRA GRAMIN BANK"/>
    <n v="78049184786"/>
    <n v="91000"/>
    <d v="2025-09-03T00:00:00"/>
    <s v="FDR"/>
    <s v="SAURASHTRA GRAMIN BANK"/>
    <n v="78049184797"/>
    <n v="11000"/>
    <d v="2025-09-03T00:00:00"/>
    <d v="2025-09-10T00:00:00"/>
    <n v="1286"/>
    <d v="2025-09-10T00:00:00"/>
    <m/>
    <m/>
    <m/>
    <m/>
    <m/>
    <m/>
    <m/>
  </r>
  <r>
    <n v="120"/>
    <m/>
    <s v="2025-26"/>
    <n v="8"/>
    <n v="14"/>
    <s v="Construction of Gram Panchayat office (Frame structure) at Village Loyanga Tal. Mahuva Dist. Bhavnagar"/>
    <m/>
    <s v="Mahuva"/>
    <x v="1"/>
    <s v="Building"/>
    <s v="Gram Panchayat"/>
    <n v="199565"/>
    <n v="2"/>
    <d v="2025-06-29T00:00:00"/>
    <d v="2025-07-10T00:00:00"/>
    <d v="2025-07-11T00:00:00"/>
    <d v="2025-11-07T00:00:00"/>
    <n v="2079935.08"/>
    <m/>
    <n v="1916036.2"/>
    <n v="-7.88"/>
    <s v="Below"/>
    <s v="Nineteen Lakh Sixteen Thousand Thirty Six Rupees and Two Paise Only"/>
    <s v="Division"/>
    <m/>
    <n v="1916036.2"/>
    <s v="SARVAIYA RAJENDRASINH BAHADURSINH"/>
    <n v="0"/>
    <s v="At Bordi, Post - Borda, Ta. Talaja, Dist. Bhavnagar - 364130"/>
    <n v="0"/>
    <m/>
    <s v="CDP-5"/>
    <m/>
    <m/>
    <m/>
    <n v="4"/>
    <n v="96000"/>
    <d v="2027-03-26T00:00:00"/>
    <n v="4800"/>
    <n v="0"/>
    <d v="2026-02-04T00:00:00"/>
    <d v="2027-01-25T00:00:00"/>
    <n v="1121"/>
    <d v="2025-08-08T00:00:00"/>
    <s v="2025-26"/>
    <n v="139"/>
    <d v="2025-09-02T00:00:00"/>
    <s v="FDR"/>
    <s v="Central Bank of India"/>
    <n v="5856182489"/>
    <n v="96000"/>
    <d v="2025-08-18T00:00:00"/>
    <m/>
    <m/>
    <m/>
    <m/>
    <m/>
    <d v="2025-09-02T00:00:00"/>
    <n v="1250"/>
    <d v="2025-09-02T00:00:00"/>
    <m/>
    <m/>
    <m/>
    <m/>
    <m/>
    <m/>
    <m/>
  </r>
  <r>
    <n v="121"/>
    <m/>
    <s v="2025-26"/>
    <n v="8"/>
    <n v="1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22"/>
    <m/>
    <s v="2025-26"/>
    <n v="8"/>
    <n v="16"/>
    <s v="Construction of Gram Panchayat office (Frame structure) at Village Bhaguda-Mahuva Dist. Bhavnagar"/>
    <m/>
    <s v="Mahuva"/>
    <x v="1"/>
    <s v="Building"/>
    <s v="Gram Panchayat"/>
    <n v="199570"/>
    <n v="2"/>
    <d v="2025-06-29T00:00:00"/>
    <d v="2025-07-10T00:00:00"/>
    <d v="2025-07-11T00:00:00"/>
    <d v="2025-11-07T00:00:00"/>
    <n v="2079935.08"/>
    <m/>
    <n v="1896900.79"/>
    <n v="-8.8000000000000007"/>
    <s v="Below"/>
    <s v="Eighteen Lakh Ninety Six Thousand Nine Hundred Rupees and Seventy Nine Paise Only"/>
    <s v="Division"/>
    <m/>
    <n v="1896900.79"/>
    <s v="CUBE INFA PROJECTS"/>
    <s v="KISHANKUMAR PATABHAI KALSARIYA"/>
    <s v="Survey No. 374 P/A 2-16, Office No. 2, Left side of Entry Gate of Balkrushna Campus, Gir Gadhada Road, At. Una, Taluka Una, Dist. Gir Somnath - 362560"/>
    <n v="9824251035"/>
    <m/>
    <s v="CDP-5"/>
    <m/>
    <m/>
    <m/>
    <n v="4"/>
    <n v="95000"/>
    <d v="2027-03-23T00:00:00"/>
    <n v="4700"/>
    <n v="0"/>
    <d v="2026-02-01T00:00:00"/>
    <d v="2027-01-22T00:00:00"/>
    <n v="1122"/>
    <d v="2025-08-08T00:00:00"/>
    <s v="2025-26"/>
    <n v="122"/>
    <d v="2025-08-30T00:00:00"/>
    <s v="FDR"/>
    <s v="ICICI BANK"/>
    <s v="771613001589"/>
    <n v="95000"/>
    <d v="2025-08-20T00:00:00"/>
    <m/>
    <m/>
    <m/>
    <m/>
    <m/>
    <d v="2025-08-30T00:00:00"/>
    <n v="1227"/>
    <d v="2025-08-30T00:00:00"/>
    <m/>
    <m/>
    <m/>
    <m/>
    <m/>
    <m/>
    <m/>
  </r>
  <r>
    <n v="123"/>
    <m/>
    <s v="2025-26"/>
    <n v="8"/>
    <n v="17"/>
    <s v="Construction of Gram Panchayat office (Frame structure) at Village Kalela Ta. Mahuva Dist. Bhavnagar"/>
    <m/>
    <s v="Mahuva"/>
    <x v="1"/>
    <s v="Building"/>
    <s v="Gram Panchayat"/>
    <n v="199573"/>
    <n v="2"/>
    <d v="2025-06-29T00:00:00"/>
    <d v="2025-07-10T00:00:00"/>
    <d v="2025-07-11T00:00:00"/>
    <d v="2025-11-07T00:00:00"/>
    <n v="2079935.08"/>
    <m/>
    <n v="2077855.14"/>
    <n v="-0.1"/>
    <s v="Below"/>
    <s v="Twenty Lakh Seventy Seven Thousand Eight Hundred Fifty Five Rupees and Fourteen Paise Only"/>
    <s v="Division"/>
    <m/>
    <n v="2077855.14"/>
    <s v="S D KHUMAN"/>
    <s v="Khuman Shivrajbhai Dilubhai"/>
    <s v="52, Lion Shopping Center, Near Kohinoor Hotel, Jafarabad Road, Rajula, Dist. Amreli - 365560"/>
    <n v="9909950650"/>
    <m/>
    <s v="CDP-5"/>
    <m/>
    <m/>
    <m/>
    <n v="4"/>
    <n v="104000"/>
    <d v="2027-03-23T00:00:00"/>
    <n v="5100"/>
    <n v="0"/>
    <d v="2026-02-01T00:00:00"/>
    <d v="2027-01-22T00:00:00"/>
    <n v="1133"/>
    <d v="2025-08-08T00:00:00"/>
    <s v="2025-26"/>
    <n v="120"/>
    <d v="2025-08-30T00:00:00"/>
    <s v="FDR"/>
    <s v="HDFC Bank"/>
    <s v="50301205687021"/>
    <n v="104000"/>
    <d v="2025-08-23T00:00:00"/>
    <m/>
    <m/>
    <m/>
    <m/>
    <m/>
    <d v="2025-08-30T00:00:00"/>
    <n v="1225"/>
    <d v="2025-08-30T00:00:00"/>
    <m/>
    <m/>
    <m/>
    <m/>
    <m/>
    <m/>
    <m/>
  </r>
  <r>
    <n v="124"/>
    <m/>
    <s v="2025-26"/>
    <n v="8"/>
    <n v="18"/>
    <s v="Construction of Gram Panchayat office (Frame structure) at Village Bila Tal. Jesar Dist. Bhavnagar"/>
    <m/>
    <s v="Jesar"/>
    <x v="1"/>
    <s v="Building"/>
    <s v="Gram Panchayat"/>
    <n v="199575"/>
    <n v="2"/>
    <d v="2025-06-29T00:00:00"/>
    <d v="2025-07-10T00:00:00"/>
    <d v="2025-07-11T00:00:00"/>
    <d v="2025-11-07T00:00:00"/>
    <n v="2027056.59"/>
    <m/>
    <n v="2016718.6"/>
    <n v="-0.51"/>
    <s v="Below"/>
    <s v="Twenty Lakh Sixteen Thousand Seven Hundred Eighteen Rupees and Six Paise Only"/>
    <s v="Division"/>
    <m/>
    <n v="2016718.6"/>
    <s v="UDAYBHAI R. LUNSAR"/>
    <s v="UDAYBHAI RAMKUBHAI LUNSAR"/>
    <s v="Shop No. 5, First Floor, Nilkanth Arcade, Opp. Arjun Tokiz, Palitana Road, Gariyadhar- 364505"/>
    <n v="9824226646"/>
    <m/>
    <s v="CDP-5"/>
    <m/>
    <m/>
    <m/>
    <n v="4"/>
    <n v="101000"/>
    <d v="2027-04-04T00:00:00"/>
    <n v="5000"/>
    <n v="0"/>
    <d v="2026-02-13T00:00:00"/>
    <d v="2027-02-03T00:00:00"/>
    <n v="1134"/>
    <d v="2025-08-08T00:00:00"/>
    <s v="2025-26"/>
    <n v="157"/>
    <d v="2025-09-11T00:00:00"/>
    <s v="FDR"/>
    <s v="State Bank of India"/>
    <n v="44407033356"/>
    <n v="101000"/>
    <d v="2025-08-30T00:00:00"/>
    <m/>
    <m/>
    <m/>
    <m/>
    <m/>
    <d v="2025-09-11T00:00:00"/>
    <n v="1302"/>
    <d v="2025-09-11T00:00:00"/>
    <m/>
    <m/>
    <m/>
    <m/>
    <m/>
    <m/>
    <m/>
  </r>
  <r>
    <n v="125"/>
    <m/>
    <s v="2025-26"/>
    <n v="8"/>
    <n v="19"/>
    <s v="Construction of Gram Panchayat office (Frame structure) at Village Padhiyarka Tal. Mahuva Dist. Bhavnagar"/>
    <m/>
    <s v="Mahuva"/>
    <x v="1"/>
    <s v="Building"/>
    <s v="Gram Panchayat"/>
    <n v="199577"/>
    <n v="2"/>
    <d v="2025-06-29T00:00:00"/>
    <d v="2025-07-10T00:00:00"/>
    <d v="2025-07-11T00:00:00"/>
    <d v="2025-11-07T00:00:00"/>
    <n v="2027056.59"/>
    <m/>
    <n v="1864689.36"/>
    <n v="-8.01"/>
    <s v="Below"/>
    <s v="Eighteen Lakh Sixty Four Thousand Six Hundred Eighty Nine Rupees and Thirty Six Paise Only"/>
    <s v="Division"/>
    <m/>
    <n v="1864689.36"/>
    <s v="HARBHOLE BUILDERS &amp;_x000a_CONSTRUCTION"/>
    <n v="0"/>
    <s v="Near Gayatri Temple, Veraval Road, Una, Dist. Gir Somnath - 362560"/>
    <n v="7698616111"/>
    <m/>
    <s v="CDP-5"/>
    <m/>
    <m/>
    <m/>
    <n v="4"/>
    <n v="94000"/>
    <d v="2027-04-24T00:00:00"/>
    <n v="4700"/>
    <n v="0"/>
    <d v="2026-03-05T00:00:00"/>
    <d v="2027-02-23T00:00:00"/>
    <n v="1131"/>
    <d v="2025-08-08T00:00:00"/>
    <s v="2025-26"/>
    <n v="162"/>
    <d v="2025-10-01T00:00:00"/>
    <s v="FDR"/>
    <s v="State Bank of India"/>
    <n v="44426507577"/>
    <n v="94000"/>
    <d v="2025-09-01T00:00:00"/>
    <m/>
    <m/>
    <m/>
    <m/>
    <m/>
    <d v="2025-10-01T00:00:00"/>
    <n v="1403"/>
    <d v="2025-10-01T00:00:00"/>
    <m/>
    <m/>
    <m/>
    <m/>
    <m/>
    <m/>
    <m/>
  </r>
  <r>
    <n v="126"/>
    <m/>
    <s v="2025-26"/>
    <n v="8"/>
    <n v="20"/>
    <s v="Construction of Gram Panchayat office (Frame structure) at Village Bhadara Tal. Mahuva Dist. Bhavnagar"/>
    <m/>
    <s v="Mahuva"/>
    <x v="1"/>
    <s v="Building"/>
    <s v="Gram Panchayat"/>
    <n v="199578"/>
    <n v="2"/>
    <d v="2025-06-29T00:00:00"/>
    <d v="2025-07-10T00:00:00"/>
    <d v="2025-07-11T00:00:00"/>
    <d v="2025-11-07T00:00:00"/>
    <n v="2027056.59"/>
    <m/>
    <n v="1972326.06"/>
    <n v="-2.7"/>
    <s v="Below"/>
    <s v="Nineteen Lakh Seventy Two Thousand Three Hundred Twenty Six Rupees and Six Paise Only"/>
    <s v="Division"/>
    <m/>
    <n v="1972326.06"/>
    <s v="MAYANKKUMAR JAYANTIBHAI GODHANI"/>
    <n v="0"/>
    <s v="314, Rise On Plaza, Sarthana Jakatnaka, Surat - 395006"/>
    <n v="9099381567"/>
    <m/>
    <s v="CDP-5"/>
    <m/>
    <m/>
    <m/>
    <n v="4"/>
    <n v="99000"/>
    <d v="2027-06-11T00:00:00"/>
    <n v="4900"/>
    <n v="0"/>
    <d v="2026-04-22T00:00:00"/>
    <d v="2027-04-12T00:00:00"/>
    <n v="1135"/>
    <d v="2025-08-08T00:00:00"/>
    <s v="2025-26"/>
    <n v="208"/>
    <d v="2025-11-13T00:00:00"/>
    <s v="FDR"/>
    <s v="State Bank of India"/>
    <n v="44496712299"/>
    <n v="99000"/>
    <d v="2025-09-24T00:00:00"/>
    <m/>
    <m/>
    <m/>
    <m/>
    <m/>
    <d v="2025-11-18T00:00:00"/>
    <n v="1536"/>
    <d v="2025-11-13T00:00:00"/>
    <m/>
    <m/>
    <m/>
    <m/>
    <m/>
    <m/>
    <m/>
  </r>
  <r>
    <n v="127"/>
    <m/>
    <s v="2025-26"/>
    <n v="8"/>
    <n v="2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28"/>
    <m/>
    <s v="2025-26"/>
    <n v="8"/>
    <n v="22"/>
    <s v="Construction of Gram Panchayat office (Frame structure) at Village Madhuvan Tal. Talaja Dist. Bhavnagar"/>
    <m/>
    <s v="Talaja"/>
    <x v="4"/>
    <s v="Building"/>
    <s v="Gram Panchayat"/>
    <n v="199581"/>
    <n v="2"/>
    <d v="2025-06-29T00:00:00"/>
    <d v="2025-07-10T00:00:00"/>
    <d v="2025-07-11T00:00:00"/>
    <d v="2025-11-07T00:00:00"/>
    <n v="2027056.59"/>
    <m/>
    <n v="1970704.42"/>
    <n v="-2.78"/>
    <s v="Below"/>
    <s v="Nineteen Lakh Seventy Thousand Seven Hundred Four Rupees and Forty Two Paise Only"/>
    <s v="Division"/>
    <m/>
    <n v="1970704.42"/>
    <s v="SURYADEEP SUPPLIERS"/>
    <s v="Pratapbhai Lakhubhai Beparia"/>
    <s v="At Lothpur, Ta. Jafarabad, Dist. Amreli - 365540"/>
    <n v="9727987777"/>
    <m/>
    <s v="CDP-5"/>
    <m/>
    <m/>
    <m/>
    <n v="4"/>
    <n v="99000"/>
    <d v="2027-04-04T00:00:00"/>
    <n v="4900"/>
    <n v="0"/>
    <d v="2026-02-13T00:00:00"/>
    <d v="2027-02-03T00:00:00"/>
    <n v="1136"/>
    <d v="2025-08-08T00:00:00"/>
    <s v="2025-26"/>
    <n v="150"/>
    <d v="2025-09-11T00:00:00"/>
    <s v="FDR"/>
    <s v="ICICI BANK"/>
    <s v="162313004875"/>
    <n v="99000"/>
    <d v="2025-08-20T00:00:00"/>
    <m/>
    <m/>
    <m/>
    <m/>
    <m/>
    <d v="2025-09-11T00:00:00"/>
    <n v="1295"/>
    <d v="2025-09-11T00:00:00"/>
    <m/>
    <m/>
    <m/>
    <m/>
    <m/>
    <m/>
    <m/>
  </r>
  <r>
    <n v="129"/>
    <m/>
    <s v="2025-26"/>
    <n v="8"/>
    <n v="23"/>
    <s v="Construction of Gram Panchayat office ( for Population from 5000- 10000) at Village Khadsaliya Tal. Bhavnagar Dist. Bhavnagar"/>
    <m/>
    <s v="Bhavnagar"/>
    <x v="2"/>
    <s v="Building"/>
    <s v="Gram Panchayat"/>
    <n v="199582"/>
    <n v="2"/>
    <d v="2025-06-29T00:00:00"/>
    <d v="2025-07-10T00:00:00"/>
    <d v="2025-07-11T00:00:00"/>
    <d v="2025-11-07T00:00:00"/>
    <n v="2654980.89"/>
    <m/>
    <n v="2468866.73"/>
    <n v="-7.01"/>
    <s v="Below"/>
    <s v="Twenty Four Lakh Sixty Eight Thousand Eight Hundred Sixty Six Rupees and Seventy Three Paise Only"/>
    <s v="Division"/>
    <m/>
    <n v="2468866.73"/>
    <s v="PARTH K MEHTA"/>
    <s v="PARTH Kiritkumar MEHTA"/>
    <s v="Plot No. 1578/I, New Champa Tenament, Divadi Road, Rupani Circle, Bhavnagar - 364002"/>
    <n v="7990934709"/>
    <m/>
    <m/>
    <m/>
    <m/>
    <m/>
    <n v="4"/>
    <n v="124000"/>
    <d v="2027-03-08T00:00:00"/>
    <n v="6100"/>
    <n v="0"/>
    <d v="2026-01-17T00:00:00"/>
    <d v="2027-01-07T00:00:00"/>
    <n v="1137"/>
    <d v="2025-08-08T00:00:00"/>
    <m/>
    <m/>
    <m/>
    <m/>
    <m/>
    <m/>
    <m/>
    <m/>
    <m/>
    <m/>
    <m/>
    <m/>
    <m/>
    <d v="2025-08-15T00:00:00"/>
    <m/>
    <m/>
    <m/>
    <m/>
    <m/>
    <m/>
    <m/>
    <m/>
    <m/>
  </r>
  <r>
    <n v="130"/>
    <m/>
    <s v="2025-26"/>
    <n v="8"/>
    <n v="24"/>
    <s v="Construction of Gram Panchayat office ( for Population from 5000- 10000) at Village Hathab Tal. Bhavangar Dist. Bhavnagar"/>
    <m/>
    <s v="Bhavnagar"/>
    <x v="2"/>
    <s v="Building"/>
    <s v="Gram Panchayat"/>
    <n v="199583"/>
    <n v="2"/>
    <d v="2025-06-29T00:00:00"/>
    <d v="2025-07-10T00:00:00"/>
    <d v="2025-07-11T00:00:00"/>
    <d v="2025-11-07T00:00:00"/>
    <n v="2654980.89"/>
    <m/>
    <n v="2468866.73"/>
    <n v="-7.01"/>
    <s v="Below"/>
    <s v="Twenty Four Lakh Sixty Eight Thousand Eight Hundred Sixty Six Rupees and Seventy Three Paise Only"/>
    <s v="Division"/>
    <m/>
    <n v="2468866.73"/>
    <s v="PARTH K MEHTA"/>
    <s v="PARTH Kiritkumar MEHTA"/>
    <s v="Plot No. 1578/I, New Champa Tenament, Divadi Road, Rupani Circle, Bhavnagar - 364002"/>
    <n v="7990934709"/>
    <m/>
    <s v="DMF"/>
    <m/>
    <m/>
    <m/>
    <n v="4"/>
    <n v="124000"/>
    <d v="2027-06-11T00:00:00"/>
    <n v="6100"/>
    <n v="0"/>
    <d v="2026-04-22T00:00:00"/>
    <d v="2027-04-12T00:00:00"/>
    <n v="1144"/>
    <d v="2025-08-08T00:00:00"/>
    <s v="2025-26"/>
    <n v="209"/>
    <d v="2025-11-13T00:00:00"/>
    <s v="FDR"/>
    <s v="State Bank of India"/>
    <n v="44564243728"/>
    <n v="124500"/>
    <d v="2025-10-17T00:00:00"/>
    <m/>
    <m/>
    <m/>
    <m/>
    <m/>
    <d v="2025-11-18T00:00:00"/>
    <n v="1537"/>
    <d v="2025-11-13T00:00:00"/>
    <m/>
    <m/>
    <m/>
    <m/>
    <m/>
    <m/>
    <m/>
  </r>
  <r>
    <n v="131"/>
    <m/>
    <s v="2025-26"/>
    <n v="8"/>
    <n v="2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2"/>
    <m/>
    <s v="2025-26"/>
    <n v="8"/>
    <n v="26"/>
    <s v="Construction of Gram Panchayat office (Frame structure) at Village Velavadar Taluka: Bhavnagar Dist. Bhavnagar"/>
    <m/>
    <s v="Bhavnagar"/>
    <x v="2"/>
    <s v="Building"/>
    <s v="Gram Panchayat"/>
    <n v="199613"/>
    <m/>
    <d v="2025-06-29T00:00:00"/>
    <d v="2025-07-10T00:00:00"/>
    <d v="2025-07-11T00:00:00"/>
    <d v="2025-11-07T00:00:00"/>
    <n v="2079935.08"/>
    <m/>
    <n v="1897940.76"/>
    <n v="-8.75"/>
    <s v="Below"/>
    <s v="Eighteen Lakh Ninety Seven Thousand Nine Hundred Forty Rupees and Seventy Six Paise Only"/>
    <s v="Division"/>
    <m/>
    <n v="1897940.76"/>
    <s v="MOGAL CONSTRUCTION, Gir Somnath"/>
    <s v="Paresh Lakhabhai Jora"/>
    <s v="At Umba, Taluka - Veraval, Dist. Gir Somnath - 362255"/>
    <n v="9712641067"/>
    <m/>
    <m/>
    <m/>
    <m/>
    <m/>
    <n v="4"/>
    <n v="95000"/>
    <d v="2027-03-08T00:00:00"/>
    <n v="4700"/>
    <n v="0"/>
    <d v="2026-01-17T00:00:00"/>
    <d v="2027-01-07T00:00:00"/>
    <n v="1141"/>
    <d v="2025-08-08T00:00:00"/>
    <m/>
    <m/>
    <m/>
    <m/>
    <m/>
    <m/>
    <m/>
    <m/>
    <m/>
    <m/>
    <m/>
    <m/>
    <m/>
    <d v="2025-08-15T00:00:00"/>
    <m/>
    <m/>
    <m/>
    <m/>
    <m/>
    <m/>
    <m/>
    <m/>
    <m/>
  </r>
  <r>
    <n v="133"/>
    <m/>
    <s v="2025-26"/>
    <n v="8"/>
    <n v="27"/>
    <s v="Construction of Gram Panchayat office (Frame structure) at Village Bhadbhid Taluka: Bhavnagar Dist. Bhavnagar"/>
    <m/>
    <s v="Bhavnagar"/>
    <x v="2"/>
    <s v="Building"/>
    <s v="Gram Panchayat"/>
    <n v="199614"/>
    <m/>
    <d v="2025-06-29T00:00:00"/>
    <d v="2025-07-10T00:00:00"/>
    <d v="2025-07-11T00:00:00"/>
    <d v="2025-11-07T00:00:00"/>
    <n v="2079935.08"/>
    <m/>
    <n v="1973234.41"/>
    <n v="-5.13"/>
    <s v="Below"/>
    <s v="Nineteen Lakh Seventy Three Thousand Two Hundred Thirty Four Rupees and Forty One Paise Only"/>
    <s v="Division"/>
    <m/>
    <n v="1973234.41"/>
    <s v="RUDRA CONSTRUCTION"/>
    <s v="(1) Harshad Kalubhai Dungrani_x000a_(2) Lalita Harshad Dungrani"/>
    <s v="G 402, Abhilasha Sky, Gopal Chowk, Nikol, Ahmedabad - 382350"/>
    <n v="9727220227"/>
    <m/>
    <s v="CDP-5"/>
    <m/>
    <m/>
    <m/>
    <n v="4"/>
    <n v="99000"/>
    <d v="2027-04-03T00:00:00"/>
    <n v="4900"/>
    <n v="0"/>
    <d v="2026-02-12T00:00:00"/>
    <d v="2027-02-02T00:00:00"/>
    <n v="1145"/>
    <d v="2025-08-08T00:00:00"/>
    <s v="2025-26"/>
    <n v="145"/>
    <d v="2025-09-10T00:00:00"/>
    <s v="FDR"/>
    <s v="The Kalupur Commercial Co-Op. Bank Ltd."/>
    <s v="2895400010464"/>
    <n v="99000"/>
    <d v="2025-08-20T00:00:00"/>
    <m/>
    <m/>
    <m/>
    <m/>
    <m/>
    <d v="2025-09-10T00:00:00"/>
    <n v="1289"/>
    <d v="2025-09-10T00:00:00"/>
    <m/>
    <m/>
    <m/>
    <m/>
    <m/>
    <m/>
    <m/>
  </r>
  <r>
    <n v="134"/>
    <m/>
    <s v="2025-26"/>
    <n v="8"/>
    <n v="28"/>
    <s v="Construction of Gram Panchayat office (Frame structure) at Village Ganeshgadh Taluka: Bhavnagar Dist. Bhavnagar"/>
    <m/>
    <s v="Bhavnagar"/>
    <x v="2"/>
    <s v="Building"/>
    <s v="Gram Panchayat"/>
    <n v="199616"/>
    <m/>
    <d v="2025-06-29T00:00:00"/>
    <d v="2025-07-10T00:00:00"/>
    <d v="2025-07-11T00:00:00"/>
    <d v="2025-11-07T00:00:00"/>
    <n v="2079935.08"/>
    <m/>
    <n v="1972402.44"/>
    <n v="-5.17"/>
    <s v="Below"/>
    <s v="Nineteen Lakh Seventy Two Thousand Four Hundred Two Rupees and Forty Four Paise Only"/>
    <s v="Division"/>
    <m/>
    <n v="1972402.44"/>
    <s v="RUDRA CONSTRUCTION"/>
    <s v="(1) Harshad Kalubhai Dungrani_x000a_(2) Lalita Harshad Dungrani"/>
    <s v="G 402, Abhilasha Sky, Gopal Chowk, Nikol, Ahmedabad - 382350"/>
    <n v="9727220227"/>
    <m/>
    <s v="CDP-5"/>
    <m/>
    <m/>
    <m/>
    <n v="4"/>
    <n v="99000"/>
    <d v="2027-04-03T00:00:00"/>
    <n v="4900"/>
    <n v="0"/>
    <d v="2026-02-12T00:00:00"/>
    <d v="2027-02-02T00:00:00"/>
    <n v="1143"/>
    <d v="2025-08-08T00:00:00"/>
    <s v="2025-26"/>
    <n v="146"/>
    <d v="2025-09-10T00:00:00"/>
    <s v="FDR"/>
    <s v="The Kalupur Commercial Co-Op. Bank Ltd."/>
    <s v="2895400010465"/>
    <n v="99000"/>
    <d v="2025-08-20T00:00:00"/>
    <m/>
    <m/>
    <m/>
    <m/>
    <m/>
    <d v="2025-09-10T00:00:00"/>
    <n v="1290"/>
    <d v="2025-09-10T00:00:00"/>
    <m/>
    <m/>
    <m/>
    <m/>
    <m/>
    <m/>
    <m/>
  </r>
  <r>
    <n v="135"/>
    <m/>
    <s v="2025-26"/>
    <n v="8"/>
    <n v="29"/>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6"/>
    <m/>
    <s v="2025-26"/>
    <n v="8"/>
    <n v="3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7"/>
    <m/>
    <s v="2025-26"/>
    <n v="8"/>
    <n v="3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8"/>
    <m/>
    <s v="2025-26"/>
    <n v="8"/>
    <n v="3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9"/>
    <m/>
    <s v="2025-26"/>
    <n v="8"/>
    <n v="33"/>
    <s v="Construction of Gram Panchayat office (Frame structure) at Village Manvilas Taluka: Gariyadhar Dist. Bhavnagar"/>
    <m/>
    <s v="Gariyadhar"/>
    <x v="3"/>
    <s v="Building"/>
    <s v="Gram Panchayat"/>
    <n v="199628"/>
    <m/>
    <d v="2025-06-29T00:00:00"/>
    <d v="2025-07-10T00:00:00"/>
    <d v="2025-07-11T00:00:00"/>
    <d v="2025-11-07T00:00:00"/>
    <n v="2079935.08"/>
    <m/>
    <n v="1944531.31"/>
    <n v="-6.51"/>
    <s v="Below"/>
    <s v="Nineteen Lakh Forty Four Thousand Five Hundred Thirty One Rupees and Thirty One Paise Only"/>
    <s v="Division"/>
    <m/>
    <n v="1944531.31"/>
    <s v="SANDIP DINESHBHAI VANZARA"/>
    <s v="SANDIP DINESHBHAI VANZARA"/>
    <s v="Opp. HP PUMP, Palitana Road, Gariyadhar"/>
    <n v="8866209297"/>
    <m/>
    <m/>
    <m/>
    <m/>
    <m/>
    <n v="4"/>
    <n v="98000"/>
    <d v="2027-03-08T00:00:00"/>
    <n v="4900"/>
    <n v="0"/>
    <d v="2026-01-17T00:00:00"/>
    <d v="2027-01-07T00:00:00"/>
    <n v="1138"/>
    <d v="2025-08-08T00:00:00"/>
    <m/>
    <m/>
    <m/>
    <m/>
    <m/>
    <m/>
    <m/>
    <m/>
    <m/>
    <m/>
    <m/>
    <m/>
    <m/>
    <d v="2025-08-15T00:00:00"/>
    <m/>
    <m/>
    <m/>
    <m/>
    <m/>
    <m/>
    <m/>
    <m/>
    <m/>
  </r>
  <r>
    <n v="140"/>
    <m/>
    <s v="2025-26"/>
    <n v="8"/>
    <n v="34"/>
    <s v="Construction of Gram Panchayat office (Frame structure) at Village Panchtobara Taluka: Gariyadhar Dist. Bhavnagar"/>
    <m/>
    <s v="Gariyadhar"/>
    <x v="3"/>
    <s v="Building"/>
    <s v="Gram Panchayat"/>
    <n v="199630"/>
    <m/>
    <d v="2025-06-29T00:00:00"/>
    <d v="2025-07-10T00:00:00"/>
    <d v="2025-07-11T00:00:00"/>
    <d v="2025-11-07T00:00:00"/>
    <n v="2079935.08"/>
    <m/>
    <n v="1909172.41"/>
    <n v="-8.2100000000000009"/>
    <s v="Below"/>
    <s v="Nineteen Lakh Nine Thousand One Hundred Seventy Two Rupees and Forty One Paise Only"/>
    <s v="Division"/>
    <m/>
    <n v="1909172.41"/>
    <s v="SANDIP DINESHBHAI VANZARA"/>
    <s v="SANDIP DINESHBHAI VANZARA"/>
    <s v="Opp. HP PUMP, Palitana Road, Gariyadhar"/>
    <n v="8866209297"/>
    <m/>
    <m/>
    <m/>
    <m/>
    <m/>
    <n v="4"/>
    <n v="96000"/>
    <d v="2027-03-08T00:00:00"/>
    <n v="4800"/>
    <n v="0"/>
    <d v="2026-01-17T00:00:00"/>
    <d v="2027-01-07T00:00:00"/>
    <n v="1139"/>
    <d v="2025-08-08T00:00:00"/>
    <m/>
    <m/>
    <m/>
    <m/>
    <m/>
    <m/>
    <m/>
    <m/>
    <m/>
    <m/>
    <m/>
    <m/>
    <m/>
    <d v="2025-08-15T00:00:00"/>
    <m/>
    <m/>
    <m/>
    <m/>
    <m/>
    <m/>
    <m/>
    <m/>
    <m/>
  </r>
  <r>
    <n v="141"/>
    <m/>
    <s v="2025-26"/>
    <n v="8"/>
    <n v="3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2"/>
    <m/>
    <s v="2025-26"/>
    <n v="8"/>
    <n v="36"/>
    <s v="Construction of Gram Panchayat office (Frame structure) at Village Mangadh Taluka:Gariyadhar Dist. Bhavnagar"/>
    <m/>
    <s v="Gariyadhar"/>
    <x v="3"/>
    <s v="Building"/>
    <s v="Gram Panchayat"/>
    <n v="199632"/>
    <m/>
    <d v="2025-06-29T00:00:00"/>
    <d v="2025-07-10T00:00:00"/>
    <d v="2025-07-11T00:00:00"/>
    <d v="2025-11-07T00:00:00"/>
    <n v="2079935.08"/>
    <m/>
    <n v="1872149.57"/>
    <n v="-9.99"/>
    <s v="Below"/>
    <s v="Eighteen Lakh Seventy Two Thousand One Hundred Forty Nine Rupees and Fifty Seven Paise Only"/>
    <s v="Division"/>
    <m/>
    <n v="1872149.57"/>
    <s v="JAY DANEV CONSTRUCTION"/>
    <s v="Kanubhai Nagbhai Sandsur"/>
    <s v="Shop No. 6, Nilkanth Shopping, Opp. S.T. Workshop, Gariyadhar, Dist. Bhavnagar - 364505"/>
    <n v="9574555050"/>
    <m/>
    <m/>
    <m/>
    <m/>
    <m/>
    <n v="4"/>
    <n v="94000"/>
    <d v="2027-03-22T00:00:00"/>
    <n v="4700"/>
    <n v="0"/>
    <d v="2026-01-31T00:00:00"/>
    <d v="2027-01-21T00:00:00"/>
    <n v="1142"/>
    <d v="2025-08-08T00:00:00"/>
    <s v="2025-26"/>
    <n v="118"/>
    <d v="2025-08-29T00:00:00"/>
    <s v="FDR"/>
    <s v="State Bank of India"/>
    <n v="44406538780"/>
    <n v="94000"/>
    <d v="2025-08-26T00:00:00"/>
    <m/>
    <m/>
    <m/>
    <m/>
    <m/>
    <d v="2025-08-29T00:00:00"/>
    <n v="1221"/>
    <d v="2025-08-29T00:00:00"/>
    <m/>
    <m/>
    <m/>
    <m/>
    <m/>
    <m/>
    <m/>
  </r>
  <r>
    <n v="143"/>
    <m/>
    <s v="2025-26"/>
    <n v="8"/>
    <n v="37"/>
    <s v="Construction of Gram Panchayat office (Frame structure) at Village Gujarada Taluka: Gariyadhar Dist. Bhavnagar"/>
    <m/>
    <s v="Gariyadhar"/>
    <x v="3"/>
    <s v="Building"/>
    <s v="Gram Panchayat"/>
    <n v="199634"/>
    <m/>
    <d v="2025-06-29T00:00:00"/>
    <d v="2025-07-10T00:00:00"/>
    <d v="2025-07-11T00:00:00"/>
    <d v="2025-11-07T00:00:00"/>
    <n v="2079935.08"/>
    <m/>
    <n v="1909172.41"/>
    <n v="-8.2100000000000009"/>
    <s v="Below"/>
    <s v="Nineteen Lakh Nine Thousand One Hundred Seventy Two Rupees and Forty One Paise Only"/>
    <s v="Division"/>
    <m/>
    <n v="1909172.41"/>
    <s v="SANDIP DINESHBHAI VANZARA"/>
    <s v="SANDIP DINESHBHAI VANZARA"/>
    <s v="Opp. HP PUMP, Palitana Road, Gariyadhar"/>
    <n v="8866209297"/>
    <m/>
    <m/>
    <m/>
    <m/>
    <m/>
    <n v="4"/>
    <n v="96000"/>
    <d v="2027-03-08T00:00:00"/>
    <n v="4800"/>
    <n v="0"/>
    <d v="2026-01-17T00:00:00"/>
    <d v="2027-01-07T00:00:00"/>
    <n v="1140"/>
    <d v="2025-08-08T00:00:00"/>
    <m/>
    <m/>
    <m/>
    <m/>
    <m/>
    <m/>
    <m/>
    <m/>
    <m/>
    <m/>
    <m/>
    <m/>
    <m/>
    <d v="2025-08-15T00:00:00"/>
    <m/>
    <m/>
    <m/>
    <m/>
    <m/>
    <m/>
    <m/>
    <m/>
    <m/>
  </r>
  <r>
    <n v="144"/>
    <m/>
    <s v="2025-26"/>
    <n v="8"/>
    <n v="38"/>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5"/>
    <m/>
    <s v="2025-26"/>
    <n v="8"/>
    <n v="39"/>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6"/>
    <m/>
    <s v="2025-26"/>
    <n v="8"/>
    <n v="4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7"/>
    <m/>
    <s v="2025-26"/>
    <n v="8"/>
    <n v="4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8"/>
    <m/>
    <s v="2025-26"/>
    <n v="8"/>
    <n v="42"/>
    <s v="Construction of Gram Panchayat office (Frame structure) at Village Kharadi Taluka: Gariyadhar Dist. Bhavnagar"/>
    <m/>
    <s v="Gariyadhar"/>
    <x v="3"/>
    <s v="Building"/>
    <s v="Gram Panchayat"/>
    <n v="199640"/>
    <m/>
    <d v="2025-06-29T00:00:00"/>
    <d v="2025-07-10T00:00:00"/>
    <d v="2025-07-11T00:00:00"/>
    <d v="2025-11-07T00:00:00"/>
    <n v="2079935.08"/>
    <m/>
    <n v="1932051.7"/>
    <n v="-7.11"/>
    <s v="Below"/>
    <s v="Nineteen Lakh Thirty Two Thousand Fifty One Rupees and Seven Paise Only"/>
    <s v="Division"/>
    <m/>
    <n v="1932051.7"/>
    <s v="JAY DANEV CONSTRUCTION"/>
    <s v="Kanubhai Nagbhai Sandsur"/>
    <s v="Shop No. 6, Nilkanth Shopping, Opp. S.T. Workshop, Gariyadhar, Dist. Bhavnagar - 364505"/>
    <n v="9574555050"/>
    <m/>
    <m/>
    <m/>
    <m/>
    <m/>
    <n v="4"/>
    <n v="97000"/>
    <d v="2027-03-22T00:00:00"/>
    <n v="4800"/>
    <n v="0"/>
    <d v="2026-01-31T00:00:00"/>
    <d v="2027-01-21T00:00:00"/>
    <n v="1099"/>
    <d v="2025-08-08T00:00:00"/>
    <s v="2025-26"/>
    <n v="119"/>
    <d v="2025-08-29T00:00:00"/>
    <s v="FDR"/>
    <s v="State Bank of India"/>
    <n v="44406429679"/>
    <n v="97000"/>
    <d v="2025-08-26T00:00:00"/>
    <m/>
    <m/>
    <m/>
    <m/>
    <m/>
    <d v="2025-08-29T00:00:00"/>
    <n v="1222"/>
    <d v="2025-08-29T00:00:00"/>
    <m/>
    <m/>
    <m/>
    <m/>
    <m/>
    <m/>
    <m/>
  </r>
  <r>
    <n v="149"/>
    <m/>
    <s v="2025-26"/>
    <n v="8"/>
    <n v="43"/>
    <s v="Construction of Gram Panchayat office (Frame structure) at Village Garibpura Taluka: Gariyadhar Dist. Bhavnagar"/>
    <m/>
    <s v="Gariyadhar"/>
    <x v="3"/>
    <s v="Building"/>
    <s v="Gram Panchayat"/>
    <n v="199641"/>
    <m/>
    <d v="2025-06-29T00:00:00"/>
    <d v="2025-07-10T00:00:00"/>
    <d v="2025-07-11T00:00:00"/>
    <d v="2025-11-07T00:00:00"/>
    <n v="2079935.08"/>
    <m/>
    <n v="1916036.2"/>
    <n v="-7.88"/>
    <s v="Below"/>
    <s v="Nineteen Lakh Sixteen Thousand Thirty Six Rupees and Two Paise Only"/>
    <s v="Division"/>
    <m/>
    <n v="1916036.2"/>
    <s v="JAY PUNJESHWAR CONSTRUCTION"/>
    <s v="Sanjaysinh Rajendrasinh Gohil"/>
    <s v="184, Darbar Street, Wadi Area, Navagam (Nana) Ta. Ghogha. Dist. Bhavnagar"/>
    <n v="9624751929"/>
    <m/>
    <s v="CDP-5"/>
    <m/>
    <m/>
    <m/>
    <n v="4"/>
    <n v="96000"/>
    <d v="2027-06-13T00:00:00"/>
    <n v="4800"/>
    <n v="0"/>
    <d v="2026-04-24T00:00:00"/>
    <d v="2027-04-14T00:00:00"/>
    <n v="1090"/>
    <d v="2025-08-07T00:00:00"/>
    <s v="2025-26"/>
    <n v="219"/>
    <d v="2025-11-20T00:00:00"/>
    <s v="FDR"/>
    <s v="Central Bank of India"/>
    <n v="5896382185"/>
    <n v="96000"/>
    <d v="2025-11-06T00:00:00"/>
    <m/>
    <m/>
    <m/>
    <m/>
    <m/>
    <d v="2025-11-20T00:00:00"/>
    <n v="1551"/>
    <d v="2025-11-20T00:00:00"/>
    <m/>
    <m/>
    <m/>
    <m/>
    <m/>
    <m/>
    <m/>
  </r>
  <r>
    <n v="150"/>
    <m/>
    <s v="2025-26"/>
    <n v="8"/>
    <n v="44"/>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51"/>
    <m/>
    <s v="2025-26"/>
    <n v="8"/>
    <n v="45"/>
    <s v="Construction of Gram Panchayat office (Frame structure) at Village Lakhanka Taluka: Ghogha Dist. Bhavnagar"/>
    <m/>
    <s v="Ghogha"/>
    <x v="2"/>
    <s v="Building"/>
    <s v="Gram Panchayat"/>
    <n v="199644"/>
    <m/>
    <d v="2025-06-29T00:00:00"/>
    <d v="2025-07-10T00:00:00"/>
    <d v="2025-07-11T00:00:00"/>
    <d v="2025-11-07T00:00:00"/>
    <n v="2079935.08"/>
    <m/>
    <n v="2036048.45"/>
    <n v="-2.11"/>
    <s v="Below"/>
    <s v="Twenty Lakh Thirty Six Thousand Forty Eight Rupees and Forty Five Paise Only"/>
    <s v="Division"/>
    <m/>
    <n v="2036048.45"/>
    <s v="PARTH K MEHTA"/>
    <s v="PARTH Kiritkumar MEHTA"/>
    <s v="Plot No. 1578/I, New Champa Tenament, Divadi Road, Rupani Circle, Bhavnagar - 364002"/>
    <n v="7990934709"/>
    <m/>
    <s v="CDP-5"/>
    <m/>
    <m/>
    <m/>
    <n v="4"/>
    <n v="102000"/>
    <d v="2027-03-08T00:00:00"/>
    <n v="5000"/>
    <n v="0"/>
    <d v="2026-01-17T00:00:00"/>
    <d v="2027-01-07T00:00:00"/>
    <n v="1089"/>
    <d v="2025-08-07T00:00:00"/>
    <m/>
    <m/>
    <m/>
    <m/>
    <m/>
    <m/>
    <m/>
    <m/>
    <m/>
    <m/>
    <m/>
    <m/>
    <m/>
    <d v="2025-08-15T00:00:00"/>
    <m/>
    <m/>
    <m/>
    <m/>
    <m/>
    <m/>
    <m/>
    <m/>
    <m/>
  </r>
  <r>
    <n v="152"/>
    <m/>
    <s v="2025-26"/>
    <n v="8"/>
    <n v="46"/>
    <s v="Construction of Gram Panchayat office (Frame structure) at Village Kankot Taluka: Ghogha Dist. Bhavnagar"/>
    <m/>
    <s v="Ghogha"/>
    <x v="2"/>
    <s v="Building"/>
    <s v="Gram Panchayat"/>
    <n v="199645"/>
    <m/>
    <d v="2025-06-29T00:00:00"/>
    <d v="2025-07-10T00:00:00"/>
    <d v="2025-07-11T00:00:00"/>
    <d v="2025-11-07T00:00:00"/>
    <n v="2079935.08"/>
    <m/>
    <n v="1970322.5"/>
    <n v="-5.27"/>
    <s v="Below"/>
    <s v="Nineteen Lakh Seventy Thousand Three Hundred Twenty Two Rupees and Five Paise Only"/>
    <s v="Division"/>
    <m/>
    <n v="1970322.5"/>
    <s v="SURYADEEP SUPPLIERS"/>
    <s v="Pratapbhai Lakhubhai Beparia"/>
    <s v="At Lothpur, Ta. Jafarabad, Dist. Amreli - 365540"/>
    <n v="9727987777"/>
    <m/>
    <s v="CDP-5"/>
    <m/>
    <m/>
    <m/>
    <n v="4"/>
    <n v="99000"/>
    <d v="2027-04-04T00:00:00"/>
    <n v="4900"/>
    <n v="0"/>
    <d v="2026-02-13T00:00:00"/>
    <d v="2027-02-03T00:00:00"/>
    <n v="1088"/>
    <d v="2025-08-07T00:00:00"/>
    <s v="2025-26"/>
    <n v="151"/>
    <d v="2025-09-11T00:00:00"/>
    <s v="FDR"/>
    <s v="ICICI BANK"/>
    <s v="162313004874"/>
    <n v="99000"/>
    <d v="2025-08-20T00:00:00"/>
    <m/>
    <m/>
    <m/>
    <m/>
    <m/>
    <d v="2025-09-11T00:00:00"/>
    <n v="1296"/>
    <d v="2025-09-11T00:00:00"/>
    <m/>
    <m/>
    <m/>
    <m/>
    <m/>
    <m/>
    <m/>
  </r>
  <r>
    <n v="153"/>
    <m/>
    <s v="2025-26"/>
    <n v="8"/>
    <n v="47"/>
    <s v="Construction of Gram Panchayat office (Frame structure) at Village Bhandar Taluka: Ghogha Dist. Bhavnagar"/>
    <m/>
    <s v="Ghogha"/>
    <x v="2"/>
    <s v="Building"/>
    <s v="Gram Panchayat"/>
    <n v="199647"/>
    <m/>
    <d v="2025-06-29T00:00:00"/>
    <d v="2025-07-10T00:00:00"/>
    <d v="2025-07-11T00:00:00"/>
    <d v="2025-11-07T00:00:00"/>
    <n v="2079935.08"/>
    <m/>
    <n v="1972194.44"/>
    <n v="-5.18"/>
    <s v="Below"/>
    <s v="Nineteen Lakh Seventy Two Thousand One Hundred Ninety Four Rupees and Forty Four Paise Only"/>
    <s v="Division"/>
    <m/>
    <n v="1972194.44"/>
    <s v="SURYADEEP SUPPLIERS"/>
    <s v="Pratapbhai Lakhubhai Beparia"/>
    <s v="At Lothpur, Ta. Jafarabad, Dist. Amreli - 365540"/>
    <n v="9727987777"/>
    <m/>
    <s v="CDP-5"/>
    <m/>
    <m/>
    <m/>
    <n v="4"/>
    <n v="99000"/>
    <d v="2027-04-04T00:00:00"/>
    <n v="4900"/>
    <n v="0"/>
    <d v="2026-02-13T00:00:00"/>
    <d v="2027-02-03T00:00:00"/>
    <n v="1087"/>
    <d v="2025-08-07T00:00:00"/>
    <s v="2025-26"/>
    <n v="152"/>
    <d v="2025-09-11T00:00:00"/>
    <s v="FDR"/>
    <s v="ICICI BANK"/>
    <s v="162313004876"/>
    <n v="99000"/>
    <d v="2025-08-20T00:00:00"/>
    <m/>
    <m/>
    <m/>
    <m/>
    <m/>
    <d v="2025-09-11T00:00:00"/>
    <n v="1297"/>
    <d v="2025-09-11T00:00:00"/>
    <m/>
    <m/>
    <m/>
    <m/>
    <m/>
    <m/>
    <m/>
  </r>
  <r>
    <n v="154"/>
    <m/>
    <s v="2025-26"/>
    <n v="8"/>
    <n v="48"/>
    <s v="Construction of Gram Panchayat office (Frame structure) at Village Malekvadar Taluka:Ghogha Dist. Bhavnagar"/>
    <m/>
    <s v="Ghogha"/>
    <x v="2"/>
    <s v="Building"/>
    <s v="Gram Panchayat"/>
    <n v="199648"/>
    <m/>
    <d v="2025-06-29T00:00:00"/>
    <d v="2025-07-10T00:00:00"/>
    <d v="2025-07-11T00:00:00"/>
    <d v="2025-11-07T00:00:00"/>
    <n v="2079935.08"/>
    <m/>
    <n v="2036048.45"/>
    <n v="-2.11"/>
    <s v="Below"/>
    <s v="Twenty Lakh Thirty Six Thousand Forty Eight Rupees and Forty Five Paise Only"/>
    <s v="Division"/>
    <m/>
    <n v="2036048.45"/>
    <s v="PARTH K MEHTA"/>
    <s v="PARTH Kiritkumar MEHTA"/>
    <s v="Plot No. 1578/I, New Champa Tenament, Divadi Road, Rupani Circle, Bhavnagar - 364002"/>
    <n v="7990934709"/>
    <m/>
    <s v="CDP-5"/>
    <m/>
    <m/>
    <m/>
    <n v="4"/>
    <n v="102000"/>
    <d v="2027-05-08T00:00:00"/>
    <n v="5000"/>
    <n v="0"/>
    <d v="2026-03-19T00:00:00"/>
    <d v="2027-03-09T00:00:00"/>
    <n v="1114"/>
    <d v="2025-08-08T00:00:00"/>
    <s v="2025-26"/>
    <n v="188"/>
    <d v="2025-10-13T00:00:00"/>
    <s v="FDR"/>
    <s v="State Bank of India"/>
    <n v="44461406656"/>
    <n v="102000"/>
    <d v="2025-09-11T00:00:00"/>
    <m/>
    <m/>
    <m/>
    <m/>
    <m/>
    <d v="2025-10-15T00:00:00"/>
    <n v="1472"/>
    <d v="2025-10-13T00:00:00"/>
    <m/>
    <m/>
    <m/>
    <m/>
    <m/>
    <m/>
    <m/>
  </r>
  <r>
    <n v="155"/>
    <m/>
    <s v="2025-26"/>
    <n v="8"/>
    <n v="49"/>
    <s v="Construction of Gram Panchayat office (Frame structure) at Village Ranparda Taluka: Mahuva Dist. Bhavnagar"/>
    <m/>
    <s v="Mahuva"/>
    <x v="1"/>
    <s v="Building"/>
    <s v="Gram Panchayat"/>
    <n v="199649"/>
    <m/>
    <d v="2025-06-29T00:00:00"/>
    <d v="2025-07-10T00:00:00"/>
    <d v="2025-07-11T00:00:00"/>
    <d v="2025-11-07T00:00:00"/>
    <n v="2079935.08"/>
    <m/>
    <n v="1944947.29"/>
    <n v="-6.49"/>
    <s v="Below"/>
    <s v="Nineteen Lakh Forty Four Thousand Nine Hundred Forty Seven Rupees and Twenty Nine Paise Only"/>
    <s v="Division"/>
    <m/>
    <n v="1944947.29"/>
    <s v="CUBE INFA PROJECTS"/>
    <s v="KISHANKUMAR PATABHAI KALSARIYA"/>
    <s v="Survey No. 374 P/A 2-16, Office No. 2, Left side of Entry Gate of Balkrushna Campus, Gir Gadhada Road, At. Una, Taluka Una, Dist. Gir Somnath - 362560"/>
    <n v="9824251035"/>
    <m/>
    <s v="CDP-5"/>
    <m/>
    <m/>
    <m/>
    <n v="4"/>
    <n v="98000"/>
    <d v="2027-03-23T00:00:00"/>
    <n v="4900"/>
    <n v="0"/>
    <d v="2026-02-01T00:00:00"/>
    <d v="2027-01-22T00:00:00"/>
    <n v="1115"/>
    <d v="2025-08-08T00:00:00"/>
    <s v="2025-26"/>
    <n v="123"/>
    <d v="2025-08-30T00:00:00"/>
    <s v="FDR"/>
    <s v="ICICI BANK"/>
    <s v="771613001587"/>
    <n v="98000"/>
    <d v="2025-08-20T00:00:00"/>
    <m/>
    <m/>
    <m/>
    <m/>
    <m/>
    <d v="2025-08-30T00:00:00"/>
    <n v="1228"/>
    <d v="2025-08-30T00:00:00"/>
    <m/>
    <m/>
    <m/>
    <m/>
    <m/>
    <m/>
    <m/>
  </r>
  <r>
    <n v="156"/>
    <m/>
    <s v="2025-26"/>
    <n v="8"/>
    <n v="5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57"/>
    <m/>
    <s v="2025-26"/>
    <n v="8"/>
    <n v="5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58"/>
    <m/>
    <s v="2025-26"/>
    <n v="8"/>
    <n v="5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59"/>
    <m/>
    <s v="2025-26"/>
    <n v="8"/>
    <n v="53"/>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0"/>
    <m/>
    <s v="2025-26"/>
    <n v="8"/>
    <n v="54"/>
    <s v="Construction of Gram Panchayat office (Frame structure) at Village Titodiya Taluka: Mahuva Dist. Bhavnagar"/>
    <m/>
    <s v="Mahuva"/>
    <x v="1"/>
    <s v="Building"/>
    <s v="Gram Panchayat"/>
    <n v="199654"/>
    <m/>
    <d v="2025-06-29T00:00:00"/>
    <d v="2025-07-10T00:00:00"/>
    <d v="2025-07-11T00:00:00"/>
    <d v="2025-11-07T00:00:00"/>
    <n v="2079935.08"/>
    <m/>
    <n v="1874021.51"/>
    <n v="-9.9"/>
    <s v="Below"/>
    <s v="Eighteen Lakh Seventy Four Thousand Twenty One Rupees and Fifty One Paise Only"/>
    <s v="Division"/>
    <m/>
    <n v="1874021.51"/>
    <s v="Shri Siddhi Vinayak Construction"/>
    <s v="Labhshankar ladhva"/>
    <s v="At Po. Karmadiya, Via Thaliya, Ta. Mahuva, Dist. Bhavnagar - 364145"/>
    <n v="9825445121"/>
    <m/>
    <s v="CDP-5"/>
    <m/>
    <m/>
    <m/>
    <n v="4"/>
    <n v="94000"/>
    <d v="2027-04-24T00:00:00"/>
    <n v="4700"/>
    <n v="0"/>
    <d v="2026-03-05T00:00:00"/>
    <d v="2027-02-23T00:00:00"/>
    <n v="1116"/>
    <d v="2025-08-08T00:00:00"/>
    <s v="2025-26"/>
    <n v="169"/>
    <d v="2025-10-01T00:00:00"/>
    <s v="FDR"/>
    <s v="SAURASHTRA GRAMIN BANK"/>
    <n v="78048996947"/>
    <n v="94000"/>
    <d v="2025-08-18T00:00:00"/>
    <m/>
    <m/>
    <m/>
    <m/>
    <m/>
    <d v="2025-10-01T00:00:00"/>
    <n v="1409"/>
    <d v="2025-10-01T00:00:00"/>
    <m/>
    <m/>
    <m/>
    <m/>
    <m/>
    <m/>
    <m/>
  </r>
  <r>
    <n v="161"/>
    <m/>
    <s v="2025-26"/>
    <n v="8"/>
    <n v="5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2"/>
    <m/>
    <s v="2025-26"/>
    <n v="8"/>
    <n v="56"/>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3"/>
    <m/>
    <s v="2025-26"/>
    <n v="8"/>
    <n v="57"/>
    <s v="Construction of Gram Panchayat office (Frame structure) at Village Chardika Taluka: Mahuva Dist. Bhavnagar"/>
    <m/>
    <s v="Mahuva"/>
    <x v="1"/>
    <s v="Building"/>
    <s v="Gram Panchayat"/>
    <n v="199657"/>
    <m/>
    <d v="2025-06-29T00:00:00"/>
    <d v="2025-07-10T00:00:00"/>
    <d v="2025-07-11T00:00:00"/>
    <d v="2025-11-07T00:00:00"/>
    <n v="2079935.08"/>
    <m/>
    <n v="2077855.14"/>
    <n v="-0.1"/>
    <s v="Below"/>
    <s v="Twenty Lakh Seventy Seven Thousand Eight Hundred Fifty Five Rupees and Fourteen Paise Only"/>
    <s v="Division"/>
    <m/>
    <n v="2077855.14"/>
    <s v="S D KHUMAN"/>
    <s v="Khuman Shivrajbhai Dilubhai"/>
    <s v="52, Lion Shopping Center, Near Kohinoor Hotel, Jafarabad Road, Rajula, Dist. Amreli - 365560"/>
    <n v="9909950650"/>
    <m/>
    <s v="CDP-5"/>
    <m/>
    <m/>
    <m/>
    <n v="4"/>
    <n v="104000"/>
    <d v="2027-03-23T00:00:00"/>
    <n v="5100"/>
    <n v="0"/>
    <d v="2026-02-01T00:00:00"/>
    <d v="2027-01-22T00:00:00"/>
    <n v="1117"/>
    <d v="2025-08-08T00:00:00"/>
    <s v="2025-26"/>
    <n v="121"/>
    <d v="2025-08-30T00:00:00"/>
    <s v="FDR"/>
    <s v="HDFC Bank"/>
    <s v="50301205697402"/>
    <n v="104000"/>
    <d v="2025-08-23T00:00:00"/>
    <m/>
    <m/>
    <m/>
    <m/>
    <m/>
    <d v="2025-08-30T00:00:00"/>
    <n v="1226"/>
    <d v="2025-08-30T00:00:00"/>
    <m/>
    <m/>
    <m/>
    <m/>
    <m/>
    <m/>
    <m/>
  </r>
  <r>
    <n v="164"/>
    <m/>
    <s v="2025-26"/>
    <n v="8"/>
    <n v="58"/>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5"/>
    <m/>
    <s v="2025-26"/>
    <n v="8"/>
    <n v="59"/>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6"/>
    <m/>
    <s v="2025-26"/>
    <n v="8"/>
    <n v="6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7"/>
    <m/>
    <s v="2025-26"/>
    <n v="8"/>
    <n v="6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8"/>
    <m/>
    <s v="2025-26"/>
    <n v="8"/>
    <n v="6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9"/>
    <m/>
    <s v="2025-26"/>
    <n v="8"/>
    <n v="63"/>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0"/>
    <m/>
    <s v="2025-26"/>
    <n v="8"/>
    <n v="64"/>
    <s v="Construction of Gram Panchayat office (Frame structure) at Village Nana Pipalva Taluka:Mahuva Dist. Bhavnagar"/>
    <m/>
    <s v="Mahuva"/>
    <x v="1"/>
    <s v="Building"/>
    <s v="Gram Panchayat"/>
    <n v="199665"/>
    <m/>
    <d v="2025-06-29T00:00:00"/>
    <d v="2025-07-10T00:00:00"/>
    <d v="2025-07-11T00:00:00"/>
    <d v="2025-11-07T00:00:00"/>
    <n v="2079935.08"/>
    <m/>
    <n v="1733625.89"/>
    <n v="-16.649999999999999"/>
    <s v="Below"/>
    <s v="Seventeen Lakh Thirty Three Thousand Six Hundred Twenty Five Rupees and Eighty Nine Paise Only"/>
    <s v="Division"/>
    <m/>
    <n v="1733625.89"/>
    <s v="BALAJI CONSTRUCTION"/>
    <s v="Siddharth Parbatbhai Bed"/>
    <s v="At Hemal, Ta. Jafarabad, Dist. Amreli - 365545"/>
    <n v="9586762457"/>
    <m/>
    <s v="CDP-5"/>
    <m/>
    <m/>
    <m/>
    <n v="4"/>
    <n v="87000"/>
    <d v="2027-04-03T00:00:00"/>
    <n v="5700"/>
    <n v="28000"/>
    <d v="2026-02-12T00:00:00"/>
    <d v="2027-02-02T00:00:00"/>
    <n v="1067"/>
    <d v="2025-08-05T00:00:00"/>
    <s v="2025-26"/>
    <n v="144"/>
    <d v="2025-09-10T00:00:00"/>
    <s v="FDR"/>
    <s v="SAURASHTRA GRAMIN BANK"/>
    <n v="78049184800"/>
    <n v="87000"/>
    <d v="2025-09-03T00:00:00"/>
    <s v="FDR"/>
    <s v="SAURASHTRA GRAMIN BANK"/>
    <n v="78049184811"/>
    <n v="28000"/>
    <d v="2025-09-03T00:00:00"/>
    <d v="2025-09-10T00:00:00"/>
    <n v="1287"/>
    <d v="2025-09-10T00:00:00"/>
    <m/>
    <m/>
    <m/>
    <m/>
    <m/>
    <m/>
    <m/>
  </r>
  <r>
    <n v="171"/>
    <m/>
    <s v="2025-26"/>
    <n v="8"/>
    <n v="6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2"/>
    <m/>
    <s v="2025-26"/>
    <n v="8"/>
    <n v="66"/>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3"/>
    <m/>
    <s v="2025-26"/>
    <n v="8"/>
    <n v="67"/>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4"/>
    <m/>
    <s v="2025-26"/>
    <n v="8"/>
    <n v="68"/>
    <s v="Construction of Gram Panchayat office (Frame structure) at Village Navagam Talika:Palitana Dist. Bhavnagar"/>
    <m/>
    <s v="Palitana"/>
    <x v="3"/>
    <s v="Building"/>
    <s v="Gram Panchayat"/>
    <n v="199670"/>
    <m/>
    <d v="2025-06-29T00:00:00"/>
    <d v="2025-07-10T00:00:00"/>
    <d v="2025-07-11T00:00:00"/>
    <d v="2025-11-07T00:00:00"/>
    <n v="2079935.08"/>
    <m/>
    <n v="1907924.45"/>
    <n v="-8.27"/>
    <s v="Below"/>
    <s v="Nineteen Lakh Seven Thousand Nine Hundred Twenty Four Rupees and Forty Five Paise Only"/>
    <s v="Division"/>
    <m/>
    <n v="1907924.45"/>
    <s v="Jaysukhbhai Dhirubhai Sardhara"/>
    <n v="0"/>
    <s v="Fulwadi Faliya, Uchchhal-2, Tal. Uchchhal, Dist. Tapi- 394375"/>
    <n v="9016414291"/>
    <m/>
    <s v="CDP-5"/>
    <m/>
    <m/>
    <m/>
    <n v="4"/>
    <n v="96000"/>
    <d v="2027-03-25T00:00:00"/>
    <n v="4800"/>
    <n v="0"/>
    <d v="2026-02-03T00:00:00"/>
    <d v="2027-01-24T00:00:00"/>
    <n v="1068"/>
    <d v="2025-08-05T00:00:00"/>
    <s v="2025-26"/>
    <n v="127"/>
    <d v="2025-09-01T00:00:00"/>
    <s v="FDR"/>
    <s v="State Bank of India"/>
    <n v="44393851886"/>
    <n v="96000"/>
    <d v="2025-08-21T00:00:00"/>
    <m/>
    <m/>
    <m/>
    <m/>
    <m/>
    <d v="2025-09-01T00:00:00"/>
    <n v="1234"/>
    <d v="2025-09-01T00:00:00"/>
    <m/>
    <m/>
    <m/>
    <m/>
    <m/>
    <m/>
    <m/>
  </r>
  <r>
    <n v="175"/>
    <m/>
    <s v="2025-26"/>
    <n v="8"/>
    <n v="69"/>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6"/>
    <m/>
    <s v="2025-26"/>
    <n v="8"/>
    <n v="70"/>
    <s v="Construction of Gram Panchayat office (Frame structure) at Village Vadod Taluka: Umrala Dist. Bhavnagar"/>
    <m/>
    <s v="Umrala"/>
    <x v="0"/>
    <s v="Building"/>
    <s v="Gram Panchayat"/>
    <n v="199672"/>
    <m/>
    <d v="2025-06-29T00:00:00"/>
    <d v="2025-07-10T00:00:00"/>
    <d v="2025-07-11T00:00:00"/>
    <d v="2025-11-07T00:00:00"/>
    <n v="2079935.08"/>
    <m/>
    <n v="1869237.66"/>
    <n v="-10.130000000000001"/>
    <s v="Below"/>
    <s v="Eighteen Lakh Sixty Nine Thousand Two Hundred Thirty Seven Rupees and Sixty Six Paise Only"/>
    <s v="Division"/>
    <m/>
    <n v="1869237.66"/>
    <s v="GANESH BUILDERS"/>
    <s v="Mangukiya Vishal Gunvantbhai"/>
    <s v="D-10, Vrundavan Complex, Hirawadi Road, Saijpur - bogha, Ahmedabad - 382345"/>
    <n v="9408131313"/>
    <m/>
    <m/>
    <m/>
    <m/>
    <m/>
    <n v="4"/>
    <n v="94000"/>
    <d v="2027-03-08T00:00:00"/>
    <n v="4700"/>
    <n v="1000"/>
    <d v="2026-01-17T00:00:00"/>
    <d v="2027-01-07T00:00:00"/>
    <n v="1069"/>
    <d v="2025-08-05T00:00:00"/>
    <m/>
    <m/>
    <m/>
    <m/>
    <m/>
    <m/>
    <m/>
    <m/>
    <m/>
    <m/>
    <m/>
    <m/>
    <m/>
    <d v="2025-08-15T00:00:00"/>
    <m/>
    <m/>
    <m/>
    <m/>
    <m/>
    <m/>
    <m/>
    <m/>
    <m/>
  </r>
  <r>
    <n v="177"/>
    <m/>
    <s v="2025-26"/>
    <n v="8"/>
    <n v="71"/>
    <s v="Construction of Gram Panchayat office (Frame structure) at Village Ramanka Taluka: Umrala Dist. Bhavnagar"/>
    <m/>
    <s v="Umrala"/>
    <x v="0"/>
    <s v="Building"/>
    <s v="Gram Panchayat"/>
    <n v="199673"/>
    <m/>
    <d v="2025-06-29T00:00:00"/>
    <d v="2025-07-10T00:00:00"/>
    <d v="2025-07-11T00:00:00"/>
    <d v="2025-11-07T00:00:00"/>
    <n v="2079935.08"/>
    <m/>
    <n v="1869653.64"/>
    <n v="-10.11"/>
    <s v="Below"/>
    <s v="Eighteen Lakh Sixty Nine Thousand Six Hundred Fifty Three Rupees and Sixty Four Paise Only"/>
    <s v="Division"/>
    <m/>
    <n v="1869653.64"/>
    <s v="SOMNATH ENTERPRISE"/>
    <s v="C. H. Gohil"/>
    <s v="Ground Floor, Shop No.2, House No.151, Near Chabutara, Dadva Road, Dhola, Ta.Umrala, Dist.Bhavnagar"/>
    <n v="9377666263"/>
    <m/>
    <m/>
    <m/>
    <m/>
    <m/>
    <n v="4"/>
    <n v="94000"/>
    <d v="2027-03-08T00:00:00"/>
    <n v="4700"/>
    <n v="1000"/>
    <d v="2026-01-17T00:00:00"/>
    <d v="2027-01-07T00:00:00"/>
    <n v="1070"/>
    <d v="2025-08-05T00:00:00"/>
    <m/>
    <m/>
    <m/>
    <m/>
    <m/>
    <m/>
    <m/>
    <m/>
    <m/>
    <m/>
    <m/>
    <m/>
    <m/>
    <d v="2025-08-15T00:00:00"/>
    <m/>
    <m/>
    <m/>
    <m/>
    <m/>
    <m/>
    <m/>
    <m/>
    <m/>
  </r>
  <r>
    <n v="178"/>
    <m/>
    <s v="2025-26"/>
    <n v="8"/>
    <n v="72"/>
    <s v="Construction of Gram Panchayat office (Frame structure) at Village Dharwala Taluka: Umrala Dist. Bhavnagar"/>
    <m/>
    <s v="Umrala"/>
    <x v="0"/>
    <s v="Building"/>
    <s v="Gram Panchayat"/>
    <n v="199675"/>
    <m/>
    <d v="2025-06-29T00:00:00"/>
    <d v="2025-07-10T00:00:00"/>
    <d v="2025-07-11T00:00:00"/>
    <d v="2025-11-07T00:00:00"/>
    <n v="2079935.08"/>
    <m/>
    <n v="1902932.6"/>
    <n v="-8.51"/>
    <s v="Below"/>
    <s v="Nineteen Lakh Two Thousand Nine Hundred Thirty Two Rupees and Six Paise Only"/>
    <s v="Division"/>
    <m/>
    <n v="1902932.6"/>
    <s v="DEV CONSTRUCTION"/>
    <s v="D. H. Gohil"/>
    <s v="At. Vangadhra, Ta.Umrala, Dist. Bhavnagar"/>
    <n v="8780286268"/>
    <m/>
    <m/>
    <m/>
    <m/>
    <m/>
    <n v="4"/>
    <n v="96000"/>
    <d v="2027-03-08T00:00:00"/>
    <n v="4800"/>
    <n v="0"/>
    <d v="2026-01-17T00:00:00"/>
    <d v="2027-01-07T00:00:00"/>
    <n v="1071"/>
    <d v="2025-08-05T00:00:00"/>
    <m/>
    <m/>
    <m/>
    <m/>
    <m/>
    <m/>
    <m/>
    <m/>
    <m/>
    <m/>
    <m/>
    <m/>
    <m/>
    <d v="2025-08-15T00:00:00"/>
    <m/>
    <m/>
    <m/>
    <m/>
    <m/>
    <m/>
    <m/>
    <m/>
    <m/>
  </r>
  <r>
    <n v="179"/>
    <m/>
    <s v="2025-26"/>
    <n v="8"/>
    <n v="73"/>
    <s v="Construction of Gram Panchayat office (Frame structure) at Village Ingorala Taluka: Umrala Dist. Bhavnagar"/>
    <m/>
    <s v="Umrala"/>
    <x v="0"/>
    <s v="Building"/>
    <s v="Gram Panchayat"/>
    <n v="199677"/>
    <m/>
    <d v="2025-06-29T00:00:00"/>
    <d v="2025-07-10T00:00:00"/>
    <d v="2025-07-11T00:00:00"/>
    <d v="2025-11-07T00:00:00"/>
    <n v="2079935.08"/>
    <m/>
    <n v="1785832.26"/>
    <n v="-14.14"/>
    <s v="Below"/>
    <s v="Seventeen Lakh Eighty Five Thousand Eight Hundred Thirty Two Rupees and Twenty Six Paise Only"/>
    <s v="Division"/>
    <m/>
    <n v="1785832.26"/>
    <s v="SOMNATH ENTERPRISE"/>
    <s v="C. H. Gohil"/>
    <s v="Ground Floor, Shop No.2, House No.151, Near Chabutara, Dadva Road, Dhola, Ta.Umrala, Dist.Bhavnagar"/>
    <n v="9377666263"/>
    <m/>
    <m/>
    <m/>
    <m/>
    <m/>
    <n v="4"/>
    <n v="90000"/>
    <d v="2027-03-08T00:00:00"/>
    <n v="5300"/>
    <n v="18000"/>
    <d v="2026-01-17T00:00:00"/>
    <d v="2027-01-07T00:00:00"/>
    <n v="1072"/>
    <d v="2025-08-05T00:00:00"/>
    <m/>
    <m/>
    <m/>
    <m/>
    <m/>
    <m/>
    <m/>
    <m/>
    <m/>
    <m/>
    <m/>
    <m/>
    <m/>
    <d v="2025-08-15T00:00:00"/>
    <m/>
    <m/>
    <m/>
    <m/>
    <m/>
    <m/>
    <m/>
    <m/>
    <m/>
  </r>
  <r>
    <n v="180"/>
    <m/>
    <s v="2025-26"/>
    <n v="8"/>
    <n v="74"/>
    <s v="Construction of Gram Panchayat office (Frame structure) at Village Hadmatiya Taluka: Umrala Dist. Bhavnagar"/>
    <m/>
    <s v="Umrala"/>
    <x v="0"/>
    <s v="Building"/>
    <s v="Gram Panchayat"/>
    <n v="199678"/>
    <m/>
    <d v="2025-06-29T00:00:00"/>
    <d v="2025-07-10T00:00:00"/>
    <d v="2025-07-11T00:00:00"/>
    <d v="2025-11-07T00:00:00"/>
    <n v="2079935.08"/>
    <m/>
    <n v="1827846.95"/>
    <n v="-12.12"/>
    <s v="Below"/>
    <s v="Eighteen Lakh Twenty Seven Thousand Eight Hundred Forty Six Rupees and Ninety Five Paise Only"/>
    <s v="Division"/>
    <m/>
    <n v="1827846.95"/>
    <s v="SOMNATH ENTERPRISE"/>
    <s v="C. H. Gohil"/>
    <s v="Ground Floor, Shop No.2, House No.151, Near Chabutara, Dadva Road, Dhola, Ta.Umrala, Dist.Bhavnagar"/>
    <n v="9377666263"/>
    <m/>
    <m/>
    <m/>
    <m/>
    <m/>
    <n v="4"/>
    <n v="92000"/>
    <d v="2027-03-08T00:00:00"/>
    <n v="5000"/>
    <n v="9000"/>
    <d v="2026-01-17T00:00:00"/>
    <d v="2027-01-07T00:00:00"/>
    <n v="1123"/>
    <d v="2025-08-08T00:00:00"/>
    <m/>
    <m/>
    <m/>
    <m/>
    <m/>
    <m/>
    <m/>
    <m/>
    <m/>
    <m/>
    <m/>
    <m/>
    <m/>
    <d v="2025-08-15T00:00:00"/>
    <m/>
    <m/>
    <m/>
    <m/>
    <m/>
    <m/>
    <m/>
    <m/>
    <m/>
  </r>
  <r>
    <n v="181"/>
    <m/>
    <s v="2025-26"/>
    <n v="8"/>
    <n v="7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82"/>
    <m/>
    <s v="2025-26"/>
    <n v="8"/>
    <n v="76"/>
    <s v="Construction of Gram Panchayat office (Frame structure) at Village Samadhiyala Taluka: Umrala Dist. Bhavnagar"/>
    <m/>
    <s v="Umrala"/>
    <x v="0"/>
    <s v="Building"/>
    <s v="Gram Panchayat"/>
    <n v="199680"/>
    <m/>
    <d v="2025-06-29T00:00:00"/>
    <d v="2025-07-10T00:00:00"/>
    <d v="2025-07-11T00:00:00"/>
    <d v="2025-11-07T00:00:00"/>
    <n v="2079935.08"/>
    <m/>
    <n v="1786248.25"/>
    <n v="-14.12"/>
    <s v="Below"/>
    <s v="Seventeen Lakh Eighty Six Thousand Two Hundred Forty Eight Rupees and Twenty Five Paise Only"/>
    <s v="Division"/>
    <m/>
    <n v="1786248.25"/>
    <s v="SOMNATH ENTERPRISE"/>
    <s v="C. H. Gohil"/>
    <s v="Ground Floor, Shop No.2, House No.151, Near Chabutara, Dadva Road, Dhola, Ta.Umrala, Dist.Bhavnagar"/>
    <n v="9377666263"/>
    <m/>
    <s v="CDP-5"/>
    <m/>
    <m/>
    <m/>
    <n v="4"/>
    <n v="90000"/>
    <d v="2027-04-24T00:00:00"/>
    <n v="5300"/>
    <n v="18000"/>
    <d v="2026-03-05T00:00:00"/>
    <d v="2027-02-23T00:00:00"/>
    <n v="1111"/>
    <d v="2025-08-08T00:00:00"/>
    <s v="2025-26"/>
    <n v="166"/>
    <d v="2025-10-01T00:00:00"/>
    <s v="FDR"/>
    <s v="State Bank of India"/>
    <n v="44480666780"/>
    <n v="90000"/>
    <d v="2025-09-18T00:00:00"/>
    <m/>
    <m/>
    <m/>
    <m/>
    <m/>
    <d v="2025-10-01T00:00:00"/>
    <n v="1407"/>
    <d v="2025-10-01T00:00:00"/>
    <m/>
    <m/>
    <m/>
    <m/>
    <m/>
    <m/>
    <m/>
  </r>
  <r>
    <n v="183"/>
    <m/>
    <s v="2025-26"/>
    <n v="8"/>
    <n v="77"/>
    <s v="Construction of Gram Panchayat office (Frame structure) at Village Khijadiya Taluka: Umrala Dist. Bhavnagar"/>
    <m/>
    <s v="Umrala"/>
    <x v="0"/>
    <s v="Building"/>
    <s v="Gram Panchayat"/>
    <n v="199681"/>
    <m/>
    <d v="2025-06-29T00:00:00"/>
    <d v="2025-07-10T00:00:00"/>
    <d v="2025-07-11T00:00:00"/>
    <d v="2025-11-07T00:00:00"/>
    <n v="2079935.08"/>
    <m/>
    <n v="1872149.57"/>
    <n v="-9.99"/>
    <s v="Below"/>
    <s v="Eighteen Lakh Seventy Two Thousand One Hundred Forty Nine Rupees and Fifty Seven Paise Only"/>
    <s v="Division"/>
    <m/>
    <n v="1872149.57"/>
    <s v="DEV CONSTRUCTION"/>
    <s v="D. H. Gohil"/>
    <s v="At. Vangadhra, Ta.Umrala, Dist. Bhavnagar"/>
    <n v="8780286268"/>
    <m/>
    <m/>
    <m/>
    <m/>
    <m/>
    <n v="4"/>
    <n v="94000"/>
    <d v="2027-03-08T00:00:00"/>
    <n v="4700"/>
    <n v="0"/>
    <d v="2026-01-17T00:00:00"/>
    <d v="2027-01-07T00:00:00"/>
    <n v="1112"/>
    <d v="2025-08-08T00:00:00"/>
    <m/>
    <m/>
    <m/>
    <m/>
    <m/>
    <m/>
    <m/>
    <m/>
    <m/>
    <m/>
    <m/>
    <m/>
    <m/>
    <d v="2025-08-15T00:00:00"/>
    <m/>
    <m/>
    <m/>
    <m/>
    <m/>
    <m/>
    <m/>
    <m/>
    <m/>
  </r>
  <r>
    <n v="184"/>
    <m/>
    <s v="2025-26"/>
    <n v="8"/>
    <n v="78"/>
    <s v="Construction of Gram Panchayat office (Frame structure) at Village Budhana Taluka: Shihor Dist. Bhavnagar"/>
    <m/>
    <s v="Shihor"/>
    <x v="5"/>
    <s v="Building"/>
    <s v="Gram Panchayat"/>
    <n v="199683"/>
    <n v="1"/>
    <d v="2025-06-29T00:00:00"/>
    <d v="2025-07-10T00:00:00"/>
    <d v="2025-07-11T00:00:00"/>
    <d v="2025-11-07T00:00:00"/>
    <n v="2079935.08"/>
    <m/>
    <n v="1955346.97"/>
    <n v="-5.99"/>
    <s v="Below"/>
    <s v="Nineteen Lakh Fifty Five Thousand Three Hundred Forty Six Rupees and Ninety Seven Paise Only"/>
    <s v="Division"/>
    <m/>
    <n v="1955346.97"/>
    <s v="KEVAL BUDHESHBHAI BHAYANI"/>
    <s v="KEVAL BUDHESHBHAI BHAYANI"/>
    <s v="235, Momai Krupa, Bhayani Sheri, Madhada, Ta. Shihor, Dist. Bhavnagar - 364240"/>
    <n v="8905890589"/>
    <m/>
    <m/>
    <m/>
    <m/>
    <m/>
    <n v="4"/>
    <n v="98000"/>
    <d v="2027-03-11T00:00:00"/>
    <n v="4900"/>
    <n v="0"/>
    <d v="2026-01-20T00:00:00"/>
    <d v="2027-01-10T00:00:00"/>
    <n v="1063"/>
    <d v="2025-08-04T00:00:00"/>
    <s v="2025-26"/>
    <n v="86"/>
    <d v="2025-08-18T00:00:00"/>
    <s v="FDR"/>
    <s v="State Bank of India"/>
    <s v="00000044367295159"/>
    <n v="98000"/>
    <d v="2025-08-11T00:00:00"/>
    <m/>
    <m/>
    <m/>
    <m/>
    <m/>
    <d v="2025-08-18T00:00:00"/>
    <n v="1165"/>
    <d v="2025-08-18T00:00:00"/>
    <m/>
    <m/>
    <m/>
    <m/>
    <m/>
    <m/>
    <m/>
  </r>
  <r>
    <n v="185"/>
    <m/>
    <s v="2025-26"/>
    <n v="8"/>
    <n v="79"/>
    <s v="Construction of Gram Panchayat office (Frame structure) at Village Dhundhsar Taluka:Shihor Dist. Bhavnagar"/>
    <m/>
    <s v="Shihor"/>
    <x v="5"/>
    <s v="Building"/>
    <s v="Gram Panchayat"/>
    <n v="199684"/>
    <m/>
    <d v="2025-06-29T00:00:00"/>
    <d v="2025-07-10T00:00:00"/>
    <d v="2025-07-11T00:00:00"/>
    <d v="2025-11-07T00:00:00"/>
    <n v="2079935.08"/>
    <m/>
    <n v="1955346.97"/>
    <n v="-5.99"/>
    <s v="Below"/>
    <s v="Nineteen Lakh Fifty Five Thousand Three Hundred Forty Six Rupees and Ninety Seven Paise Only"/>
    <s v="Division"/>
    <m/>
    <n v="1955346.97"/>
    <s v="ASHOKBHAI PARSHOTAMBHAI_x000a_BARAIYA"/>
    <s v="ASHOKBHAI PARSHOTAMBHAI_x000a_BARAIYA"/>
    <s v="At Lapaliya, Post- Nani Rajsthali, Tal. Palitana - 364270"/>
    <n v="9898775037"/>
    <m/>
    <s v="CDP-5"/>
    <m/>
    <m/>
    <m/>
    <n v="4"/>
    <n v="98000"/>
    <d v="2027-04-24T00:00:00"/>
    <n v="4900"/>
    <n v="0"/>
    <d v="2026-03-05T00:00:00"/>
    <d v="2027-02-23T00:00:00"/>
    <n v="1113"/>
    <d v="2025-08-08T00:00:00"/>
    <s v="2025-26"/>
    <n v="163"/>
    <d v="2025-10-01T00:00:00"/>
    <s v="FDR"/>
    <s v="SAURASHTRA GRAMIN BANK"/>
    <n v="78049121883"/>
    <n v="98000"/>
    <d v="2025-08-29T00:00:00"/>
    <m/>
    <m/>
    <m/>
    <m/>
    <m/>
    <d v="2025-10-01T00:00:00"/>
    <n v="1404"/>
    <d v="2025-10-01T00:00:00"/>
    <m/>
    <m/>
    <m/>
    <m/>
    <m/>
    <m/>
    <m/>
  </r>
  <r>
    <n v="186"/>
    <m/>
    <s v="2025-26"/>
    <n v="8"/>
    <n v="8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87"/>
    <m/>
    <s v="2025-26"/>
    <n v="8"/>
    <n v="81"/>
    <s v="Construction of Gram Panchayat office (Frame structure) at Village Bhutiya Taluka: Shihor Dist. Bhavnagar"/>
    <m/>
    <s v="Shihor"/>
    <x v="5"/>
    <s v="Building"/>
    <s v="Gram Panchayat"/>
    <n v="199694"/>
    <m/>
    <d v="2025-06-29T00:00:00"/>
    <d v="2025-07-10T00:00:00"/>
    <d v="2025-07-11T00:00:00"/>
    <d v="2025-11-07T00:00:00"/>
    <n v="2079935.08"/>
    <m/>
    <n v="1966578.62"/>
    <n v="-5.45"/>
    <s v="Below"/>
    <s v="Nineteen Lakh Sixty Six Thousand Five Hundred Seventy Eight Rupees and Sixty Two Paise Only"/>
    <s v="Division"/>
    <m/>
    <n v="1966578.62"/>
    <s v="HEER CONSTRUCTION"/>
    <s v="Sanjaykumar Nandlal Raiyani"/>
    <s v="A-302 Shree Nand Elite, Nr.Ustav velly Flat, Nikol Gam Road, Ahemdabad                         Pin-382350"/>
    <n v="9979476626"/>
    <m/>
    <s v="CDP-5"/>
    <m/>
    <m/>
    <m/>
    <n v="4"/>
    <n v="99000"/>
    <d v="2027-04-24T00:00:00"/>
    <n v="4900"/>
    <n v="0"/>
    <d v="2026-03-05T00:00:00"/>
    <d v="2027-02-23T00:00:00"/>
    <n v="1100"/>
    <d v="2025-08-08T00:00:00"/>
    <s v="2025-26"/>
    <n v="164"/>
    <d v="2025-10-01T00:00:00"/>
    <s v="FDR"/>
    <s v="Punjab National Bank"/>
    <s v="753700MP00002883"/>
    <n v="99100"/>
    <d v="2025-08-28T00:00:00"/>
    <m/>
    <m/>
    <m/>
    <m/>
    <m/>
    <d v="2025-10-01T00:00:00"/>
    <n v="1405"/>
    <d v="2025-10-01T00:00:00"/>
    <m/>
    <m/>
    <m/>
    <m/>
    <m/>
    <m/>
    <m/>
  </r>
  <r>
    <n v="188"/>
    <m/>
    <s v="2025-26"/>
    <n v="8"/>
    <n v="82"/>
    <s v="Construction of Gram Panchayat office (Frame structure) at Village Karmadiya Taluka: Shihor Dist. Bhavnagar"/>
    <m/>
    <s v="Shihor"/>
    <x v="5"/>
    <s v="Building"/>
    <s v="Gram Panchayat"/>
    <n v="199695"/>
    <m/>
    <d v="2025-06-29T00:00:00"/>
    <d v="2025-07-10T00:00:00"/>
    <d v="2025-07-11T00:00:00"/>
    <d v="2025-11-07T00:00:00"/>
    <n v="2079935.08"/>
    <m/>
    <n v="2027312.72"/>
    <n v="-2.5299999999999998"/>
    <s v="Below"/>
    <s v="Twenty Lakh Twenty Seven Thousand Three Hundred Twelve Rupees and Seventy Two Paise Only"/>
    <s v="Division"/>
    <m/>
    <n v="2027312.72"/>
    <s v="HRUTURAJSINH JESUBHA GOHIL"/>
    <n v="0"/>
    <s v="At Tana, Tal. Shihor, Dist. Bhavnagar - 364260"/>
    <n v="9510343132"/>
    <m/>
    <s v="CDP-5"/>
    <m/>
    <m/>
    <m/>
    <n v="4"/>
    <n v="102000"/>
    <d v="2027-03-26T00:00:00"/>
    <n v="5000"/>
    <n v="0"/>
    <d v="2026-02-04T00:00:00"/>
    <d v="2027-01-25T00:00:00"/>
    <n v="1107"/>
    <d v="2025-08-08T00:00:00"/>
    <s v="2025-26"/>
    <n v="142"/>
    <d v="2025-09-02T00:00:00"/>
    <s v="FDR"/>
    <s v="Bank of Baroda"/>
    <s v="91640300004640"/>
    <n v="102000"/>
    <d v="2025-08-22T00:00:00"/>
    <m/>
    <m/>
    <m/>
    <m/>
    <m/>
    <d v="2025-09-02T00:00:00"/>
    <n v="1253"/>
    <d v="2025-09-02T00:00:00"/>
    <m/>
    <m/>
    <m/>
    <m/>
    <m/>
    <m/>
    <m/>
  </r>
  <r>
    <n v="189"/>
    <m/>
    <s v="2025-26"/>
    <n v="8"/>
    <n v="83"/>
    <s v="Construction of Gram Panchayat office (Frame structure) at Village Sakhvadar Taluka.Shihor Dist. Bhavnagar"/>
    <m/>
    <s v="Shihor"/>
    <x v="5"/>
    <s v="Building"/>
    <s v="Gram Panchayat"/>
    <n v="199696"/>
    <m/>
    <d v="2025-06-29T00:00:00"/>
    <d v="2025-07-10T00:00:00"/>
    <d v="2025-07-11T00:00:00"/>
    <d v="2025-11-07T00:00:00"/>
    <n v="2079935.08"/>
    <m/>
    <n v="1968034.57"/>
    <n v="-5.38"/>
    <s v="Below"/>
    <s v="Nineteen Lakh Sixty Eight Thousand Thirty Four Rupees and Fifty Seven Paise Only"/>
    <s v="Division"/>
    <m/>
    <n v="1968034.57"/>
    <s v="HEER CONSTRUCTION"/>
    <s v="Sanjaykumar Nandlal Raiyani"/>
    <s v="A-302 Shree Nand Elite, Nr.Ustav velly Flat, Nikol Gam Road, Ahemdabad                         Pin-382350"/>
    <n v="9979476626"/>
    <m/>
    <s v="CDP-5"/>
    <m/>
    <m/>
    <m/>
    <n v="4"/>
    <n v="99000"/>
    <d v="2027-04-24T00:00:00"/>
    <n v="4900"/>
    <n v="0"/>
    <d v="2026-03-05T00:00:00"/>
    <d v="2027-02-23T00:00:00"/>
    <n v="1106"/>
    <d v="2025-08-08T00:00:00"/>
    <s v="2025-26"/>
    <n v="165"/>
    <d v="2025-10-01T00:00:00"/>
    <s v="FDR"/>
    <s v="Punjab National Bank"/>
    <s v="753700MP00002874"/>
    <n v="99100"/>
    <d v="2025-08-28T00:00:00"/>
    <m/>
    <m/>
    <m/>
    <m/>
    <m/>
    <d v="2025-10-01T00:00:00"/>
    <n v="1406"/>
    <d v="2025-10-01T00:00:00"/>
    <m/>
    <m/>
    <m/>
    <m/>
    <m/>
    <m/>
    <m/>
  </r>
  <r>
    <n v="190"/>
    <m/>
    <s v="2025-26"/>
    <n v="8"/>
    <n v="84"/>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1"/>
    <m/>
    <s v="2025-26"/>
    <n v="8"/>
    <n v="85"/>
    <s v="Construction of Gram Panchayat office (Frame structure) at Village Dhankankunda Taluka:Shihor Dist. Bhavnagar"/>
    <m/>
    <s v="Shihor"/>
    <x v="5"/>
    <s v="Building"/>
    <s v="Gram Panchayat"/>
    <n v="199699"/>
    <m/>
    <d v="2025-06-29T00:00:00"/>
    <d v="2025-07-10T00:00:00"/>
    <d v="2025-07-11T00:00:00"/>
    <d v="2025-11-07T00:00:00"/>
    <n v="2079935.08"/>
    <m/>
    <n v="1907924.45"/>
    <n v="-8.27"/>
    <s v="Below"/>
    <s v="Nineteen Lakh Seven Thousand Nine Hundred Twenty Four Rupees and Forty Five Paise Only"/>
    <s v="Division"/>
    <m/>
    <n v="1907924.45"/>
    <s v="Jaysukhbhai Dhirubhai Sardhara"/>
    <n v="0"/>
    <s v="Fulwadi Faliya, Uchchhal-2, Tal. Uchchhal, Dist. Tapi- 394375"/>
    <n v="9016414291"/>
    <m/>
    <s v="CDP-5"/>
    <m/>
    <m/>
    <m/>
    <n v="4"/>
    <n v="96000"/>
    <d v="2027-03-25T00:00:00"/>
    <n v="4800"/>
    <n v="0"/>
    <d v="2026-02-03T00:00:00"/>
    <d v="2027-01-24T00:00:00"/>
    <n v="1108"/>
    <d v="2025-08-08T00:00:00"/>
    <s v="2025-26"/>
    <n v="128"/>
    <d v="2025-09-01T00:00:00"/>
    <s v="FDR"/>
    <s v="State Bank of India"/>
    <n v="44393949350"/>
    <n v="96000"/>
    <d v="2025-08-21T00:00:00"/>
    <m/>
    <m/>
    <m/>
    <m/>
    <m/>
    <d v="2025-09-01T00:00:00"/>
    <n v="1235"/>
    <d v="2025-09-01T00:00:00"/>
    <m/>
    <m/>
    <m/>
    <m/>
    <m/>
    <m/>
    <m/>
  </r>
  <r>
    <n v="192"/>
    <m/>
    <s v="2025-26"/>
    <n v="8"/>
    <n v="86"/>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3"/>
    <m/>
    <s v="2025-26"/>
    <n v="8"/>
    <n v="87"/>
    <s v="Construction of Gram Panchayat office (Frame structure) at Village Khakhariya Taluka: Shihor Dist. Bhavnagar"/>
    <m/>
    <s v="Shihor"/>
    <x v="5"/>
    <s v="Building"/>
    <s v="Gram Panchayat"/>
    <n v="199701"/>
    <m/>
    <d v="2025-06-29T00:00:00"/>
    <d v="2025-07-10T00:00:00"/>
    <d v="2025-07-11T00:00:00"/>
    <d v="2025-11-07T00:00:00"/>
    <n v="2079935.08"/>
    <m/>
    <n v="1944531.31"/>
    <n v="-6.51"/>
    <s v="Below"/>
    <s v="Nineteen Lakh Forty Four Thousand Five Hundred Thirty One Rupees and Thirty One Paise Only"/>
    <s v="Division"/>
    <m/>
    <n v="1944531.31"/>
    <s v="SHIV CONTRUCTION"/>
    <s v="ALIGBHAI LAKHUBHAI BARAL"/>
    <s v="At Bhandariya, Ta. Palitana, Dist. Bhavnagar"/>
    <n v="8780428967"/>
    <m/>
    <s v="CDP-5"/>
    <m/>
    <m/>
    <m/>
    <n v="4"/>
    <n v="98000"/>
    <d v="2027-03-11T00:00:00"/>
    <n v="4900"/>
    <n v="0"/>
    <d v="2026-01-20T00:00:00"/>
    <d v="2027-01-10T00:00:00"/>
    <n v="1095"/>
    <d v="2025-08-08T00:00:00"/>
    <s v="2025-26"/>
    <n v="99"/>
    <d v="2025-08-18T00:00:00"/>
    <s v="FDR"/>
    <s v="SAURASHTRA GRAMIN BANK"/>
    <n v="78048990945"/>
    <n v="98000"/>
    <d v="2025-08-18T00:00:00"/>
    <m/>
    <m/>
    <m/>
    <m/>
    <m/>
    <d v="2025-08-18T00:00:00"/>
    <n v="1179"/>
    <d v="2025-08-18T00:00:00"/>
    <m/>
    <m/>
    <m/>
    <m/>
    <m/>
    <m/>
    <m/>
  </r>
  <r>
    <n v="194"/>
    <m/>
    <s v="2025-26"/>
    <n v="8"/>
    <n v="88"/>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5"/>
    <m/>
    <s v="2025-26"/>
    <n v="8"/>
    <n v="89"/>
    <s v="Construction of Gram Panchayat office (Frame structure) at Village Khari Taluka:shihor Dist. Bhavnagar"/>
    <m/>
    <s v="Shihor"/>
    <x v="5"/>
    <s v="Building"/>
    <s v="Gram Panchayat"/>
    <n v="199704"/>
    <m/>
    <d v="2025-06-29T00:00:00"/>
    <d v="2025-07-10T00:00:00"/>
    <d v="2025-07-11T00:00:00"/>
    <d v="2025-11-07T00:00:00"/>
    <n v="2079935.08"/>
    <m/>
    <n v="1951395.09"/>
    <n v="-6.18"/>
    <s v="Below"/>
    <s v="Nineteen Lakh Fifty One Thousand Three Hundred Ninety Five Rupees and Nine Paise Only"/>
    <s v="Division"/>
    <m/>
    <n v="1951395.09"/>
    <s v="VARAHI CONSTRUCTION"/>
    <s v="Majithiya Dhruvin Nareshbhai"/>
    <s v="82/1, Bajaran Society, Near Gayatri Temple, Chitra, Bhavnagar-364004"/>
    <n v="8200557028"/>
    <m/>
    <s v="CDP-5"/>
    <m/>
    <m/>
    <m/>
    <n v="4"/>
    <n v="98000"/>
    <d v="2027-04-03T00:00:00"/>
    <n v="4900"/>
    <n v="0"/>
    <d v="2026-02-12T00:00:00"/>
    <d v="2027-02-02T00:00:00"/>
    <n v="1098"/>
    <d v="2025-08-08T00:00:00"/>
    <s v="2025-26"/>
    <n v="148"/>
    <d v="2025-09-10T00:00:00"/>
    <s v="FDR"/>
    <s v="Union Bank of India"/>
    <s v="348803060081616"/>
    <n v="98000"/>
    <d v="2025-08-28T00:00:00"/>
    <m/>
    <m/>
    <m/>
    <m/>
    <m/>
    <d v="2025-09-10T00:00:00"/>
    <n v="1292"/>
    <d v="2025-09-10T00:00:00"/>
    <m/>
    <m/>
    <m/>
    <m/>
    <m/>
    <m/>
    <m/>
  </r>
  <r>
    <n v="196"/>
    <m/>
    <s v="2025-26"/>
    <n v="8"/>
    <n v="90"/>
    <s v="Construction of Gram Panchayat office (Frame structure) at Village Madhada Taluka:Shihor Dist. Bhavnagar"/>
    <m/>
    <s v="Shihor"/>
    <x v="5"/>
    <s v="Building"/>
    <s v="Gram Panchayat"/>
    <n v="199706"/>
    <n v="1"/>
    <d v="2025-06-29T00:00:00"/>
    <d v="2025-07-10T00:00:00"/>
    <d v="2025-07-11T00:00:00"/>
    <d v="2025-11-07T00:00:00"/>
    <n v="2079935.08"/>
    <m/>
    <n v="1915620.21"/>
    <n v="-7.9"/>
    <s v="Below"/>
    <s v="Nineteen Lakh Fifteen Thousand Six Hundred Twenty Rupees and Twenty One Paise Only"/>
    <s v="Division"/>
    <m/>
    <n v="1915620.21"/>
    <s v="KEVAL BUDHESHBHAI BHAYANI"/>
    <s v="KEVAL BUDHESHBHAI BHAYANI"/>
    <s v="235, Momai Krupa, Bhayani Sheri, Madhada, Ta. Shihor, Dist. Bhavnagar - 364240"/>
    <n v="8905890589"/>
    <m/>
    <m/>
    <m/>
    <m/>
    <m/>
    <n v="4"/>
    <n v="96000"/>
    <d v="2027-03-11T00:00:00"/>
    <n v="4800"/>
    <n v="0"/>
    <d v="2026-01-20T00:00:00"/>
    <d v="2027-01-10T00:00:00"/>
    <n v="1064"/>
    <d v="2025-08-04T00:00:00"/>
    <s v="2025-26"/>
    <n v="87"/>
    <d v="2025-08-18T00:00:00"/>
    <s v="FDR"/>
    <s v="State Bank of India"/>
    <s v="00000044367322253"/>
    <n v="96000"/>
    <d v="2025-08-11T00:00:00"/>
    <m/>
    <m/>
    <m/>
    <m/>
    <m/>
    <d v="2025-08-18T00:00:00"/>
    <n v="1166"/>
    <d v="2025-08-18T00:00:00"/>
    <m/>
    <m/>
    <m/>
    <m/>
    <m/>
    <m/>
    <m/>
  </r>
  <r>
    <n v="197"/>
    <m/>
    <s v="2025-26"/>
    <n v="8"/>
    <n v="9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8"/>
    <m/>
    <s v="2025-26"/>
    <n v="8"/>
    <n v="9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9"/>
    <m/>
    <s v="2025-26"/>
    <n v="8"/>
    <n v="93"/>
    <s v="Construction of Gram Panchayat office (Frame structure) at Village Sandhida Taluka: Shihor Dist. Bhavnagar"/>
    <m/>
    <s v="Shihor"/>
    <x v="5"/>
    <s v="Building"/>
    <s v="Gram Panchayat"/>
    <n v="199709"/>
    <n v="1"/>
    <d v="2025-06-29T00:00:00"/>
    <d v="2025-07-10T00:00:00"/>
    <d v="2025-07-11T00:00:00"/>
    <d v="2025-11-07T00:00:00"/>
    <n v="2079935.08"/>
    <m/>
    <n v="1923731.96"/>
    <n v="-7.51"/>
    <s v="Below"/>
    <s v="Nineteen Lakh Twenty Three Thousand Seven Hundred Thirty One Rupees and Ninety Six Paise Only"/>
    <s v="Division"/>
    <m/>
    <n v="1923731.96"/>
    <s v="UDAYBHAI R. LUNSAR"/>
    <s v="UDAYBHAI RAMKUBHAI LUNSAR"/>
    <s v="Shop No. 5, First Floor, Nilkanth Arcade, Opp. Arjun Tokiz, Palitana Road, Gariyadhar- 364505"/>
    <n v="9824226646"/>
    <m/>
    <s v="CDP-5"/>
    <m/>
    <m/>
    <m/>
    <n v="4"/>
    <n v="97000"/>
    <d v="2027-03-22T00:00:00"/>
    <n v="4800"/>
    <n v="0"/>
    <d v="2026-01-31T00:00:00"/>
    <d v="2027-01-21T00:00:00"/>
    <n v="1093"/>
    <d v="2025-08-08T00:00:00"/>
    <s v="2025-26"/>
    <n v="117"/>
    <d v="2025-08-29T00:00:00"/>
    <s v="FDR"/>
    <s v="State Bank of India"/>
    <n v="44407033346"/>
    <n v="97000"/>
    <d v="2025-08-26T00:00:00"/>
    <m/>
    <m/>
    <m/>
    <m/>
    <m/>
    <d v="2025-08-29T00:00:00"/>
    <n v="1219"/>
    <d v="2025-08-29T00:00:00"/>
    <m/>
    <m/>
    <m/>
    <m/>
    <m/>
    <m/>
    <m/>
  </r>
  <r>
    <n v="200"/>
    <m/>
    <s v="2025-26"/>
    <n v="8"/>
    <n v="94"/>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201"/>
    <m/>
    <s v="2025-26"/>
    <n v="8"/>
    <n v="9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202"/>
    <m/>
    <s v="2025-26"/>
    <n v="8"/>
    <n v="96"/>
    <s v="Construction of Gram Panchayat office (Frame structure) at Village Zariya Taluka:Shihor Dist. Bhavnagar"/>
    <m/>
    <s v="Shihor"/>
    <x v="5"/>
    <s v="Building"/>
    <s v="Gram Panchayat"/>
    <n v="199712"/>
    <m/>
    <d v="2025-06-29T00:00:00"/>
    <d v="2025-07-10T00:00:00"/>
    <d v="2025-07-11T00:00:00"/>
    <d v="2025-11-07T00:00:00"/>
    <n v="2079935.08"/>
    <m/>
    <n v="1971778.46"/>
    <n v="-5.2"/>
    <s v="Below"/>
    <s v="Nineteen Lakh Seventy One Thousand Seven Hundred Seventy Eight Rupees and Forty Six Paise Only"/>
    <s v="Division"/>
    <m/>
    <n v="1971778.46"/>
    <s v="ASHOKBHAI PARSHOTAMBHAI_x000a_BARAIYA"/>
    <s v="ASHOKBHAI PARSHOTAMBHAI_x000a_BARAIYA"/>
    <s v="At Lapaliya, Post- Nani Rajsthali, Tal. Palitana - 364270"/>
    <n v="9898775037"/>
    <m/>
    <m/>
    <m/>
    <m/>
    <m/>
    <n v="4"/>
    <n v="99000"/>
    <d v="2027-03-08T00:00:00"/>
    <n v="4900"/>
    <n v="0"/>
    <d v="2026-01-17T00:00:00"/>
    <d v="2027-01-07T00:00:00"/>
    <n v="1104"/>
    <d v="2025-08-08T00:00:00"/>
    <m/>
    <m/>
    <m/>
    <m/>
    <m/>
    <m/>
    <m/>
    <m/>
    <m/>
    <m/>
    <m/>
    <m/>
    <m/>
    <d v="2025-08-15T00:00:00"/>
    <m/>
    <m/>
    <m/>
    <m/>
    <m/>
    <m/>
    <m/>
    <m/>
    <m/>
  </r>
  <r>
    <n v="203"/>
    <m/>
    <s v="2025-26"/>
    <n v="8"/>
    <n v="97"/>
    <s v="Construction of Gram Panchayat office (Frame structure) at Village Juni Chhapari Taluka: Talaja Dist. Bhavnagar"/>
    <m/>
    <s v="Talaja"/>
    <x v="4"/>
    <s v="Building"/>
    <s v="Gram Panchayat"/>
    <n v="200162"/>
    <m/>
    <d v="2025-06-29T00:00:00"/>
    <d v="2025-07-10T00:00:00"/>
    <d v="2025-07-11T00:00:00"/>
    <d v="2025-11-07T00:00:00"/>
    <n v="2079935.08"/>
    <m/>
    <n v="1938499.49"/>
    <n v="-6.8"/>
    <s v="Below"/>
    <s v="Nineteen Lakh Thirty Eight Thousand Four Hundred Ninety Nine Rupees and Forty Nine Paise Only"/>
    <s v="Division"/>
    <m/>
    <n v="1938499.49"/>
    <s v="CUBE INFA PROJECTS"/>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2"/>
    <d v="2025-08-08T00:00:00"/>
    <s v="2025-26"/>
    <n v="124"/>
    <d v="2025-08-30T00:00:00"/>
    <s v="FDR"/>
    <s v="ICICI BANK"/>
    <s v="771613001585"/>
    <n v="97000"/>
    <d v="2025-08-20T00:00:00"/>
    <m/>
    <m/>
    <m/>
    <m/>
    <m/>
    <d v="2025-08-30T00:00:00"/>
    <n v="1229"/>
    <d v="2025-08-30T00:00:00"/>
    <m/>
    <m/>
    <m/>
    <m/>
    <m/>
    <m/>
    <m/>
  </r>
  <r>
    <n v="204"/>
    <m/>
    <s v="2025-26"/>
    <n v="8"/>
    <n v="98"/>
    <s v="Construction of Gram Panchayat office (Frame structure) at Village Vejodari Taluka: Talaja Dist. Bhavnagar"/>
    <m/>
    <s v="Talaja"/>
    <x v="4"/>
    <s v="Building"/>
    <s v="Gram Panchayat"/>
    <n v="200169"/>
    <m/>
    <d v="2025-06-29T00:00:00"/>
    <d v="2025-07-10T00:00:00"/>
    <d v="2025-07-11T00:00:00"/>
    <d v="2025-11-07T00:00:00"/>
    <n v="2079935.08"/>
    <m/>
    <n v="1934339.62"/>
    <n v="-7"/>
    <s v="Below"/>
    <s v="Nineteen Lakh Thirty Four Thousand Three Hundred Thirty Nine Rupees and Sixty Two Paise Only"/>
    <s v="Division"/>
    <m/>
    <n v="1934339.62"/>
    <s v="MESHWA DEVELOPERS"/>
    <s v="Modi Bhavik Nareshkumar"/>
    <s v="27, Ganesh Villa Bunglows, Rasian Nagar Society Same, Sidhdhapur Highway Road, Patan"/>
    <n v="7069196333"/>
    <m/>
    <s v="CDP-5"/>
    <m/>
    <m/>
    <m/>
    <n v="4"/>
    <n v="97000"/>
    <d v="2027-05-08T00:00:00"/>
    <n v="4800"/>
    <n v="0"/>
    <d v="2026-03-19T00:00:00"/>
    <d v="2027-03-09T00:00:00"/>
    <n v="1085"/>
    <d v="2025-08-07T00:00:00"/>
    <s v="2025-26"/>
    <n v="181"/>
    <d v="2025-10-13T00:00:00"/>
    <s v="FDR"/>
    <s v="The Mehsana Urban Co-Op. Bank Ltd. Mehsana"/>
    <s v="43201100017171"/>
    <n v="97000"/>
    <d v="2025-09-17T00:00:00"/>
    <m/>
    <m/>
    <m/>
    <m/>
    <m/>
    <d v="2025-10-15T00:00:00"/>
    <n v="1466"/>
    <d v="2025-10-13T00:00:00"/>
    <m/>
    <m/>
    <m/>
    <m/>
    <m/>
    <m/>
    <m/>
  </r>
  <r>
    <n v="205"/>
    <m/>
    <s v="2025-26"/>
    <n v="8"/>
    <n v="99"/>
    <s v="Construction of Gram Panchayat office (Frame structure) at Village Bhalar Taluka: Talaja Dist. Bhavnagar"/>
    <m/>
    <s v="Talaja"/>
    <x v="4"/>
    <s v="Building"/>
    <s v="Gram Panchayat"/>
    <n v="200174"/>
    <m/>
    <d v="2025-06-29T00:00:00"/>
    <d v="2025-07-10T00:00:00"/>
    <d v="2025-07-11T00:00:00"/>
    <d v="2025-11-07T00:00:00"/>
    <n v="2079935.08"/>
    <m/>
    <n v="1948275.19"/>
    <n v="-6.33"/>
    <s v="Below"/>
    <s v="Nineteen Lakh Forty Eight Thousand Two Hundred Seventy Five Rupees and Nineteen Paise Only"/>
    <s v="Division"/>
    <m/>
    <n v="1948275.19"/>
    <s v="VANDEMATARAM CONSTRUCTION"/>
    <s v="(1) Batiya Vishalbhai Vinubhai_x000a_(2) Dhandhukiya Umeshbhai "/>
    <s v="At. Dihor, Tana Varal Road, Shak Market, Ta. Talaja, Dist. Bhavnagar-364150"/>
    <n v="9067752267"/>
    <m/>
    <m/>
    <m/>
    <m/>
    <m/>
    <n v="4"/>
    <n v="98000"/>
    <d v="2027-03-08T00:00:00"/>
    <n v="4900"/>
    <n v="0"/>
    <d v="2026-01-17T00:00:00"/>
    <d v="2027-01-07T00:00:00"/>
    <n v="1097"/>
    <d v="2025-08-08T00:00:00"/>
    <m/>
    <m/>
    <m/>
    <m/>
    <m/>
    <m/>
    <m/>
    <m/>
    <m/>
    <m/>
    <m/>
    <m/>
    <m/>
    <d v="2025-08-15T00:00:00"/>
    <m/>
    <m/>
    <m/>
    <m/>
    <m/>
    <m/>
    <m/>
    <m/>
    <m/>
  </r>
  <r>
    <n v="206"/>
    <m/>
    <s v="2025-26"/>
    <n v="8"/>
    <n v="100"/>
    <s v="Construction of Gram Panchayat office (Frame structure) at Village Mangela Taluka: Talaja Dist. Bhavnagar"/>
    <m/>
    <s v="Talaja"/>
    <x v="4"/>
    <s v="Building"/>
    <s v="Gram Panchayat"/>
    <n v="200178"/>
    <m/>
    <d v="2025-06-29T00:00:00"/>
    <d v="2025-07-10T00:00:00"/>
    <d v="2025-07-11T00:00:00"/>
    <d v="2025-11-07T00:00:00"/>
    <n v="2079935.08"/>
    <m/>
    <n v="1938915.48"/>
    <n v="-6.78"/>
    <s v="Below"/>
    <s v="Nineteen Lakh Thirty Eight Thousand Nine Hundred Fifteen Rupees and Forty Eight Paise Only"/>
    <s v="Division"/>
    <m/>
    <n v="1938915.48"/>
    <s v="CUBE INFA PROJECTS"/>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6"/>
    <d v="2025-08-08T00:00:00"/>
    <s v="2025-26"/>
    <n v="125"/>
    <d v="2025-08-30T00:00:00"/>
    <s v="FDR"/>
    <s v="ICICI BANK"/>
    <s v="771613001588"/>
    <n v="97000"/>
    <d v="2025-08-20T00:00:00"/>
    <m/>
    <m/>
    <m/>
    <m/>
    <m/>
    <d v="2025-08-30T00:00:00"/>
    <n v="1230"/>
    <d v="2025-08-30T00:00:00"/>
    <m/>
    <m/>
    <m/>
    <m/>
    <m/>
    <m/>
    <m/>
  </r>
  <r>
    <n v="207"/>
    <m/>
    <s v="2025-26"/>
    <n v="8"/>
    <n v="101"/>
    <s v="Construction of Gram Panchayat office (Frame structure) at Village Gadhesar Taluka:Talaja Dist. Bhavnagar"/>
    <m/>
    <s v="Talaja"/>
    <x v="4"/>
    <s v="Building"/>
    <s v="Gram Panchayat"/>
    <n v="200180"/>
    <m/>
    <d v="2025-06-29T00:00:00"/>
    <d v="2025-07-10T00:00:00"/>
    <d v="2025-07-11T00:00:00"/>
    <d v="2025-11-07T00:00:00"/>
    <n v="2079935.08"/>
    <m/>
    <n v="1938499.49"/>
    <n v="-6.8"/>
    <s v="Below"/>
    <s v="Nineteen Lakh Thirty Eight Thousand Four Hundred Ninety Nine Rupees and Forty Nine Paise Only"/>
    <s v="Division"/>
    <m/>
    <n v="1938499.49"/>
    <s v="CUBE INFA PROJECTS"/>
    <s v="KISHANKUMAR PATABHAI KALSARIYA"/>
    <s v="Survey No. 374 P/A 2-16, Office No. 2, Left side of Entry Gate of Balkrushna Campus, Gir Gadhada Road, At. Una, Taluka Una, Dist. Gir Somnath - 362560"/>
    <n v="9824251035"/>
    <m/>
    <s v="CDP-5"/>
    <m/>
    <m/>
    <m/>
    <m/>
    <n v="97000"/>
    <d v="2026-11-23T00:00:00"/>
    <n v="4800"/>
    <n v="0"/>
    <d v="2025-10-04T00:00:00"/>
    <d v="2026-09-24T00:00:00"/>
    <n v="1083"/>
    <d v="2025-08-07T00:00:00"/>
    <s v="2025-26"/>
    <n v="126"/>
    <d v="2025-08-30T00:00:00"/>
    <s v="FDR"/>
    <s v="ICICI BANK"/>
    <s v="771613001586"/>
    <n v="97000"/>
    <d v="2025-08-20T00:00:00"/>
    <m/>
    <m/>
    <m/>
    <m/>
    <m/>
    <d v="2025-08-30T00:00:00"/>
    <n v="1231"/>
    <d v="2025-08-30T00:00:00"/>
    <m/>
    <m/>
    <m/>
    <m/>
    <m/>
    <m/>
    <m/>
  </r>
  <r>
    <n v="208"/>
    <m/>
    <s v="2025-26"/>
    <n v="8"/>
    <n v="102"/>
    <s v="Construction of Gram Panchayat office (Frame structure) at Village Vavadi Taluka: Talaja Dist. Bhavnagar"/>
    <m/>
    <s v="Talaja"/>
    <x v="4"/>
    <s v="Building"/>
    <s v="Gram Panchayat"/>
    <n v="200181"/>
    <m/>
    <d v="2025-06-29T00:00:00"/>
    <d v="2025-07-10T00:00:00"/>
    <d v="2025-07-11T00:00:00"/>
    <d v="2025-11-07T00:00:00"/>
    <n v="2079935.08"/>
    <m/>
    <n v="1916036.2"/>
    <n v="-7.88"/>
    <s v="Below"/>
    <s v="Nineteen Lakh Sixteen Thousand Thirty Six Rupees and Two Paise Only"/>
    <s v="Division"/>
    <m/>
    <n v="1916036.2"/>
    <s v="SARVAIYA RAJENDRASINH BAHADURSINH"/>
    <n v="0"/>
    <s v="At Bordi, Post - Borda, Ta. Talaja, Dist. Bhavnagar - 364130"/>
    <n v="0"/>
    <m/>
    <s v="CDP-5"/>
    <m/>
    <m/>
    <m/>
    <n v="4"/>
    <n v="96000"/>
    <d v="2027-03-26T00:00:00"/>
    <n v="4800"/>
    <n v="0"/>
    <d v="2026-02-04T00:00:00"/>
    <d v="2027-01-25T00:00:00"/>
    <n v="1103"/>
    <d v="2025-08-08T00:00:00"/>
    <s v="2025-26"/>
    <n v="140"/>
    <d v="2025-09-02T00:00:00"/>
    <s v="FDR"/>
    <s v="Central Bank of India"/>
    <n v="5856183073"/>
    <n v="96000"/>
    <d v="2025-08-18T00:00:00"/>
    <m/>
    <m/>
    <m/>
    <m/>
    <m/>
    <d v="2025-09-02T00:00:00"/>
    <n v="1251"/>
    <d v="2025-09-02T00:00:00"/>
    <m/>
    <m/>
    <m/>
    <m/>
    <m/>
    <m/>
    <m/>
  </r>
  <r>
    <n v="209"/>
    <m/>
    <s v="2025-26"/>
    <n v="8"/>
    <n v="103"/>
    <s v="Construction of Gram Panchayat office (Frame structure) at Village Ghantarvala Taluka: Talaja Dist. Bhavnagar"/>
    <m/>
    <s v="Talaja"/>
    <x v="4"/>
    <s v="Building"/>
    <s v="Gram Panchayat"/>
    <n v="200182"/>
    <m/>
    <d v="2025-06-29T00:00:00"/>
    <d v="2025-07-10T00:00:00"/>
    <d v="2025-07-11T00:00:00"/>
    <d v="2025-11-07T00:00:00"/>
    <n v="2079935.08"/>
    <m/>
    <n v="1927059.85"/>
    <n v="-7.35"/>
    <s v="Below"/>
    <s v="Nineteen Lakh Twenty Seven Thousand Fifty Nine Rupees and Eighty Five Paise Only"/>
    <s v="Division"/>
    <m/>
    <n v="1927059.85"/>
    <s v="Parishram Construction"/>
    <n v="0"/>
    <s v="Plot No. 37, Street No. 5, Gautameshvar Nagar-2, Chitra, Bhavnagar - 364001"/>
    <n v="9427233858"/>
    <m/>
    <s v="CDP-5"/>
    <m/>
    <m/>
    <m/>
    <n v="4"/>
    <n v="97000"/>
    <d v="2027-03-26T00:00:00"/>
    <n v="4800"/>
    <n v="0"/>
    <d v="2026-02-04T00:00:00"/>
    <d v="2027-01-25T00:00:00"/>
    <n v="1102"/>
    <d v="2025-08-08T00:00:00"/>
    <s v="2025-26"/>
    <n v="137"/>
    <d v="2025-09-02T00:00:00"/>
    <s v="FDR"/>
    <s v="SAURASHTRA GRAMIN BANK"/>
    <n v="78049045980"/>
    <n v="97000"/>
    <d v="2025-08-22T00:00:00"/>
    <m/>
    <m/>
    <m/>
    <m/>
    <m/>
    <d v="2025-09-02T00:00:00"/>
    <n v="1248"/>
    <d v="2025-09-02T00:00:00"/>
    <m/>
    <m/>
    <m/>
    <m/>
    <m/>
    <m/>
    <m/>
  </r>
  <r>
    <n v="210"/>
    <m/>
    <s v="2025-26"/>
    <n v="8"/>
    <n v="104"/>
    <s v="Construction of Gram Panchayat office (Frame structure) at Village Bhadraval-1 Taluka: Talaja Dist. Bhavnagar"/>
    <m/>
    <s v="Talaja"/>
    <x v="4"/>
    <s v="Building"/>
    <s v="Gram Panchayat"/>
    <n v="200183"/>
    <m/>
    <d v="2025-06-29T00:00:00"/>
    <d v="2025-07-10T00:00:00"/>
    <d v="2025-07-11T00:00:00"/>
    <d v="2025-11-07T00:00:00"/>
    <n v="2079935.08"/>
    <m/>
    <n v="1927059.85"/>
    <n v="-7.35"/>
    <s v="Below"/>
    <s v="Nineteen Lakh Twenty Seven Thousand Fifty Nine Rupees and Eighty Five Paise Only"/>
    <s v="Division"/>
    <m/>
    <n v="1927059.85"/>
    <s v="Parishram Construction"/>
    <n v="0"/>
    <s v="Plot No. 37, Street No. 5, Gautameshvar Nagar-2, Chitra, Bhavnagar - 364001"/>
    <n v="9427233858"/>
    <m/>
    <s v="CDP-5"/>
    <m/>
    <m/>
    <m/>
    <n v="4"/>
    <n v="97000"/>
    <d v="2027-03-26T00:00:00"/>
    <n v="4800"/>
    <n v="0"/>
    <d v="2026-02-04T00:00:00"/>
    <d v="2027-01-25T00:00:00"/>
    <n v="1101"/>
    <d v="2025-08-08T00:00:00"/>
    <s v="2025-26"/>
    <n v="138"/>
    <d v="2025-09-02T00:00:00"/>
    <s v="FDR"/>
    <s v="SAURASHTRA GRAMIN BANK"/>
    <n v="78049046008"/>
    <n v="97000"/>
    <d v="2025-08-22T00:00:00"/>
    <m/>
    <m/>
    <m/>
    <m/>
    <m/>
    <d v="2025-09-02T00:00:00"/>
    <n v="1249"/>
    <d v="2025-09-02T00:00:00"/>
    <m/>
    <m/>
    <m/>
    <m/>
    <m/>
    <m/>
    <m/>
  </r>
  <r>
    <n v="211"/>
    <m/>
    <s v="2025-26"/>
    <n v="8"/>
    <n v="10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212"/>
    <m/>
    <s v="2025-26"/>
    <n v="8"/>
    <n v="106"/>
    <s v="Construction of Gram Panchayat office (Frame structure) at Village Ayavej-1 Tal. Jesar Dist. Bhavnagar"/>
    <m/>
    <s v="Jesar"/>
    <x v="1"/>
    <s v="Building"/>
    <s v="Gram Panchayat"/>
    <n v="200188"/>
    <m/>
    <d v="2025-06-29T00:00:00"/>
    <d v="2025-07-10T00:00:00"/>
    <d v="2025-07-11T00:00:00"/>
    <d v="2025-11-07T00:00:00"/>
    <n v="2079935.08"/>
    <m/>
    <n v="1895028.85"/>
    <n v="-8.89"/>
    <s v="Below"/>
    <s v="Eighteen Lakh Ninety Five Thousand Twenty Eight Rupees and Eighty Five Paise Only"/>
    <s v="Division"/>
    <m/>
    <n v="1895028.85"/>
    <s v="Shri Siddhi Vinayak Construction"/>
    <s v="Labhshankar ladhva"/>
    <s v="At Po. Karmadiya, Via Thaliya, Ta. Mahuva, Dist. Bhavnagar - 364145"/>
    <n v="9825445121"/>
    <m/>
    <s v="CDP-5"/>
    <m/>
    <m/>
    <m/>
    <n v="4"/>
    <n v="95000"/>
    <d v="2027-03-25T00:00:00"/>
    <n v="4700"/>
    <n v="0"/>
    <d v="2026-02-03T00:00:00"/>
    <d v="2027-01-24T00:00:00"/>
    <n v="1091"/>
    <d v="2025-08-08T00:00:00"/>
    <m/>
    <m/>
    <m/>
    <m/>
    <m/>
    <m/>
    <m/>
    <d v="2025-08-18T00:00:00"/>
    <m/>
    <m/>
    <m/>
    <m/>
    <m/>
    <d v="2025-09-01T00:00:00"/>
    <m/>
    <m/>
    <m/>
    <m/>
    <m/>
    <m/>
    <m/>
    <m/>
    <m/>
  </r>
  <r>
    <n v="213"/>
    <m/>
    <s v="2025-26"/>
    <n v="8"/>
    <n v="107"/>
    <s v="Construction of Gram Panchayat office (Frame structure) at Village Datretiya Taluka: Vallabhipur Dist. Bhavnagar"/>
    <m/>
    <s v="Vallabhipur"/>
    <x v="0"/>
    <s v="Building"/>
    <s v="Gram Panchayat"/>
    <n v="200189"/>
    <m/>
    <d v="2025-06-29T00:00:00"/>
    <d v="2025-07-10T00:00:00"/>
    <d v="2025-07-11T00:00:00"/>
    <d v="2025-11-07T00:00:00"/>
    <n v="2079935.08"/>
    <m/>
    <n v="1806839.6"/>
    <n v="-13.13"/>
    <s v="Below"/>
    <s v="Eighteen Lakh Six Thousand Eight Hundred Thirty Nine Rupees and Six Paise Only"/>
    <s v="Division"/>
    <m/>
    <n v="1806839.6"/>
    <s v="EAGLE CONSTRUCTION"/>
    <s v="Pandya Dhairya Bhanushankar"/>
    <s v="At Block No. 296, Street No. 11, Rayjinagar Society, Motibaug Road, Junagadh, Dist. Junagadh"/>
    <n v="7405745505"/>
    <m/>
    <s v="CDP-5"/>
    <m/>
    <m/>
    <m/>
    <n v="4"/>
    <n v="91000"/>
    <d v="2027-03-25T00:00:00"/>
    <n v="5200"/>
    <n v="14000"/>
    <d v="2026-02-03T00:00:00"/>
    <d v="2027-01-24T00:00:00"/>
    <n v="1082"/>
    <d v="2025-08-07T00:00:00"/>
    <s v="2025-26"/>
    <n v="132"/>
    <d v="2025-09-01T00:00:00"/>
    <s v="FDR"/>
    <s v="INDIAN BANK"/>
    <n v="81157135161"/>
    <n v="91000"/>
    <d v="2025-08-25T00:00:00"/>
    <s v="FDR"/>
    <s v="INDIAN BANK"/>
    <n v="8115723852"/>
    <n v="14000"/>
    <d v="2025-08-25T00:00:00"/>
    <d v="2025-09-01T00:00:00"/>
    <n v="1242"/>
    <d v="2025-09-01T00:00:00"/>
    <m/>
    <m/>
    <m/>
    <m/>
    <m/>
    <m/>
    <m/>
  </r>
  <r>
    <n v="214"/>
    <m/>
    <s v="2025-26"/>
    <n v="8"/>
    <n v="108"/>
    <s v="Construction of Gram Panchayat office (Frame structure) at Village Kalyanpur Taluka:Vallabhipur Dist. Bhavnagar"/>
    <m/>
    <s v="Vallabhipur"/>
    <x v="0"/>
    <s v="Building"/>
    <s v="Gram Panchayat"/>
    <n v="200191"/>
    <m/>
    <d v="2025-06-29T00:00:00"/>
    <d v="2025-07-10T00:00:00"/>
    <d v="2025-07-11T00:00:00"/>
    <d v="2025-11-07T00:00:00"/>
    <n v="2079935.08"/>
    <m/>
    <n v="1808919.54"/>
    <n v="-13.03"/>
    <s v="Below"/>
    <s v="Eighteen Lakh Eight Thousand Nine Hundred Nineteen Rupees and Fifty Four Paise Only"/>
    <s v="Division"/>
    <m/>
    <n v="1808919.54"/>
    <s v="EAGLE CONSTRUCTION"/>
    <s v="Pandya Dhairya Bhanushankar"/>
    <s v="At Block No. 296, Street No. 11, Rayjinagar Society, Motibaug Road, Junagadh, Dist. Junagadh"/>
    <n v="7405745505"/>
    <m/>
    <s v="CDP-5"/>
    <m/>
    <m/>
    <m/>
    <n v="4"/>
    <n v="91000"/>
    <d v="2027-03-25T00:00:00"/>
    <n v="5100"/>
    <n v="13000"/>
    <d v="2026-02-03T00:00:00"/>
    <d v="2027-01-24T00:00:00"/>
    <n v="1109"/>
    <d v="2025-08-08T00:00:00"/>
    <s v="2025-26"/>
    <n v="133"/>
    <d v="2025-09-01T00:00:00"/>
    <s v="FDR"/>
    <s v="INDIAN BANK"/>
    <n v="8115717464"/>
    <n v="91000"/>
    <d v="2025-08-25T00:00:00"/>
    <s v="FDR"/>
    <s v="INDIAN BANK"/>
    <n v="8115724641"/>
    <n v="13000"/>
    <d v="2025-08-25T00:00:00"/>
    <d v="2025-09-01T00:00:00"/>
    <n v="1243"/>
    <d v="2025-09-01T00:00:00"/>
    <m/>
    <m/>
    <m/>
    <m/>
    <m/>
    <m/>
    <m/>
  </r>
  <r>
    <n v="215"/>
    <m/>
    <s v="2025-26"/>
    <n v="8"/>
    <n v="109"/>
    <s v="Construction of Gram Panchayat office (Frame structure) at Village Meghavadar Taluka: Vallbhipur Dist. Bhavnagar"/>
    <m/>
    <s v="Vallabhipur"/>
    <x v="0"/>
    <s v="Building"/>
    <s v="Gram Panchayat"/>
    <n v="200193"/>
    <m/>
    <d v="2025-06-29T00:00:00"/>
    <d v="2025-07-10T00:00:00"/>
    <d v="2025-07-11T00:00:00"/>
    <d v="2025-11-07T00:00:00"/>
    <n v="2079935.08"/>
    <m/>
    <n v="1809543.52"/>
    <n v="-13"/>
    <s v="Below"/>
    <s v="Eighteen Lakh Nine Thousand Five Hundred Forty Three Rupees and Fifty Two Paise Only"/>
    <s v="Division"/>
    <m/>
    <n v="1809543.52"/>
    <s v="EAGLE CONSTRUCTION"/>
    <s v="Pandya Dhairya Bhanushankar"/>
    <s v="At Block No. 296, Street No. 11, Rayjinagar Society, Motibaug Road, Junagadh, Dist. Junagadh"/>
    <n v="7405745505"/>
    <m/>
    <s v="CDP-5"/>
    <m/>
    <m/>
    <m/>
    <n v="4"/>
    <n v="91000"/>
    <d v="2027-03-25T00:00:00"/>
    <n v="5100"/>
    <n v="13000"/>
    <d v="2026-02-03T00:00:00"/>
    <d v="2027-01-24T00:00:00"/>
    <n v="1081"/>
    <d v="2025-08-07T00:00:00"/>
    <s v="2025-26"/>
    <n v="134"/>
    <d v="2025-09-01T00:00:00"/>
    <s v="FDR"/>
    <s v="INDIAN BANK"/>
    <n v="8115717689"/>
    <n v="91000"/>
    <d v="2025-08-25T00:00:00"/>
    <s v="FDR"/>
    <s v="INDIAN BANK"/>
    <n v="8115724562"/>
    <n v="13000"/>
    <d v="2025-08-25T00:00:00"/>
    <d v="2025-09-01T00:00:00"/>
    <n v="1244"/>
    <d v="2025-09-01T00:00:00"/>
    <m/>
    <m/>
    <m/>
    <m/>
    <m/>
    <m/>
    <m/>
  </r>
  <r>
    <n v="216"/>
    <m/>
    <s v="2025-26"/>
    <n v="8"/>
    <n v="110"/>
    <s v="Construction of Gram Panchayat office (Frame structure) at Village Pipariya Taluka:Vallabhipur Dist. Bhavnagar"/>
    <m/>
    <s v="Vallabhipur"/>
    <x v="0"/>
    <s v="Building"/>
    <s v="Gram Panchayat"/>
    <n v="200194"/>
    <m/>
    <d v="2025-06-29T00:00:00"/>
    <d v="2025-07-10T00:00:00"/>
    <d v="2025-07-11T00:00:00"/>
    <d v="2025-11-07T00:00:00"/>
    <n v="2079935.08"/>
    <m/>
    <n v="1827846.95"/>
    <n v="-12.12"/>
    <s v="Below"/>
    <s v="Eighteen Lakh Twenty Seven Thousand Eight Hundred Forty Six Rupees and Ninety Five Paise Only"/>
    <s v="Division"/>
    <m/>
    <n v="1827846.95"/>
    <s v="EAGLE CONSTRUCTION"/>
    <s v="Pandya Dhairya Bhanushankar"/>
    <s v="At Block No. 296, Street No. 11, Rayjinagar Society, Motibaug Road, Junagadh, Dist. Junagadh"/>
    <n v="7405745505"/>
    <m/>
    <s v="CDP-5"/>
    <m/>
    <m/>
    <m/>
    <n v="4"/>
    <n v="92000"/>
    <d v="2027-03-25T00:00:00"/>
    <n v="5000"/>
    <n v="9000"/>
    <d v="2026-02-03T00:00:00"/>
    <d v="2027-01-24T00:00:00"/>
    <n v="1084"/>
    <d v="2025-08-07T00:00:00"/>
    <s v="2025-26"/>
    <n v="135"/>
    <d v="2025-09-01T00:00:00"/>
    <s v="FDR"/>
    <s v="INDIAN BANK"/>
    <n v="8115717747"/>
    <n v="92000"/>
    <d v="2025-08-25T00:00:00"/>
    <s v="FDR"/>
    <s v="INDIAN BANK"/>
    <n v="8115723976"/>
    <n v="9000"/>
    <d v="2025-08-25T00:00:00"/>
    <d v="2025-09-01T00:00:00"/>
    <n v="1245"/>
    <d v="2025-09-01T00:00:00"/>
    <m/>
    <m/>
    <m/>
    <m/>
    <m/>
    <m/>
    <m/>
  </r>
  <r>
    <n v="217"/>
    <m/>
    <s v="2025-26"/>
    <n v="8"/>
    <n v="111"/>
    <s v="Construction of Gram Panchayat office (Frame structure) at Village Chada Taluka: Vallabhipur Dist. Bhavnagar"/>
    <m/>
    <s v="Vallabhipur"/>
    <x v="0"/>
    <s v="Building"/>
    <s v="Gram Panchayat"/>
    <n v="200196"/>
    <n v="1"/>
    <d v="2025-06-29T00:00:00"/>
    <d v="2025-07-10T00:00:00"/>
    <d v="2025-07-11T00:00:00"/>
    <d v="2025-11-07T00:00:00"/>
    <n v="2079935.08"/>
    <m/>
    <n v="1848854.29"/>
    <n v="-11.11"/>
    <s v="Below"/>
    <s v="Eighteen Lakh Forty Eight Thousand Eight Hundred Fifty Four Rupees and Twenty Nine Paise Only"/>
    <s v="Division"/>
    <m/>
    <n v="1848854.29"/>
    <s v="EAGLE CONSTRUCTION"/>
    <s v="Pandya Dhairya Bhanushankar"/>
    <s v="At Block No. 296, Street No. 11, Rayjinagar Society, Motibaug Road, Junagadh, Dist. Junagadh"/>
    <n v="7405745505"/>
    <m/>
    <s v="CDP-5"/>
    <m/>
    <m/>
    <m/>
    <n v="4"/>
    <n v="93000"/>
    <d v="2027-03-25T00:00:00"/>
    <n v="4900"/>
    <n v="5000"/>
    <d v="2026-02-03T00:00:00"/>
    <d v="2027-01-24T00:00:00"/>
    <n v="1086"/>
    <d v="2025-08-07T00:00:00"/>
    <s v="2025-26"/>
    <n v="136"/>
    <d v="2025-09-01T00:00:00"/>
    <s v="FDR"/>
    <s v="INDIAN BANK"/>
    <n v="8115718242"/>
    <n v="93000"/>
    <d v="2025-08-25T00:00:00"/>
    <s v="FDR"/>
    <s v="INDIAN BANK"/>
    <n v="8115724028"/>
    <n v="5000"/>
    <d v="2025-08-25T00:00:00"/>
    <d v="2025-09-01T00:00:00"/>
    <n v="1246"/>
    <d v="2025-09-01T00:00:00"/>
    <m/>
    <m/>
    <m/>
    <m/>
    <m/>
    <m/>
    <m/>
  </r>
  <r>
    <n v="218"/>
    <m/>
    <s v="2025-26"/>
    <n v="8"/>
    <n v="112"/>
    <s v="Construction of Gram Panchayat office ( for Population from 5000- 10000) at Village Boradi Tal. Mahuva Dist. Bhavnagar"/>
    <m/>
    <s v="Mahuva"/>
    <x v="1"/>
    <s v="Building"/>
    <s v="Gram Panchayat"/>
    <n v="200221"/>
    <n v="1"/>
    <d v="2025-06-29T00:00:00"/>
    <d v="2025-07-10T00:00:00"/>
    <d v="2025-07-11T00:00:00"/>
    <d v="2025-11-07T00:00:00"/>
    <n v="2880130.57"/>
    <m/>
    <n v="2880130.57"/>
    <n v="0"/>
    <s v="Equals"/>
    <s v="Twenty Eight Lakh Eighty Thousand One Hundred Thirty Rupees and Fifty Seven Paise Only"/>
    <s v="Division"/>
    <m/>
    <n v="2880130.57"/>
    <s v="kalubhai bholabhai ladumor"/>
    <n v="0"/>
    <s v="At Village Chardika, Ta. Mahuva, Dist. Bhavnagar - "/>
    <n v="9537101694"/>
    <m/>
    <s v="DMF"/>
    <m/>
    <m/>
    <m/>
    <n v="4"/>
    <n v="145000"/>
    <d v="2027-04-24T00:00:00"/>
    <n v="7200"/>
    <n v="0"/>
    <d v="2026-03-05T00:00:00"/>
    <d v="2027-02-23T00:00:00"/>
    <n v="1264"/>
    <d v="2025-09-04T00:00:00"/>
    <s v="2025-26"/>
    <n v="170"/>
    <d v="2025-10-01T00:00:00"/>
    <s v="FDR"/>
    <s v="State Bank of India"/>
    <n v="44485205124"/>
    <n v="145000"/>
    <d v="2025-09-19T00:00:00"/>
    <m/>
    <m/>
    <m/>
    <m/>
    <m/>
    <d v="2025-10-01T00:00:00"/>
    <n v="1411"/>
    <d v="2025-10-01T00:00:00"/>
    <m/>
    <m/>
    <m/>
    <m/>
    <m/>
    <m/>
    <m/>
  </r>
  <r>
    <n v="219"/>
    <m/>
    <s v="2025-26"/>
    <n v="8"/>
    <n v="113"/>
    <s v="Construction of Gram Panchayat office ( for Population from 5000- 10000) at Village Uncha Kotda Tal. Mahuva Dist. Bhavnagar"/>
    <m/>
    <s v="Mahuva"/>
    <x v="1"/>
    <s v="Building"/>
    <s v="Gram Panchayat"/>
    <n v="200222"/>
    <m/>
    <d v="2025-06-29T00:00:00"/>
    <d v="2025-07-10T00:00:00"/>
    <d v="2025-07-11T00:00:00"/>
    <d v="2025-11-07T00:00:00"/>
    <n v="2880130.57"/>
    <m/>
    <n v="2785662.29"/>
    <n v="-3.28"/>
    <s v="Below"/>
    <s v="Twenty Seven Lakh Eighty Five Thousand Six Hundred Sixty Two Rupees and Twenty Nine Paise Only"/>
    <s v="Division"/>
    <m/>
    <n v="2785662.29"/>
    <s v="SURYADEEP SUPPLIERS"/>
    <s v="Pratapbhai Lakhubhai Beparia"/>
    <s v="At Lothpur, Ta. Jafarabad, Dist. Amreli - 365540"/>
    <n v="9727987777"/>
    <m/>
    <s v="DMF"/>
    <m/>
    <m/>
    <m/>
    <n v="4"/>
    <n v="140000"/>
    <d v="2027-04-04T00:00:00"/>
    <n v="6900"/>
    <n v="0"/>
    <d v="2026-02-13T00:00:00"/>
    <d v="2027-02-03T00:00:00"/>
    <n v="1105"/>
    <d v="2025-08-08T00:00:00"/>
    <s v="2025-26"/>
    <n v="153"/>
    <d v="2025-09-11T00:00:00"/>
    <s v="FDR"/>
    <s v="ICICI BANK"/>
    <s v="162313004877"/>
    <n v="140000"/>
    <d v="2025-08-20T00:00:00"/>
    <m/>
    <m/>
    <m/>
    <m/>
    <m/>
    <d v="2025-09-11T00:00:00"/>
    <n v="1298"/>
    <d v="2025-09-11T00:00:00"/>
    <m/>
    <m/>
    <m/>
    <m/>
    <m/>
    <m/>
    <m/>
  </r>
  <r>
    <n v="220"/>
    <m/>
    <s v="2025-26"/>
    <n v="8"/>
    <n v="114"/>
    <s v="Construction of Primary School Room at Navajaliya Ta:Shihor Dist:Bhavnagar"/>
    <m/>
    <s v="Shihor"/>
    <x v="5"/>
    <s v="Building"/>
    <s v="School Room"/>
    <n v="200223"/>
    <n v="1"/>
    <d v="2025-06-29T00:00:00"/>
    <d v="2025-07-10T00:00:00"/>
    <d v="2025-07-11T00:00:00"/>
    <d v="2025-11-07T00:00:00"/>
    <n v="1634615.63"/>
    <m/>
    <n v="1547490.62"/>
    <n v="-5.33"/>
    <s v="Below"/>
    <s v="Fifteen Lakh Forty Seven Thousand Four Hundred Ninety Rupees and Sixty Two Paise Only"/>
    <s v="Division"/>
    <m/>
    <n v="1547490.62"/>
    <s v="Vivek Construction"/>
    <n v="0"/>
    <s v="467, RAMAPIRDHAR, DIHOR, TALAJA, DIST.  BHAVNAGAR -364150"/>
    <n v="9825755273"/>
    <m/>
    <m/>
    <m/>
    <m/>
    <m/>
    <n v="4"/>
    <n v="78000"/>
    <d v="2027-03-11T00:00:00"/>
    <n v="3900"/>
    <n v="0"/>
    <d v="2026-01-20T00:00:00"/>
    <d v="2027-01-10T00:00:00"/>
    <n v="1004"/>
    <d v="2025-07-23T00:00:00"/>
    <s v="2025-26"/>
    <n v="85"/>
    <d v="2025-08-18T00:00:00"/>
    <s v="FDR"/>
    <s v="State Bank of India"/>
    <n v="44347721147"/>
    <n v="78000"/>
    <d v="2025-08-05T00:00:00"/>
    <m/>
    <m/>
    <m/>
    <m/>
    <m/>
    <d v="2025-08-18T00:00:00"/>
    <n v="1164"/>
    <d v="2025-08-18T00:00:00"/>
    <m/>
    <m/>
    <m/>
    <m/>
    <m/>
    <m/>
    <m/>
  </r>
  <r>
    <n v="221"/>
    <m/>
    <s v="2025-26"/>
    <n v="8"/>
    <n v="115"/>
    <s v="Construction of Primary School Room at Khambha Ta:Shihor Dist:Bhavnagar"/>
    <m/>
    <s v="Shihor"/>
    <x v="5"/>
    <s v="Building"/>
    <s v="School Room"/>
    <n v="200224"/>
    <n v="1"/>
    <d v="2025-06-29T00:00:00"/>
    <d v="2025-07-10T00:00:00"/>
    <d v="2025-07-11T00:00:00"/>
    <d v="2025-11-07T00:00:00"/>
    <n v="1634615.63"/>
    <m/>
    <n v="1471317.53"/>
    <n v="-9.99"/>
    <s v="Below"/>
    <s v="Fourteen Lakh Seventy One Thousand Three Hundred Seventeen Rupees and Fifty Three Paise Only"/>
    <s v="Division"/>
    <m/>
    <n v="1471317.53"/>
    <s v="UDAYBHAI R. LUNSAR"/>
    <s v="UDAYBHAI RAMKUBHAI LUNSAR"/>
    <s v="Shop No. 5, First Floor, Nilkanth Arcade, Opp. Arjun Tokiz, Palitana Road, Gariyadhar- 364505"/>
    <n v="9824226646"/>
    <m/>
    <s v="MP Grant - Shri Masukhbhai Mandaviya Fund - 2023-24"/>
    <m/>
    <m/>
    <m/>
    <n v="4"/>
    <n v="74000"/>
    <d v="2027-03-25T00:00:00"/>
    <n v="3700"/>
    <n v="0"/>
    <d v="2026-02-03T00:00:00"/>
    <d v="2027-01-24T00:00:00"/>
    <n v="1005"/>
    <d v="2025-07-23T00:00:00"/>
    <s v="2025-26"/>
    <n v="130"/>
    <d v="2025-09-01T00:00:00"/>
    <s v="FDR"/>
    <s v="State Bank of India"/>
    <n v="44407093384"/>
    <n v="74000"/>
    <d v="2025-08-26T00:00:00"/>
    <m/>
    <m/>
    <m/>
    <m/>
    <m/>
    <d v="2025-09-01T00:00:00"/>
    <n v="1237"/>
    <d v="2025-09-01T00:00:00"/>
    <m/>
    <m/>
    <m/>
    <m/>
    <m/>
    <m/>
    <m/>
  </r>
  <r>
    <n v="222"/>
    <m/>
    <s v="2025-26"/>
    <n v="8"/>
    <n v="116"/>
    <s v="Construction of Primary School Room at Khambha Plot Ta:Shihor Dist:Bhavnagar"/>
    <m/>
    <s v="Shihor"/>
    <x v="5"/>
    <s v="Building"/>
    <s v="School Room"/>
    <n v="200225"/>
    <n v="1"/>
    <d v="2025-06-29T00:00:00"/>
    <d v="2025-07-10T00:00:00"/>
    <d v="2025-07-11T00:00:00"/>
    <d v="2025-11-07T00:00:00"/>
    <n v="1634615.63"/>
    <m/>
    <n v="1487663.68"/>
    <n v="-8.99"/>
    <s v="Below"/>
    <s v="Fourteen Lakh Eighty Seven Thousand Six Hundred Sixty Three Rupees and Sixty Eight Paise Only"/>
    <s v="Division"/>
    <m/>
    <n v="1487663.68"/>
    <s v="UDAYBHAI R. LUNSAR"/>
    <s v="UDAYBHAI RAMKUBHAI LUNSAR"/>
    <s v="Shop No. 5, First Floor, Nilkanth Arcade, Opp. Arjun Tokiz, Palitana Road, Gariyadhar- 364505"/>
    <n v="9824226646"/>
    <m/>
    <s v="MP Grant - Shri Masukhbhai Mandaviya Fund - 2023-24"/>
    <m/>
    <m/>
    <m/>
    <n v="4"/>
    <n v="75000"/>
    <d v="2027-04-24T00:00:00"/>
    <n v="3700"/>
    <n v="0"/>
    <d v="2026-03-05T00:00:00"/>
    <d v="2027-02-23T00:00:00"/>
    <n v="1006"/>
    <d v="2025-07-23T00:00:00"/>
    <s v="2025-26"/>
    <n v="158"/>
    <d v="2025-09-11T00:00:00"/>
    <s v="FDR"/>
    <s v="State Bank of India"/>
    <n v="44407033363"/>
    <n v="75000"/>
    <d v="2025-08-30T00:00:00"/>
    <m/>
    <m/>
    <m/>
    <m/>
    <m/>
    <d v="2025-10-01T00:00:00"/>
    <n v="1401"/>
    <d v="2025-10-01T00:00:00"/>
    <m/>
    <m/>
    <m/>
    <m/>
    <m/>
    <m/>
    <m/>
  </r>
  <r>
    <n v="223"/>
    <m/>
    <s v="2025-26"/>
    <n v="8"/>
    <n v="117"/>
    <s v="Construction of Primary School Room at Juna Loinchada Ta. Palitana Dist:Bhavnagar"/>
    <m/>
    <s v="Palitana"/>
    <x v="3"/>
    <s v="Building"/>
    <s v="School Room"/>
    <n v="200227"/>
    <n v="1"/>
    <d v="2025-06-29T00:00:00"/>
    <d v="2025-07-10T00:00:00"/>
    <d v="2025-07-11T00:00:00"/>
    <d v="2025-11-07T00:00:00"/>
    <n v="1634615.63"/>
    <m/>
    <n v="1514798.3"/>
    <n v="-7.33"/>
    <s v="Below"/>
    <s v="Fifteen Lakh Fourteen Thousand Seven Hundred Ninety Eight Rupees and Three Paise Only"/>
    <s v="Division"/>
    <m/>
    <n v="1514798.3"/>
    <s v="Aarti Construction"/>
    <n v="0"/>
    <s v="Shetrunji Dam, Nani Paniyali, Palitana, Bhavnagar-364270"/>
    <n v="8140303377"/>
    <m/>
    <s v="MP Grant - Shri Masukhbhai Mandaviya Fund - 2023-24"/>
    <m/>
    <m/>
    <m/>
    <n v="4"/>
    <n v="76000"/>
    <d v="2027-03-19T00:00:00"/>
    <n v="3800"/>
    <n v="0"/>
    <d v="2026-01-28T00:00:00"/>
    <d v="2027-01-18T00:00:00"/>
    <n v="1007"/>
    <d v="2025-07-23T00:00:00"/>
    <s v="2025-26"/>
    <n v="105"/>
    <d v="2025-08-26T00:00:00"/>
    <s v="FDR"/>
    <s v="SAURASHTRA GRAMIN BANK"/>
    <n v="78049077886"/>
    <n v="76000"/>
    <d v="2025-08-25T00:00:00"/>
    <m/>
    <m/>
    <m/>
    <m/>
    <m/>
    <d v="2025-08-26T00:00:00"/>
    <n v="1195"/>
    <d v="2025-08-26T00:00:00"/>
    <m/>
    <m/>
    <m/>
    <m/>
    <m/>
    <m/>
    <m/>
  </r>
  <r>
    <n v="224"/>
    <m/>
    <s v="2025-26"/>
    <n v="8"/>
    <n v="118"/>
    <s v="Construction of Primary School Room at Navagam Ta.Palitana Dist:Bhavnagar"/>
    <m/>
    <s v="Palitana"/>
    <x v="3"/>
    <s v="Building"/>
    <s v="School Room"/>
    <n v="200229"/>
    <n v="1"/>
    <d v="2025-06-29T00:00:00"/>
    <d v="2025-07-10T00:00:00"/>
    <d v="2025-07-11T00:00:00"/>
    <d v="2025-11-07T00:00:00"/>
    <n v="1634615.63"/>
    <m/>
    <n v="1499432.92"/>
    <n v="-8.27"/>
    <s v="Below"/>
    <s v="Fourteen Lakh Ninety Nine Thousand Four Hundred Thirty Two Rupees and Ninety Two Paise Only"/>
    <s v="Division"/>
    <m/>
    <n v="1499432.92"/>
    <s v="Jaysukhbhai Dhirubhai Sardhara"/>
    <n v="0"/>
    <s v="Fulwadi Faliya, Uchchhal-2, Tal. Uchchhal, Dist. Tapi- 394375"/>
    <n v="9016414291"/>
    <m/>
    <s v="MP Grant - Shri Masukhbhai Mandaviya Fund - 2023-24"/>
    <m/>
    <m/>
    <m/>
    <n v="4"/>
    <n v="75000"/>
    <d v="2027-03-18T00:00:00"/>
    <n v="3700"/>
    <n v="0"/>
    <d v="2026-01-27T00:00:00"/>
    <d v="2027-01-17T00:00:00"/>
    <n v="1008"/>
    <d v="2025-07-23T00:00:00"/>
    <s v="2025-26"/>
    <n v="103"/>
    <d v="2025-08-25T00:00:00"/>
    <s v="FDR"/>
    <s v="State Bank of India"/>
    <n v="44393877928"/>
    <n v="75000"/>
    <d v="2025-08-21T00:00:00"/>
    <m/>
    <m/>
    <m/>
    <m/>
    <m/>
    <d v="2025-08-25T00:00:00"/>
    <n v="1188"/>
    <d v="2025-08-25T00:00:00"/>
    <m/>
    <m/>
    <m/>
    <m/>
    <m/>
    <m/>
    <m/>
  </r>
  <r>
    <n v="225"/>
    <m/>
    <s v="2025-26"/>
    <n v="8"/>
    <n v="119"/>
    <s v="Construction of Primary School Room at Anida (Kumbhan) Ta. Palitana Dist:Bhavnagar"/>
    <m/>
    <s v="Palitana"/>
    <x v="3"/>
    <s v="Building"/>
    <s v="School Room"/>
    <n v="200231"/>
    <n v="1"/>
    <d v="2025-06-29T00:00:00"/>
    <d v="2025-07-10T00:00:00"/>
    <d v="2025-07-11T00:00:00"/>
    <d v="2025-11-07T00:00:00"/>
    <n v="1634615.63"/>
    <m/>
    <n v="1499432.92"/>
    <n v="-8.27"/>
    <s v="Below"/>
    <s v="Fourteen Lakh Ninety Nine Thousand Four Hundred Thirty Two Rupees and Ninety Two Paise Only"/>
    <s v="Division"/>
    <m/>
    <n v="1499432.92"/>
    <s v="Jaysukhbhai Dhirubhai Sardhara"/>
    <n v="0"/>
    <s v="Fulwadi Faliya, Uchchhal-2, Tal. Uchchhal, Dist. Tapi- 394375"/>
    <n v="9016414291"/>
    <m/>
    <s v="MP Grant - Shri Masukhbhai Mandaviya Fund - 2023-24"/>
    <m/>
    <m/>
    <m/>
    <n v="4"/>
    <n v="75000"/>
    <d v="2027-03-18T00:00:00"/>
    <n v="3700"/>
    <n v="0"/>
    <d v="2026-01-27T00:00:00"/>
    <d v="2027-01-17T00:00:00"/>
    <n v="1009"/>
    <d v="2025-07-23T00:00:00"/>
    <s v="2025-26"/>
    <n v="104"/>
    <d v="2025-08-25T00:00:00"/>
    <s v="FDR"/>
    <s v="State Bank of India"/>
    <n v="44393950207"/>
    <n v="75000"/>
    <d v="2025-08-21T00:00:00"/>
    <m/>
    <m/>
    <m/>
    <m/>
    <m/>
    <d v="2025-08-25T00:00:00"/>
    <n v="1189"/>
    <d v="2025-08-25T00:00:00"/>
    <m/>
    <m/>
    <m/>
    <m/>
    <m/>
    <m/>
    <m/>
  </r>
  <r>
    <n v="226"/>
    <m/>
    <s v="2025-26"/>
    <n v="8"/>
    <n v="120"/>
    <s v="Construction of Primary School Room at Luvarvav Ta. Palitana Dist:Bhavnagar"/>
    <m/>
    <s v="Palitana"/>
    <x v="3"/>
    <s v="Building"/>
    <s v="School Room"/>
    <n v="200322"/>
    <n v="1"/>
    <d v="2025-06-29T00:00:00"/>
    <d v="2025-07-10T00:00:00"/>
    <d v="2025-07-11T00:00:00"/>
    <d v="2025-11-07T00:00:00"/>
    <n v="806983.54"/>
    <m/>
    <n v="731691.98"/>
    <n v="-9.33"/>
    <s v="Below"/>
    <s v="Seven Lakh Thirty One Thousand Six Hundred Ninety One Rupees and Ninety Eight Paise Only"/>
    <s v="Division"/>
    <m/>
    <n v="731691.98"/>
    <s v="Aarti Construction"/>
    <n v="0"/>
    <s v="Shetrunji Dam, Nani Paniyali, Palitana, Bhavnagar-364270"/>
    <n v="8140303377"/>
    <m/>
    <s v="MP Grant - Shri Masukhbhai Mandaviya Fund - 2023-24"/>
    <m/>
    <m/>
    <m/>
    <n v="3"/>
    <n v="37000"/>
    <d v="2027-02-17T00:00:00"/>
    <n v="1900"/>
    <n v="0"/>
    <d v="2025-12-29T00:00:00"/>
    <d v="2026-12-19T00:00:00"/>
    <n v="1010"/>
    <d v="2025-07-23T00:00:00"/>
    <s v="2025-26"/>
    <n v="106"/>
    <d v="2025-08-26T00:00:00"/>
    <s v="FDR"/>
    <s v="SAURASHTRA GRAMIN BANK"/>
    <n v="78049077842"/>
    <n v="37000"/>
    <d v="2025-08-25T00:00:00"/>
    <m/>
    <m/>
    <m/>
    <m/>
    <m/>
    <d v="2025-08-26T00:00:00"/>
    <n v="1196"/>
    <d v="2025-08-26T00:00:00"/>
    <m/>
    <m/>
    <m/>
    <m/>
    <m/>
    <m/>
    <m/>
  </r>
  <r>
    <n v="227"/>
    <m/>
    <s v="2025-26"/>
    <n v="8"/>
    <n v="121"/>
    <s v="Construction of Primary School Room at Jaliya (Anko) Ta. Palitana Dist:Bhavnagar"/>
    <m/>
    <s v="Palitana"/>
    <x v="3"/>
    <s v="Building"/>
    <s v="School Room"/>
    <n v="200341"/>
    <n v="1"/>
    <d v="2025-06-29T00:00:00"/>
    <d v="2025-07-10T00:00:00"/>
    <d v="2025-07-11T00:00:00"/>
    <d v="2025-11-07T00:00:00"/>
    <n v="806983.54"/>
    <m/>
    <n v="747831.65"/>
    <n v="-7.33"/>
    <s v="Below"/>
    <s v="Seven Lakh Forty Seven Thousand Eight Hundred Thirty One Rupees and Sixty Five Paise Only"/>
    <s v="Division"/>
    <m/>
    <n v="747831.65"/>
    <s v="Aarti Construction"/>
    <n v="0"/>
    <s v="Shetrunji Dam, Nani Paniyali, Palitana, Bhavnagar-364270"/>
    <n v="8140303377"/>
    <m/>
    <s v="MP Grant - Shri Masukhbhai Mandaviya Fund - 2023-24"/>
    <m/>
    <m/>
    <m/>
    <n v="3"/>
    <n v="38000"/>
    <d v="2027-02-17T00:00:00"/>
    <n v="1900"/>
    <n v="0"/>
    <d v="2025-12-29T00:00:00"/>
    <d v="2026-12-19T00:00:00"/>
    <n v="1011"/>
    <d v="2025-07-23T00:00:00"/>
    <s v="2025-26"/>
    <n v="107"/>
    <d v="2025-08-26T00:00:00"/>
    <s v="FDR"/>
    <s v="SAURASHTRA GRAMIN BANK"/>
    <n v="78049077922"/>
    <n v="38000"/>
    <d v="2025-08-25T00:00:00"/>
    <m/>
    <m/>
    <m/>
    <m/>
    <m/>
    <d v="2025-08-26T00:00:00"/>
    <n v="1197"/>
    <d v="2025-08-26T00:00:00"/>
    <m/>
    <m/>
    <m/>
    <m/>
    <m/>
    <m/>
    <m/>
  </r>
  <r>
    <n v="228"/>
    <m/>
    <s v="2025-26"/>
    <n v="8"/>
    <n v="122"/>
    <s v="Construction of Primary School Room at Bhundarakha-2 Ta. Palitana Dist:Bhavnagar"/>
    <m/>
    <s v="Palitana"/>
    <x v="3"/>
    <s v="Building"/>
    <s v="School Room"/>
    <n v="200352"/>
    <n v="1"/>
    <d v="2025-06-29T00:00:00"/>
    <d v="2025-07-10T00:00:00"/>
    <d v="2025-07-11T00:00:00"/>
    <d v="2025-11-07T00:00:00"/>
    <n v="806983.54"/>
    <m/>
    <n v="723622.14"/>
    <n v="-10.33"/>
    <s v="Below"/>
    <s v="Seven Lakh Twenty Three Thousand Six Hundred Twenty Two Rupees and Fourteen Paise Only"/>
    <s v="Division"/>
    <m/>
    <n v="723622.14"/>
    <s v="Aarti Construction"/>
    <n v="0"/>
    <s v="Shetrunji Dam, Nani Paniyali, Palitana, Bhavnagar-364270"/>
    <n v="8140303377"/>
    <m/>
    <s v="MP Grant - Shri Masukhbhai Mandaviya Fund - 2023-24"/>
    <m/>
    <m/>
    <m/>
    <n v="3"/>
    <n v="37000"/>
    <d v="2027-02-19T00:00:00"/>
    <n v="1900"/>
    <n v="1000"/>
    <d v="2025-12-31T00:00:00"/>
    <d v="2026-12-21T00:00:00"/>
    <n v="1012"/>
    <d v="2025-07-23T00:00:00"/>
    <s v="2025-26"/>
    <n v="114"/>
    <d v="2025-08-28T00:00:00"/>
    <s v="FDR"/>
    <s v="SAURASHTRA GRAMIN BANK"/>
    <n v="78049076791"/>
    <n v="37000"/>
    <d v="2025-08-25T00:00:00"/>
    <s v="FDR"/>
    <s v="SAURASHTRA GRAMIN BANK"/>
    <n v="78049106365"/>
    <n v="1000"/>
    <d v="2025-08-28T00:00:00"/>
    <d v="2025-08-28T00:00:00"/>
    <n v="1198"/>
    <d v="2025-08-28T00:00:00"/>
    <m/>
    <m/>
    <m/>
    <m/>
    <m/>
    <m/>
    <m/>
  </r>
  <r>
    <n v="229"/>
    <m/>
    <s v="2025-26"/>
    <n v="8"/>
    <n v="123"/>
    <s v="Construction of Primary School Room at Motishree Ta. Palitana Dist:Bhavnagar"/>
    <m/>
    <s v="Palitana"/>
    <x v="3"/>
    <s v="Building"/>
    <s v="School Room"/>
    <n v="200385"/>
    <n v="1"/>
    <d v="2025-06-29T00:00:00"/>
    <d v="2025-07-10T00:00:00"/>
    <d v="2025-07-11T00:00:00"/>
    <d v="2025-11-07T00:00:00"/>
    <n v="1303576.82"/>
    <m/>
    <n v="1210892.51"/>
    <n v="-7.11"/>
    <s v="Below"/>
    <s v="Twelve Lakh Ten Thousand Eight Hundred Ninety Two Rupees and Fifty One Paise Only"/>
    <s v="Division"/>
    <m/>
    <n v="1210892.51"/>
    <s v="KAIRAV CONSTRUCTION"/>
    <s v="JATINKUMAR RAMESHBHAI GOYANI"/>
    <s v="SHOP NO. 3, GROUND FLOOR, PARVADI GAM, GARIYADHAR SANOSARA ROAD, PARAVADI, TA. GARIYADHAR, DIST. BHAVNAGAR-364505"/>
    <n v="9016319324"/>
    <m/>
    <s v="MP Grant - Shri Masukhbhai Mandaviya Fund - 2023-24"/>
    <m/>
    <m/>
    <m/>
    <n v="4"/>
    <n v="61000"/>
    <d v="2027-03-05T00:00:00"/>
    <n v="3000"/>
    <n v="0"/>
    <d v="2026-01-14T00:00:00"/>
    <d v="2027-01-04T00:00:00"/>
    <n v="1013"/>
    <d v="2025-07-23T00:00:00"/>
    <s v="2025-26"/>
    <n v="81"/>
    <d v="2025-08-12T00:00:00"/>
    <s v="FDR"/>
    <s v="SAURASHTRA GRAMIN BANK"/>
    <n v="78048848377"/>
    <n v="61000"/>
    <d v="2025-08-04T00:00:00"/>
    <m/>
    <m/>
    <m/>
    <m/>
    <m/>
    <d v="2025-08-12T00:00:00"/>
    <n v="1059"/>
    <d v="2025-08-12T00:00:00"/>
    <m/>
    <m/>
    <m/>
    <m/>
    <m/>
    <m/>
    <m/>
  </r>
  <r>
    <n v="230"/>
    <m/>
    <s v="2025-26"/>
    <n v="8"/>
    <n v="124"/>
    <s v="Construction of Primary School Room at Anida (LA) Ta. Palitana Dist:Bhavnagar"/>
    <m/>
    <s v="Palitana"/>
    <x v="3"/>
    <s v="Building"/>
    <s v="School Room"/>
    <n v="200392"/>
    <n v="1"/>
    <d v="2025-06-29T00:00:00"/>
    <d v="2025-07-10T00:00:00"/>
    <d v="2025-07-11T00:00:00"/>
    <d v="2025-11-07T00:00:00"/>
    <n v="2420954.2000000002"/>
    <m/>
    <n v="2170869.63"/>
    <n v="-10.33"/>
    <s v="Below"/>
    <s v="Twenty One Lakh Seventy Thousand Eight Hundred Sixty Nine Rupees and Sixty Three Paise Only"/>
    <s v="Division"/>
    <m/>
    <n v="2170869.63"/>
    <s v="Aarti Construction"/>
    <n v="0"/>
    <s v="Shetrunji Dam, Nani Paniyali, Palitana, Bhavnagar-364270"/>
    <n v="8140303377"/>
    <m/>
    <s v="MP Grant - Shri Masukhbhai Mandaviya Fund - 2023-24"/>
    <m/>
    <m/>
    <m/>
    <n v="4"/>
    <n v="109000"/>
    <d v="2027-03-21T00:00:00"/>
    <n v="5500"/>
    <n v="2000"/>
    <d v="2026-01-30T00:00:00"/>
    <d v="2027-01-20T00:00:00"/>
    <n v="1014"/>
    <d v="2025-07-23T00:00:00"/>
    <s v="2025-26"/>
    <n v="115"/>
    <d v="2025-08-28T00:00:00"/>
    <s v="FDR"/>
    <s v="SAURASHTRA GRAMIN BANK"/>
    <n v="78049077853"/>
    <n v="109000"/>
    <d v="2025-08-25T00:00:00"/>
    <s v="FDR"/>
    <s v="SAURASHTRA GRAMIN BANK"/>
    <n v="78049106332"/>
    <n v="2000"/>
    <d v="2025-08-28T00:00:00"/>
    <d v="2025-08-28T00:00:00"/>
    <n v="1199"/>
    <d v="2025-08-28T00:00:00"/>
    <m/>
    <m/>
    <m/>
    <m/>
    <m/>
    <m/>
    <m/>
  </r>
  <r>
    <n v="231"/>
    <m/>
    <s v="2025-26"/>
    <n v="8"/>
    <n v="125"/>
    <m/>
    <m/>
    <m/>
    <x v="6"/>
    <s v="Building"/>
    <s v="School Room"/>
    <m/>
    <n v="1"/>
    <d v="2025-06-29T00:00:00"/>
    <d v="2025-07-10T00:00:00"/>
    <d v="2025-07-11T00:00:00"/>
    <d v="2025-11-07T00:00:00"/>
    <m/>
    <s v="Yes"/>
    <m/>
    <m/>
    <s v="Equals"/>
    <s v="Zero Rupees Only"/>
    <s v="Division"/>
    <m/>
    <n v="0"/>
    <m/>
    <n v="0"/>
    <n v="0"/>
    <n v="0"/>
    <m/>
    <s v="MP Grant - Shri Masukhbhai Mandaviya Fund - 2023-24"/>
    <m/>
    <m/>
    <m/>
    <m/>
    <n v="0"/>
    <d v="1901-03-25T00:00:00"/>
    <n v="0"/>
    <n v="0"/>
    <d v="1900-02-03T00:00:00"/>
    <d v="1901-01-24T00:00:00"/>
    <m/>
    <m/>
    <m/>
    <m/>
    <m/>
    <m/>
    <m/>
    <m/>
    <m/>
    <m/>
    <m/>
    <m/>
    <m/>
    <m/>
    <m/>
    <m/>
    <m/>
    <m/>
    <m/>
    <m/>
    <m/>
    <m/>
    <m/>
    <m/>
    <m/>
  </r>
  <r>
    <n v="232"/>
    <m/>
    <s v="2025-26"/>
    <n v="8"/>
    <n v="126"/>
    <s v="Construction of Primary School Room at Medha Ta.Palitana Dist:Bhavnagar"/>
    <m/>
    <s v="Palitana"/>
    <x v="3"/>
    <s v="Building"/>
    <s v="School Room"/>
    <n v="200400"/>
    <n v="1"/>
    <d v="2025-06-29T00:00:00"/>
    <d v="2025-07-10T00:00:00"/>
    <d v="2025-07-11T00:00:00"/>
    <d v="2025-11-07T00:00:00"/>
    <n v="2420954.2000000002"/>
    <m/>
    <n v="2122450.5499999998"/>
    <n v="-12.33"/>
    <s v="Below"/>
    <s v="Twenty One Lakh Twenty Two Thousand Four Hundred Fifty Rupees and Fifty Five Paise Only"/>
    <s v="Division"/>
    <m/>
    <n v="2122450.5499999998"/>
    <s v="Aarti Construction"/>
    <n v="0"/>
    <s v="Shetrunji Dam, Nani Paniyali, Palitana, Bhavnagar-364270"/>
    <n v="8140303377"/>
    <m/>
    <s v="MP Grant - Shri Masukhbhai Mandaviya Fund - 2023-24"/>
    <m/>
    <m/>
    <m/>
    <n v="4"/>
    <n v="107000"/>
    <d v="2027-03-21T00:00:00"/>
    <n v="5900"/>
    <n v="12000"/>
    <d v="2026-01-30T00:00:00"/>
    <d v="2027-01-20T00:00:00"/>
    <n v="1015"/>
    <d v="2025-07-23T00:00:00"/>
    <s v="2025-26"/>
    <n v="116"/>
    <d v="2025-08-28T00:00:00"/>
    <s v="FDR"/>
    <s v="SAURASHTRA GRAMIN BANK"/>
    <n v="78049077864"/>
    <n v="107000"/>
    <d v="2025-08-25T00:00:00"/>
    <s v="FDR"/>
    <s v="SAURASHTRA GRAMIN BANK"/>
    <n v="78049106321"/>
    <n v="12000"/>
    <d v="2025-08-28T00:00:00"/>
    <d v="2025-08-28T00:00:00"/>
    <n v="1200"/>
    <d v="2025-08-28T00:00:00"/>
    <m/>
    <m/>
    <m/>
    <m/>
    <m/>
    <m/>
    <m/>
  </r>
  <r>
    <n v="233"/>
    <m/>
    <s v="2025-26"/>
    <n v="8"/>
    <n v="127"/>
    <s v="Construction of Primary School Room at Borada Ta. Talaja Dist:Bhavnagar"/>
    <m/>
    <s v="Talaja"/>
    <x v="4"/>
    <s v="Building"/>
    <s v="School Room"/>
    <n v="200232"/>
    <n v="1"/>
    <d v="2025-06-29T00:00:00"/>
    <d v="2025-07-10T00:00:00"/>
    <d v="2025-07-11T00:00:00"/>
    <d v="2025-11-07T00:00:00"/>
    <n v="1634615.63"/>
    <m/>
    <n v="1514961.77"/>
    <n v="-7.32"/>
    <s v="Below"/>
    <s v="Fifteen Lakh Fourteen Thousand Nine Hundred Sixty One Rupees and Seventy Seven Paise Only"/>
    <s v="Division"/>
    <m/>
    <n v="1514961.77"/>
    <s v="CUBE INFA PROJECTS"/>
    <s v="KISHANKUMAR PATABHAI KALSARIYA"/>
    <s v="Survey No. 374 P/A 2-16, Office No. 2, Left side of Entry Gate of Balkrushna Campus, Gir Gadhada Road, At. Una, Taluka Una, Dist. Gir Somnath - 362560"/>
    <n v="9824251035"/>
    <m/>
    <s v="MP Grant - Shri Masukhbhai Mandaviya Fund - 2023-24"/>
    <m/>
    <m/>
    <m/>
    <n v="4"/>
    <n v="76000"/>
    <d v="2027-03-05T00:00:00"/>
    <n v="3800"/>
    <n v="0"/>
    <d v="2026-01-14T00:00:00"/>
    <d v="2027-01-04T00:00:00"/>
    <n v="1016"/>
    <d v="2025-07-23T00:00:00"/>
    <s v="2025-26"/>
    <n v="82"/>
    <d v="2025-08-12T00:00:00"/>
    <s v="FDR"/>
    <s v="ICICI BANK"/>
    <n v="771613001573"/>
    <n v="76000"/>
    <d v="2025-07-30T00:00:00"/>
    <m/>
    <m/>
    <m/>
    <m/>
    <m/>
    <d v="2025-08-12T00:00:00"/>
    <n v="1060"/>
    <d v="2025-08-12T00:00:00"/>
    <m/>
    <m/>
    <m/>
    <m/>
    <m/>
    <m/>
    <m/>
  </r>
  <r>
    <n v="234"/>
    <m/>
    <s v="2025-26"/>
    <n v="8"/>
    <n v="128"/>
    <s v="Construction of Primary School Room at Makhaniya Ta. Talaja Dist:Bhavnagar"/>
    <m/>
    <s v="Talaja"/>
    <x v="4"/>
    <s v="Building"/>
    <s v="School Room"/>
    <n v="200234"/>
    <n v="1"/>
    <d v="2025-06-29T00:00:00"/>
    <d v="2025-07-10T00:00:00"/>
    <d v="2025-07-11T00:00:00"/>
    <d v="2025-11-07T00:00:00"/>
    <n v="1634615.63"/>
    <m/>
    <n v="1580182.93"/>
    <n v="-3.33"/>
    <s v="Below"/>
    <s v="Fifteen Lakh Eighty Thousand One Hundred Eighty Two Rupees and Ninety Three Paise Only"/>
    <s v="Division"/>
    <m/>
    <n v="1580182.93"/>
    <s v="VANDEMATARAM CONSTRUCTION"/>
    <s v="(1) Batiya Vishalbhai Vinubhai_x000a_(2) Dhandhukiya Umeshbhai "/>
    <s v="At. Dihor, Tana Varal Road, Shak Market, Ta. Talaja, Dist. Bhavnagar-364150"/>
    <n v="9067752267"/>
    <m/>
    <s v="MP Grant - Shri Masukhbhai Mandaviya Fund - 2023-24"/>
    <m/>
    <m/>
    <m/>
    <n v="4"/>
    <n v="80000"/>
    <d v="2027-03-18T00:00:00"/>
    <n v="4000"/>
    <n v="0"/>
    <d v="2026-01-27T00:00:00"/>
    <d v="2027-01-17T00:00:00"/>
    <n v="1017"/>
    <d v="2025-07-23T00:00:00"/>
    <s v="2025-26"/>
    <n v="101"/>
    <d v="2025-08-25T00:00:00"/>
    <s v="FDR"/>
    <s v="State Bank of India"/>
    <n v="44378510403"/>
    <n v="80000"/>
    <d v="2025-08-14T00:00:00"/>
    <m/>
    <m/>
    <m/>
    <m/>
    <m/>
    <d v="2025-08-25T00:00:00"/>
    <n v="1186"/>
    <d v="2025-08-25T00:00:00"/>
    <m/>
    <m/>
    <m/>
    <m/>
    <m/>
    <m/>
    <m/>
  </r>
  <r>
    <n v="235"/>
    <m/>
    <s v="2025-26"/>
    <n v="8"/>
    <n v="129"/>
    <s v="Construction of Primary School Room at Juni Chhapari Ta. Talaja Dist:Bhavnagar"/>
    <m/>
    <s v="Talaja"/>
    <x v="4"/>
    <s v="Building"/>
    <s v="School Room"/>
    <n v="200236"/>
    <n v="1"/>
    <d v="2025-06-29T00:00:00"/>
    <d v="2025-07-10T00:00:00"/>
    <d v="2025-07-11T00:00:00"/>
    <d v="2025-11-07T00:00:00"/>
    <n v="1634615.63"/>
    <m/>
    <n v="1522154.07"/>
    <n v="-6.88"/>
    <s v="Below"/>
    <s v="Fifteen Lakh Twenty Two Thousand One Hundred Fifty Four Rupees and Seven Paise Only"/>
    <s v="Division"/>
    <m/>
    <n v="1522154.07"/>
    <s v="VANDEMATARAM CONSTRUCTION"/>
    <s v="(1) Batiya Vishalbhai Vinubhai_x000a_(2) Dhandhukiya Umeshbhai "/>
    <s v="At. Dihor, Tana Varal Road, Shak Market, Ta. Talaja, Dist. Bhavnagar-364150"/>
    <n v="9067752267"/>
    <m/>
    <s v="MP Grant - Shri Masukhbhai Mandaviya Fund - 2023-24"/>
    <m/>
    <m/>
    <m/>
    <n v="4"/>
    <n v="77000"/>
    <d v="2027-02-22T00:00:00"/>
    <n v="3800"/>
    <n v="0"/>
    <d v="2026-01-03T00:00:00"/>
    <d v="2026-12-24T00:00:00"/>
    <n v="1018"/>
    <d v="2025-07-23T00:00:00"/>
    <s v="2025-26"/>
    <n v="160"/>
    <d v="2025-09-22T00:00:00"/>
    <s v="FDR"/>
    <s v="State Bank of India"/>
    <n v="44347236849"/>
    <n v="78000"/>
    <d v="2025-09-12T00:00:00"/>
    <m/>
    <m/>
    <m/>
    <m/>
    <m/>
    <d v="2025-08-01T00:00:00"/>
    <n v="1373"/>
    <d v="2025-09-22T00:00:00"/>
    <m/>
    <m/>
    <m/>
    <m/>
    <m/>
    <m/>
    <m/>
  </r>
  <r>
    <n v="236"/>
    <m/>
    <s v="2025-26"/>
    <n v="8"/>
    <n v="130"/>
    <s v="Construction of Primary School Room at Sosiya Ta. Talaja Dist:Bhavnagar"/>
    <m/>
    <s v="Talaja"/>
    <x v="4"/>
    <s v="Building"/>
    <s v="School Room"/>
    <n v="200237"/>
    <n v="1"/>
    <d v="2025-06-29T00:00:00"/>
    <d v="2025-07-10T00:00:00"/>
    <d v="2025-07-11T00:00:00"/>
    <d v="2025-11-07T00:00:00"/>
    <n v="1634615.63"/>
    <m/>
    <n v="1607481.01"/>
    <n v="-1.66"/>
    <s v="Below"/>
    <s v="Sixteen Lakh Seven Thousand Four Hundred Eighty One Rupees and One Paise Only"/>
    <s v="Division"/>
    <m/>
    <n v="1607481.01"/>
    <s v="GOPNATHJI CONSTRUCTIONS PRIVATE LIMITED"/>
    <n v="0"/>
    <s v="185, Reliya Plot Vistar, Reliya, Tal. Talaja, Dist. Bhavnagar-364135"/>
    <n v="9737944545"/>
    <m/>
    <s v="MP Grant - Shri Masukhbhai Mandaviya Fund - 2023-24"/>
    <m/>
    <m/>
    <m/>
    <n v="4"/>
    <n v="81000"/>
    <d v="2027-03-05T00:00:00"/>
    <n v="4000"/>
    <n v="0"/>
    <d v="2026-01-14T00:00:00"/>
    <d v="2027-01-04T00:00:00"/>
    <n v="1019"/>
    <d v="2025-07-23T00:00:00"/>
    <s v="2025-26"/>
    <n v="77"/>
    <d v="2025-08-12T00:00:00"/>
    <s v="FDR"/>
    <s v="State Bank of India"/>
    <n v="44339292582"/>
    <n v="81000"/>
    <d v="2025-08-02T00:00:00"/>
    <m/>
    <m/>
    <m/>
    <m/>
    <m/>
    <d v="2025-08-12T00:00:00"/>
    <n v="1055"/>
    <d v="2025-08-12T00:00:00"/>
    <m/>
    <m/>
    <m/>
    <m/>
    <m/>
    <m/>
    <m/>
  </r>
  <r>
    <n v="237"/>
    <m/>
    <s v="2025-26"/>
    <n v="8"/>
    <n v="131"/>
    <s v="Construction of Primary School Room at Nichadi Ta. Talaja Dist:Bhavnagar"/>
    <m/>
    <s v="Talaja"/>
    <x v="4"/>
    <s v="Building"/>
    <s v="School Room"/>
    <n v="200360"/>
    <n v="1"/>
    <d v="2025-06-29T00:00:00"/>
    <d v="2025-07-10T00:00:00"/>
    <d v="2025-07-11T00:00:00"/>
    <d v="2025-11-07T00:00:00"/>
    <n v="806983.54"/>
    <m/>
    <n v="772928.83"/>
    <n v="-4.22"/>
    <s v="Below"/>
    <s v="Seven Lakh Seventy Two Thousand Nine Hundred Twenty Eight Rupees and Eighty Three Paise Only"/>
    <s v="Division"/>
    <m/>
    <n v="772928.83"/>
    <s v="R J BHAMMAR CONSTRUCTION"/>
    <n v="0"/>
    <s v="F-8, 1st Floor, Radhe City Center, Bapa Sitaram Chowk, Talaja, Dist. Bhavnagar_x000a_"/>
    <n v="7984290006"/>
    <m/>
    <s v="MP Grant - Shri Masukhbhai Mandaviya Fund - 2023-24"/>
    <m/>
    <m/>
    <m/>
    <n v="3"/>
    <n v="39000"/>
    <d v="2027-02-23T00:00:00"/>
    <n v="2000"/>
    <n v="0"/>
    <d v="2026-01-04T00:00:00"/>
    <d v="2026-12-25T00:00:00"/>
    <n v="1020"/>
    <d v="2025-07-23T00:00:00"/>
    <s v="2025-26"/>
    <n v="129"/>
    <d v="2025-09-01T00:00:00"/>
    <s v="FDR"/>
    <s v="State Bank of India"/>
    <n v="44344833241"/>
    <n v="39000"/>
    <d v="2025-08-04T00:00:00"/>
    <m/>
    <m/>
    <m/>
    <m/>
    <m/>
    <d v="2025-09-01T00:00:00"/>
    <n v="1236"/>
    <d v="2025-09-01T00:00:00"/>
    <m/>
    <m/>
    <m/>
    <m/>
    <m/>
    <m/>
    <m/>
  </r>
  <r>
    <n v="238"/>
    <m/>
    <s v="2025-26"/>
    <n v="8"/>
    <n v="132"/>
    <s v="Construction of Primary School Room at Paniyali Ta.Talaja Dist:Bhavnagar"/>
    <m/>
    <s v="Talaja"/>
    <x v="4"/>
    <s v="Building"/>
    <s v="School Room"/>
    <n v="200362"/>
    <n v="1"/>
    <d v="2025-06-29T00:00:00"/>
    <d v="2025-07-10T00:00:00"/>
    <d v="2025-07-11T00:00:00"/>
    <d v="2025-11-07T00:00:00"/>
    <n v="806983.54"/>
    <m/>
    <n v="776318.17"/>
    <n v="-3.8"/>
    <s v="Below"/>
    <s v="Seven Lakh Seventy Six Thousand Three Hundred Eighteen Rupees and Seventeen Paise Only"/>
    <s v="Division"/>
    <m/>
    <n v="776318.17"/>
    <s v="SADGURU CONSTRUCTION"/>
    <s v="NANKUBHAI DUDABHAI BARAL"/>
    <s v="UMARLA, Ta. TALAJA, Dist. BHAVNAGAR-364150"/>
    <n v="9510897273"/>
    <m/>
    <s v="MP Grant - Shri Masukhbhai Mandaviya Fund - 2023-24"/>
    <m/>
    <m/>
    <m/>
    <n v="3"/>
    <n v="39000"/>
    <d v="2027-02-03T00:00:00"/>
    <n v="2000"/>
    <n v="0"/>
    <d v="2025-12-15T00:00:00"/>
    <d v="2026-12-05T00:00:00"/>
    <n v="1021"/>
    <d v="2025-07-23T00:00:00"/>
    <s v="2025-26"/>
    <n v="79"/>
    <d v="2025-08-12T00:00:00"/>
    <s v="FDR"/>
    <s v="SAURASHTRA GRAMIN BANK"/>
    <n v="78048938022"/>
    <n v="39000"/>
    <d v="2025-08-11T00:00:00"/>
    <m/>
    <m/>
    <m/>
    <m/>
    <m/>
    <d v="2025-08-12T00:00:00"/>
    <n v="1057"/>
    <d v="2025-08-12T00:00:00"/>
    <m/>
    <m/>
    <m/>
    <m/>
    <m/>
    <m/>
    <m/>
  </r>
  <r>
    <n v="239"/>
    <m/>
    <s v="2025-26"/>
    <n v="8"/>
    <n v="133"/>
    <s v="Construction of Primary School Room at Sakhavadar Ta. Talaja Dist:Bhavnagar"/>
    <m/>
    <s v="Talaja"/>
    <x v="4"/>
    <s v="Building"/>
    <s v="School Room"/>
    <n v="200365"/>
    <n v="1"/>
    <d v="2025-06-29T00:00:00"/>
    <d v="2025-07-10T00:00:00"/>
    <d v="2025-07-11T00:00:00"/>
    <d v="2025-11-07T00:00:00"/>
    <n v="806983.54"/>
    <m/>
    <n v="765746.68"/>
    <n v="-5.1100000000000003"/>
    <s v="Below"/>
    <s v="Seven Lakh Sixty Five Thousand Seven Hundred Forty Six Rupees and Sixty Eight Paise Only"/>
    <s v="Division"/>
    <m/>
    <n v="765746.68"/>
    <s v="SADGURU CONSTRUCTION"/>
    <s v="NANKUBHAI DUDABHAI BARAL"/>
    <s v="UMARLA, Ta. TALAJA, Dist. BHAVNAGAR-364150"/>
    <n v="9510897273"/>
    <m/>
    <s v="MP Grant - Shri Masukhbhai Mandaviya Fund - 2023-24"/>
    <m/>
    <m/>
    <m/>
    <n v="3"/>
    <n v="39000"/>
    <d v="2027-02-03T00:00:00"/>
    <n v="2000"/>
    <n v="0"/>
    <d v="2025-12-15T00:00:00"/>
    <d v="2026-12-05T00:00:00"/>
    <n v="1022"/>
    <d v="2025-07-23T00:00:00"/>
    <s v="2025-26"/>
    <n v="78"/>
    <d v="2025-08-12T00:00:00"/>
    <s v="FDR"/>
    <s v="SAURASHTRA GRAMIN BANK"/>
    <n v="78048938044"/>
    <n v="39000"/>
    <d v="2025-08-11T00:00:00"/>
    <m/>
    <m/>
    <m/>
    <m/>
    <m/>
    <d v="2025-08-12T00:00:00"/>
    <n v="1056"/>
    <d v="2025-08-12T00:00:00"/>
    <m/>
    <m/>
    <m/>
    <m/>
    <m/>
    <m/>
    <m/>
  </r>
  <r>
    <n v="240"/>
    <m/>
    <s v="2025-26"/>
    <n v="8"/>
    <n v="134"/>
    <s v="Construction of Primary School Room at Gorkhi Ta. Talaja Dist:Bhavnagar"/>
    <m/>
    <s v="Talaja"/>
    <x v="4"/>
    <s v="Building"/>
    <s v="School Room"/>
    <n v="200369"/>
    <n v="1"/>
    <d v="2025-06-29T00:00:00"/>
    <d v="2025-07-10T00:00:00"/>
    <d v="2025-07-11T00:00:00"/>
    <d v="2025-11-07T00:00:00"/>
    <n v="806983.54"/>
    <m/>
    <n v="767602.74"/>
    <n v="-4.88"/>
    <s v="Below"/>
    <s v="Seven Lakh Sixty Seven Thousand Six Hundred Two Rupees and Seventy Four Paise Only"/>
    <s v="Division"/>
    <m/>
    <n v="767602.74"/>
    <s v="VANDEMATARAM CONSTRUCTION"/>
    <s v="(1) Batiya Vishalbhai Vinubhai_x000a_(2) Dhandhukiya Umeshbhai "/>
    <s v="At. Dihor, Tana Varal Road, Shak Market, Ta. Talaja, Dist. Bhavnagar-364150"/>
    <n v="9067752267"/>
    <m/>
    <s v="MP Grant - Shri Masukhbhai Mandaviya Fund - 2023-24"/>
    <m/>
    <m/>
    <m/>
    <n v="3"/>
    <n v="39000"/>
    <d v="2026-02-16T00:00:00"/>
    <n v="2000"/>
    <n v="0"/>
    <d v="2024-12-28T00:00:00"/>
    <d v="2025-12-18T00:00:00"/>
    <n v="1023"/>
    <d v="2025-07-23T00:00:00"/>
    <s v="2025-26"/>
    <n v="102"/>
    <d v="2025-08-25T00:00:00"/>
    <s v="FDR"/>
    <s v="State Bank of India"/>
    <n v="44378495825"/>
    <n v="39000"/>
    <d v="2025-08-14T00:00:00"/>
    <m/>
    <m/>
    <m/>
    <m/>
    <m/>
    <d v="2024-08-25T00:00:00"/>
    <n v="1187"/>
    <d v="2025-08-25T00:00:00"/>
    <m/>
    <m/>
    <m/>
    <m/>
    <m/>
    <m/>
    <m/>
  </r>
  <r>
    <n v="241"/>
    <m/>
    <s v="2025-26"/>
    <n v="8"/>
    <n v="135"/>
    <s v="Construction of Primary School Room at Pratapara Ta. Talaja Dist:Bhavnagar"/>
    <m/>
    <s v="Talaja"/>
    <x v="4"/>
    <s v="Building"/>
    <s v="School Room"/>
    <n v="200373"/>
    <n v="1"/>
    <d v="2025-06-29T00:00:00"/>
    <d v="2025-07-10T00:00:00"/>
    <d v="2025-07-11T00:00:00"/>
    <d v="2025-11-07T00:00:00"/>
    <n v="806983.54"/>
    <m/>
    <n v="796250.66"/>
    <n v="-1.33"/>
    <s v="Below"/>
    <s v="Seven Lakh Ninety Six Thousand Two Hundred Fifty Rupees and Sixty Six Paise Only"/>
    <s v="Division"/>
    <m/>
    <n v="796250.66"/>
    <s v="GOPNATHJI CONSTRUCTIONS PRIVATE LIMITED"/>
    <n v="0"/>
    <s v="185, Reliya Plot Vistar, Reliya, Tal. Talaja, Dist. Bhavnagar-364135"/>
    <n v="9737944545"/>
    <m/>
    <s v="MP Grant - Shri Masukhbhai Mandaviya Fund - 2023-24"/>
    <m/>
    <m/>
    <m/>
    <n v="3"/>
    <n v="40000"/>
    <d v="2027-02-03T00:00:00"/>
    <n v="2000"/>
    <n v="0"/>
    <d v="2025-12-15T00:00:00"/>
    <d v="2026-12-05T00:00:00"/>
    <n v="1024"/>
    <d v="2025-07-23T00:00:00"/>
    <s v="2025-26"/>
    <n v="76"/>
    <d v="2025-08-12T00:00:00"/>
    <s v="FDR"/>
    <s v="State Bank of India"/>
    <n v="44339498163"/>
    <n v="40000"/>
    <d v="2025-08-02T00:00:00"/>
    <m/>
    <m/>
    <m/>
    <m/>
    <m/>
    <d v="2025-08-12T00:00:00"/>
    <n v="1054"/>
    <d v="2025-08-12T00:00:00"/>
    <m/>
    <m/>
    <m/>
    <m/>
    <m/>
    <m/>
    <m/>
  </r>
  <r>
    <n v="242"/>
    <m/>
    <s v="2025-26"/>
    <n v="8"/>
    <n v="136"/>
    <s v="Construction of Primary School Room at Keriya_x000a_Ta. Umrala Dist:Bhavnagar"/>
    <m/>
    <s v="Umrala"/>
    <x v="0"/>
    <s v="Building"/>
    <s v="School Room"/>
    <n v="200240"/>
    <n v="1"/>
    <d v="2025-06-29T00:00:00"/>
    <d v="2025-07-10T00:00:00"/>
    <d v="2025-07-11T00:00:00"/>
    <d v="2025-11-07T00:00:00"/>
    <n v="1634615.63"/>
    <s v="Yes"/>
    <m/>
    <m/>
    <s v="Equals"/>
    <s v="Zero Rupees Only"/>
    <s v="Division"/>
    <m/>
    <n v="0"/>
    <m/>
    <n v="0"/>
    <n v="0"/>
    <n v="0"/>
    <m/>
    <s v="MP Grant - Shri Masukhbhai Mandaviya Fund - 2023-24"/>
    <m/>
    <m/>
    <m/>
    <m/>
    <n v="0"/>
    <d v="1901-03-25T00:00:00"/>
    <n v="0"/>
    <n v="0"/>
    <d v="1900-02-03T00:00:00"/>
    <d v="1901-01-24T00:00:00"/>
    <m/>
    <m/>
    <m/>
    <m/>
    <m/>
    <m/>
    <m/>
    <m/>
    <m/>
    <m/>
    <m/>
    <m/>
    <m/>
    <m/>
    <m/>
    <m/>
    <m/>
    <m/>
    <m/>
    <m/>
    <m/>
    <m/>
    <m/>
    <m/>
    <m/>
  </r>
  <r>
    <n v="243"/>
    <m/>
    <s v="2025-26"/>
    <n v="8"/>
    <n v="137"/>
    <s v="Construction of Primary School Room at Chitravav_x000a_Ta. Umrala Dist:Bhavnagar"/>
    <m/>
    <s v="Umrala"/>
    <x v="0"/>
    <s v="Building"/>
    <s v="School Room"/>
    <m/>
    <n v="1"/>
    <d v="2025-06-29T00:00:00"/>
    <d v="2025-07-10T00:00:00"/>
    <d v="2025-07-11T00:00:00"/>
    <d v="2025-11-07T00:00:00"/>
    <n v="1634615.63"/>
    <s v="Yes"/>
    <m/>
    <m/>
    <s v="Equals"/>
    <s v="Zero Rupees Only"/>
    <s v="Division"/>
    <m/>
    <n v="0"/>
    <m/>
    <n v="0"/>
    <n v="0"/>
    <n v="0"/>
    <m/>
    <s v="MP Grant - Shri Masukhbhai Mandaviya Fund - 2023-24"/>
    <m/>
    <m/>
    <m/>
    <m/>
    <n v="0"/>
    <d v="1901-03-25T00:00:00"/>
    <n v="0"/>
    <n v="0"/>
    <d v="1900-02-03T00:00:00"/>
    <d v="1901-01-24T00:00:00"/>
    <m/>
    <m/>
    <m/>
    <m/>
    <m/>
    <m/>
    <m/>
    <m/>
    <m/>
    <m/>
    <m/>
    <m/>
    <m/>
    <m/>
    <m/>
    <m/>
    <m/>
    <m/>
    <m/>
    <m/>
    <m/>
    <m/>
    <m/>
    <m/>
    <m/>
  </r>
  <r>
    <n v="244"/>
    <m/>
    <s v="2025-26"/>
    <n v="8"/>
    <n v="138"/>
    <s v="Construction of Primary School Room at Dudadhar Ta. Vallabhipur Dist:Bhavnagar"/>
    <m/>
    <s v="Vallabhipur"/>
    <x v="0"/>
    <s v="Building"/>
    <s v="School Room"/>
    <n v="200376"/>
    <n v="1"/>
    <d v="2025-06-29T00:00:00"/>
    <d v="2025-07-10T00:00:00"/>
    <d v="2025-07-11T00:00:00"/>
    <d v="2025-11-07T00:00:00"/>
    <n v="806983.54"/>
    <m/>
    <n v="741214.38"/>
    <n v="-8.15"/>
    <s v="Below"/>
    <s v="Seven Lakh Forty One Thousand Two Hundred Fourteen Rupees and Thirty Eight Paise Only"/>
    <s v="Division"/>
    <m/>
    <n v="741214.38"/>
    <s v="TULSI CEMENT PRODUCTS"/>
    <s v="KOTAR PRAFULKUMAR RAMESHBHAI"/>
    <s v="Plot No. 15, Survey No. 166/1, GIDC, At. Timbi, Tal. Umrala, Dist. Bhavnagar- 364320"/>
    <n v="9662631888"/>
    <m/>
    <s v="MP Grant - Shri Masukhbhai Mandaviya Fund - 2023-24"/>
    <m/>
    <m/>
    <m/>
    <n v="3"/>
    <n v="38000"/>
    <d v="2027-02-08T00:00:00"/>
    <n v="1900"/>
    <n v="0"/>
    <d v="2025-12-20T00:00:00"/>
    <d v="2026-12-10T00:00:00"/>
    <n v="1025"/>
    <d v="2025-07-23T00:00:00"/>
    <s v="2025-26"/>
    <n v="80"/>
    <d v="2025-08-12T00:00:00"/>
    <s v="FDR"/>
    <s v="State Bank of India"/>
    <n v="44344794120"/>
    <n v="38000"/>
    <d v="2025-08-04T00:00:00"/>
    <m/>
    <m/>
    <m/>
    <m/>
    <m/>
    <d v="2025-08-17T00:00:00"/>
    <n v="1058"/>
    <d v="2025-08-12T00:00:00"/>
    <m/>
    <m/>
    <m/>
    <m/>
    <m/>
    <m/>
    <m/>
  </r>
  <r>
    <n v="245"/>
    <m/>
    <s v="2025-26"/>
    <n v="8"/>
    <n v="139"/>
    <s v="Construction of Primary School Room at Loliyana Ta. Vallabhipur Dist:Bhavnagar"/>
    <m/>
    <s v="Vallabhipur"/>
    <x v="0"/>
    <s v="Building"/>
    <s v="School Room"/>
    <n v="200380"/>
    <n v="1"/>
    <d v="2025-06-29T00:00:00"/>
    <d v="2025-07-10T00:00:00"/>
    <d v="2025-07-11T00:00:00"/>
    <d v="2025-11-07T00:00:00"/>
    <n v="806983.54"/>
    <m/>
    <n v="705707.11"/>
    <n v="-12.55"/>
    <s v="Below"/>
    <s v="Seven Lakh Five Thousand Seven Hundred Seven Rupees and Eleven Paise Only"/>
    <s v="Division"/>
    <m/>
    <n v="705707.11"/>
    <s v="TULSI CEMENT PRODUCTS"/>
    <s v="KOTAR PRAFULKUMAR RAMESHBHAI"/>
    <s v="Plot No. 15, Survey No. 166/1, GIDC, At. Timbi, Tal. Umrala, Dist. Bhavnagar- 364320"/>
    <n v="9662631888"/>
    <m/>
    <s v="MP Grant - Shri Masukhbhai Mandaviya Fund - 2023-24"/>
    <m/>
    <m/>
    <m/>
    <n v="3"/>
    <n v="36000"/>
    <d v="2027-02-13T00:00:00"/>
    <n v="2100"/>
    <n v="5000"/>
    <d v="2025-12-25T00:00:00"/>
    <d v="2026-12-15T00:00:00"/>
    <n v="1026"/>
    <d v="2025-07-23T00:00:00"/>
    <s v="2025-26"/>
    <n v="100"/>
    <d v="2025-08-22T00:00:00"/>
    <s v="FDR"/>
    <s v="State Bank of India"/>
    <n v="44344808918"/>
    <n v="36000"/>
    <d v="2025-08-04T00:00:00"/>
    <s v="FDR"/>
    <s v="State Bank of India"/>
    <n v="44388132154"/>
    <n v="5000"/>
    <d v="2025-08-19T00:00:00"/>
    <d v="2025-08-22T00:00:00"/>
    <n v="1185"/>
    <d v="2025-08-22T00:00:00"/>
    <m/>
    <m/>
    <m/>
    <m/>
    <m/>
    <m/>
    <m/>
  </r>
  <r>
    <n v="246"/>
    <m/>
    <s v="2025-26"/>
    <n v="8"/>
    <n v="140"/>
    <s v="Construction of Compound wall around Manharkuvarbaa Rajput Vidhyasankul Trust-Bhavnagar Managed by Kanya Vidhyalay &amp; Kanya Chhatralay Campus Vartej. Tal. Bhavnagar Dist. Bhavnagar (Under MP Grant Kesaridevsinh Zala)"/>
    <m/>
    <s v="Bhavnagar"/>
    <x v="2"/>
    <s v="Building"/>
    <s v="Compound Wall"/>
    <n v="200405"/>
    <n v="1"/>
    <d v="2025-06-29T00:00:00"/>
    <d v="2025-07-10T00:00:00"/>
    <d v="2025-07-11T00:00:00"/>
    <d v="2025-11-07T00:00:00"/>
    <n v="2084326.82"/>
    <m/>
    <n v="2063483.55"/>
    <n v="-1"/>
    <s v="Below"/>
    <s v="Twenty Lakh Sixty Three Thousand Four Hundred Eighty Three Rupees and Fifty Five Paise Only"/>
    <s v="Division"/>
    <m/>
    <n v="2063483.55"/>
    <s v="HARPALSINH AMARSINH SARVAIYA"/>
    <n v="0"/>
    <s v="MOTI JAGDHAR, MAHUVA, _x000a_BHAVNAGAR-364295"/>
    <n v="0"/>
    <m/>
    <m/>
    <m/>
    <m/>
    <m/>
    <n v="4"/>
    <n v="104000"/>
    <d v="2027-04-08T00:00:00"/>
    <n v="5100"/>
    <n v="0"/>
    <d v="2026-02-17T00:00:00"/>
    <d v="2027-02-07T00:00:00"/>
    <n v="1205"/>
    <d v="2025-07-26T00:00:00"/>
    <m/>
    <m/>
    <m/>
    <m/>
    <m/>
    <m/>
    <m/>
    <m/>
    <m/>
    <m/>
    <m/>
    <m/>
    <m/>
    <d v="2025-09-15T00:00:00"/>
    <m/>
    <m/>
    <m/>
    <m/>
    <m/>
    <m/>
    <m/>
    <m/>
    <m/>
  </r>
  <r>
    <n v="247"/>
    <m/>
    <s v="2025-26"/>
    <n v="8"/>
    <n v="141"/>
    <s v="Construction of Nandghar (Anganvadi) Building at Bordi Tal. Talaja Dist. Bhavnagar"/>
    <m/>
    <s v="Talaja"/>
    <x v="4"/>
    <s v="Building"/>
    <s v="Anganvadi"/>
    <n v="200415"/>
    <m/>
    <d v="2025-06-29T00:00:00"/>
    <d v="2025-07-10T00:00:00"/>
    <d v="2025-07-11T00:00:00"/>
    <d v="2025-11-07T00:00:00"/>
    <n v="1024912.96"/>
    <m/>
    <n v="981661.63"/>
    <n v="-4.22"/>
    <s v="Below"/>
    <s v="Nine Lakh Eighty One Thousand Six Hundred Sixty One Rupees and Sixty Three Paise Only"/>
    <s v="Division"/>
    <m/>
    <n v="981661.63"/>
    <s v="R J BHAMMAR CONSTRUCTION"/>
    <n v="0"/>
    <s v="F-8, 1st Floor, Radhe City Center, Bapa Sitaram Chowk, Talaja, Dist. Bhavnagar_x000a_"/>
    <n v="7984290006"/>
    <m/>
    <m/>
    <m/>
    <m/>
    <m/>
    <n v="4"/>
    <n v="50000"/>
    <d v="2027-04-08T00:00:00"/>
    <n v="2500"/>
    <n v="0"/>
    <d v="2026-02-17T00:00:00"/>
    <d v="2027-02-07T00:00:00"/>
    <n v="1206"/>
    <d v="2025-07-26T00:00:00"/>
    <m/>
    <m/>
    <m/>
    <m/>
    <m/>
    <m/>
    <m/>
    <m/>
    <m/>
    <m/>
    <m/>
    <m/>
    <m/>
    <d v="2025-09-15T00:00:00"/>
    <m/>
    <m/>
    <m/>
    <m/>
    <m/>
    <m/>
    <m/>
    <m/>
    <m/>
  </r>
  <r>
    <n v="248"/>
    <m/>
    <s v="2025-26"/>
    <n v="9"/>
    <n v="1"/>
    <s v="Resurfacing and Routine Maintenance of Biladi Nana Mota Pipalava Kankot Road (Pipalava to Kankot Section) (MDR) Km. 0/000 to 1/800 Ta.Mahuva, Dist.; Bhavnagar"/>
    <m/>
    <s v="Mahuva"/>
    <x v="1"/>
    <s v="Road"/>
    <m/>
    <n v="199597"/>
    <n v="2"/>
    <d v="2025-07-03T00:00:00"/>
    <d v="2025-07-14T00:00:00"/>
    <d v="2025-07-15T00:00:00"/>
    <d v="2025-11-11T00:00:00"/>
    <n v="16081866.5"/>
    <m/>
    <n v="18116222.609999999"/>
    <n v="12.65"/>
    <s v="Above"/>
    <s v="One Crore Eighty One Lakh Sixteen Thousand Two Hundred Twenty Two Rupees and Sixty One Paise Only"/>
    <s v="Circle"/>
    <n v="468077.87"/>
    <n v="18584300.48"/>
    <s v="R M Dasa Infrastructure Pvt. Ltd."/>
    <n v="0"/>
    <s v="4th Floor, Akshar Plaza-1, Diksha Nagar, Zanzarda Chokadi, Junagadh- 362001"/>
    <n v="9825220799"/>
    <d v="2025-07-25T00:00:00"/>
    <s v="5054 MMGSY NORMAL 2024-25"/>
    <s v="Superintending Engineer, Panchayat Road and Building Circle-2, Rajkot"/>
    <s v="RPC-2/Tender/Bhavbagar/236"/>
    <d v="2025-08-21T00:00:00"/>
    <n v="6"/>
    <n v="906000"/>
    <d v="2029-07-20T00:00:00"/>
    <n v="44400"/>
    <n v="0"/>
    <d v="2026-06-11T00:00:00"/>
    <d v="2029-05-21T00:00:00"/>
    <n v="1263"/>
    <d v="2025-09-04T00:00:00"/>
    <s v="2025-26"/>
    <n v="199"/>
    <d v="2025-11-08T00:00:00"/>
    <s v="BG"/>
    <s v="HDFC Bank"/>
    <s v="101GT02252630005"/>
    <n v="906000"/>
    <d v="2025-09-20T00:00:00"/>
    <m/>
    <m/>
    <m/>
    <m/>
    <m/>
    <d v="2025-11-08T00:00:00"/>
    <n v="1504"/>
    <d v="2025-11-08T00:00:00"/>
    <m/>
    <m/>
    <m/>
    <m/>
    <m/>
    <m/>
    <m/>
  </r>
  <r>
    <n v="249"/>
    <m/>
    <s v="2025-26"/>
    <n v="9"/>
    <n v="2"/>
    <s v="Construction of Roads of Bhavnagar District Package No.RPC-2/BVN/MMGSY/BUJ/2024-25/P.01 Ta. Shihor , Dist.; Bhavnagar"/>
    <s v="(1) Ukharala Dambhaliya Road_x000a_(2) Ukharala Kantodiya Road"/>
    <s v="Shihor"/>
    <x v="5"/>
    <s v="Road"/>
    <m/>
    <n v="201032"/>
    <n v="1"/>
    <d v="2025-07-03T00:00:00"/>
    <d v="2025-07-14T00:00:00"/>
    <d v="2025-07-15T00:00:00"/>
    <d v="2025-11-11T00:00:00"/>
    <n v="112916877.26000001"/>
    <m/>
    <n v="94929218.709999993"/>
    <n v="-15.93"/>
    <s v="Below"/>
    <s v="Nine Crore Forty Nine Lakh Twenty Nine Thousand Two Hundred Eighteen Rupees and Seventy One Paise Only"/>
    <s v="Government"/>
    <m/>
    <n v="94929218.709999993"/>
    <s v="SITARAM CONSTRUCTION"/>
    <s v="HITENDRASINH GAMBHIRSINH ZALA"/>
    <s v="A-204, LEELA EFCEE, WAGHAWADI ROAD, BHAVNAGAR-364001"/>
    <n v="0"/>
    <d v="2025-08-04T00:00:00"/>
    <s v="BUJ 2024-25"/>
    <s v="Road and Building Department, Ganghinagar"/>
    <s v="RBD/TRF/e-file/16/2025/5176/Section D1"/>
    <d v="2025-09-03T00:00:00"/>
    <n v="11"/>
    <n v="4747000"/>
    <d v="2029-11-23T00:00:00"/>
    <n v="298300"/>
    <n v="1340000"/>
    <d v="2026-10-15T00:00:00"/>
    <d v="2029-09-24T00:00:00"/>
    <n v="1258"/>
    <d v="2025-09-03T00:00:00"/>
    <m/>
    <m/>
    <m/>
    <m/>
    <m/>
    <m/>
    <m/>
    <m/>
    <m/>
    <m/>
    <m/>
    <m/>
    <m/>
    <d v="2025-10-15T00:00:00"/>
    <m/>
    <m/>
    <m/>
    <m/>
    <m/>
    <m/>
    <m/>
    <m/>
    <m/>
  </r>
  <r>
    <n v="250"/>
    <m/>
    <s v="2025-26"/>
    <n v="9"/>
    <n v="3"/>
    <s v="Widening &amp; Strengthening of Tagdi-Thordi-Rajpara- Badi Road Km. 0/000-11/550 (Sec-I Tagdi Thordi Road Km.0/000-4/000), (Sec.II Thordi Rajpara Road Km. 4/000-9/250) &amp; (Sec-III Rajpara Badi Road Km.9/250-11/550) (MDR) Ta.Bhavnagar &amp; Ghogha, Dist.; Bhavnagar"/>
    <m/>
    <s v="Bhavnagar"/>
    <x v="2"/>
    <s v="Road"/>
    <m/>
    <n v="200884"/>
    <n v="1"/>
    <d v="2025-07-03T00:00:00"/>
    <d v="2025-07-14T00:00:00"/>
    <d v="2025-07-15T00:00:00"/>
    <d v="2025-11-11T00:00:00"/>
    <n v="63362712.479999997"/>
    <m/>
    <n v="53668217.469999999"/>
    <n v="-15.3"/>
    <s v="Below"/>
    <s v="Five Crore Thirty Six Lakh Sixty Eight Thousand Two Hundred Seventeen Rupees and Forty Seven Paise Only"/>
    <s v="Government"/>
    <m/>
    <n v="53668217.469999999"/>
    <s v="Universal associates"/>
    <n v="0"/>
    <s v="70, Hari Darshan Township, Subhashnagar, Bhavnagar"/>
    <n v="9825209897"/>
    <d v="2025-07-25T00:00:00"/>
    <s v="5054 MMGSY NORMAL 2024-25"/>
    <s v="Road and Building Department, Ganghinagar"/>
    <s v="RBD/TRF/e-file/16/2025/4868/Section D1"/>
    <d v="2025-09-01T00:00:00"/>
    <n v="11"/>
    <n v="2684000"/>
    <d v="2029-11-23T00:00:00"/>
    <n v="164500"/>
    <n v="672000"/>
    <d v="2026-10-15T00:00:00"/>
    <d v="2029-09-24T00:00:00"/>
    <n v="1353"/>
    <d v="2025-09-22T00:00:00"/>
    <m/>
    <m/>
    <m/>
    <m/>
    <m/>
    <m/>
    <m/>
    <m/>
    <m/>
    <m/>
    <m/>
    <s v="                        "/>
    <m/>
    <d v="2025-10-15T00:00:00"/>
    <m/>
    <m/>
    <m/>
    <m/>
    <m/>
    <m/>
    <m/>
    <m/>
    <m/>
  </r>
  <r>
    <n v="251"/>
    <m/>
    <s v="2025-26"/>
    <n v="9"/>
    <n v="4"/>
    <s v="Construction to Roads of Bhavnagar District Package No. RPC-2/BVN/MMGSY/Normal/2024-25/P.04 Taluka and Dist.; Bhavnagar"/>
    <s v="(1) Bhuteshvar to State Highway Road_x000a_(2) Thalsar to Butbhavani Temple Road"/>
    <s v="Bhavnagar"/>
    <x v="2"/>
    <s v="Road"/>
    <m/>
    <n v="200894"/>
    <n v="1"/>
    <d v="2025-07-03T00:00:00"/>
    <d v="2025-07-14T00:00:00"/>
    <d v="2025-07-15T00:00:00"/>
    <d v="2025-11-11T00:00:00"/>
    <n v="12069061.77"/>
    <m/>
    <n v="8932312.6199999992"/>
    <n v="-25.99"/>
    <s v="Below"/>
    <s v="Eighty Nine Lakh Thirty Two Thousand Three Hundred Twelve Rupees and Sixty Two Paise Only"/>
    <s v="Circle"/>
    <m/>
    <n v="8932312.6199999992"/>
    <s v="ASHAPURA CONSTRUCTION"/>
    <n v="0"/>
    <s v="&quot;Ashapura Nivas&quot;, Shivaji Nagar, Talaja, Ta. Talaja Dist. Bhavnagar"/>
    <n v="9638310999"/>
    <d v="2025-07-25T00:00:00"/>
    <s v="5054 MMGSY NORMAL 2024-25"/>
    <s v="Superintending Engineer, Panchayat Road and Building Circle-2, Rajkot"/>
    <s v="RPC-2/Tender/Bhavbagar/211"/>
    <d v="2025-08-08T00:00:00"/>
    <n v="6"/>
    <n v="447000"/>
    <d v="2029-07-25T00:00:00"/>
    <n v="50300"/>
    <n v="579000"/>
    <d v="2026-06-16T00:00:00"/>
    <d v="2029-05-26T00:00:00"/>
    <n v="1257"/>
    <d v="2025-09-03T00:00:00"/>
    <s v="2025-26"/>
    <n v="203"/>
    <d v="2025-11-13T00:00:00"/>
    <s v="FDR"/>
    <s v="HDFC Bank"/>
    <s v="50301241287737"/>
    <n v="447000"/>
    <d v="2025-11-03T00:00:00"/>
    <s v="FDR"/>
    <s v="HDFC Bank"/>
    <s v="50301241288868"/>
    <n v="579000"/>
    <d v="2025-11-03T00:00:00"/>
    <d v="2025-11-13T00:00:00"/>
    <n v="1525"/>
    <d v="2025-11-13T00:00:00"/>
    <m/>
    <m/>
    <m/>
    <m/>
    <m/>
    <m/>
    <m/>
  </r>
  <r>
    <n v="252"/>
    <m/>
    <s v="2025-26"/>
    <n v="9"/>
    <n v="5"/>
    <s v="Construction of Bhankhal to Piparala Road (NP) Ch.0/000 to 1/850 Ta.Shihor, Dist.; Bhavnagar"/>
    <m/>
    <s v="Shihor"/>
    <x v="5"/>
    <s v="Road"/>
    <m/>
    <n v="199598"/>
    <n v="1"/>
    <d v="2025-07-03T00:00:00"/>
    <d v="2025-07-14T00:00:00"/>
    <d v="2025-07-15T00:00:00"/>
    <d v="2025-11-11T00:00:00"/>
    <n v="31383339.899999999"/>
    <m/>
    <n v="25288695.289999999"/>
    <n v="-19.420000000000002"/>
    <s v="Below"/>
    <s v="Two Crore Fifty Two Lakh Eighty Eight Thousand Six Hundred Ninety Five Rupees and Twenty Nine Paise Only"/>
    <s v="Government"/>
    <m/>
    <n v="25288695.289999999"/>
    <s v="PRUTHVI CORPORATION"/>
    <s v="GULABSINH LAKHUBHAI SARVAIYA"/>
    <s v="PLOT NO. 1 A-16, Shere Panjab Pachhal, Santkrupa valo khancho, chitra GIDC, BHAVNAGAR-364004"/>
    <s v="9427751520, 9428857071"/>
    <d v="2025-07-25T00:00:00"/>
    <s v="5054 MMGSY NORMAL 2024-25"/>
    <s v="Road and Building Department, Ganghinagar"/>
    <s v="RBD/TRF/e-file/16/2025/4871/Section D1"/>
    <d v="2025-08-18T00:00:00"/>
    <n v="10"/>
    <n v="1265000"/>
    <d v="2029-10-24T00:00:00"/>
    <n v="91000"/>
    <n v="592000"/>
    <d v="2026-09-15T00:00:00"/>
    <d v="2029-08-25T00:00:00"/>
    <n v="1262"/>
    <d v="2025-09-04T00:00:00"/>
    <m/>
    <m/>
    <m/>
    <m/>
    <m/>
    <m/>
    <m/>
    <m/>
    <m/>
    <m/>
    <m/>
    <m/>
    <m/>
    <d v="2025-10-15T00:00:00"/>
    <m/>
    <m/>
    <m/>
    <m/>
    <m/>
    <m/>
    <m/>
    <m/>
    <m/>
  </r>
  <r>
    <n v="253"/>
    <m/>
    <s v="2025-26"/>
    <n v="9"/>
    <n v="6"/>
    <s v="Construction of Ishwariya to Sanosara Railway station Road (NP) Ch.0/000 to 1/650 Ta.Shihor , Dist.; Bhavnagar"/>
    <m/>
    <s v="Shihor"/>
    <x v="5"/>
    <s v="Road"/>
    <m/>
    <n v="199599"/>
    <n v="1"/>
    <d v="2025-07-03T00:00:00"/>
    <d v="2025-07-14T00:00:00"/>
    <d v="2025-07-15T00:00:00"/>
    <d v="2025-11-11T00:00:00"/>
    <n v="14529445.869999999"/>
    <m/>
    <n v="12560705.949999999"/>
    <n v="-13.55"/>
    <s v="Below"/>
    <s v="One Crore Twenty Five Lakh Sixty Thousand Seven Hundred Five Rupees and Ninety Five Paise Only"/>
    <s v="Circle"/>
    <m/>
    <n v="12560705.949999999"/>
    <s v="VIJAYBHAI MOHANBHAI SINDHAV"/>
    <n v="0"/>
    <s v="AT JALALPUR, TA. GADHADA, DIST. BOTAD - 364740"/>
    <n v="8849179437"/>
    <d v="2025-07-25T00:00:00"/>
    <s v="5054 MMGSY NORMAL"/>
    <s v="Superintending Engineer, Panchayat Road and Building Circle-2, Rajkot"/>
    <s v="RPC-2/Tender/Bhavbagar/210"/>
    <d v="2025-08-08T00:00:00"/>
    <n v="8"/>
    <n v="629000"/>
    <d v="2029-08-25T00:00:00"/>
    <n v="36000"/>
    <n v="104000"/>
    <d v="2026-07-17T00:00:00"/>
    <d v="2029-06-26T00:00:00"/>
    <n v="1256"/>
    <d v="2025-09-03T00:00:00"/>
    <m/>
    <m/>
    <m/>
    <m/>
    <m/>
    <m/>
    <m/>
    <m/>
    <m/>
    <m/>
    <m/>
    <m/>
    <m/>
    <d v="2025-10-15T00:00:00"/>
    <m/>
    <m/>
    <m/>
    <m/>
    <m/>
    <m/>
    <m/>
    <m/>
    <m/>
  </r>
  <r>
    <n v="254"/>
    <m/>
    <s v="2025-26"/>
    <n v="9"/>
    <n v="7"/>
    <s v="Construction of Panchvada to Meghvadar Road (NP) Ch. 0/000 to 3/750 Ta.Shihor, Dist.; Bhavnagar"/>
    <m/>
    <s v="Shihor"/>
    <x v="5"/>
    <s v="Road"/>
    <m/>
    <n v="199600"/>
    <n v="1"/>
    <d v="2025-07-03T00:00:00"/>
    <d v="2025-07-14T00:00:00"/>
    <d v="2025-07-15T00:00:00"/>
    <d v="2025-11-11T00:00:00"/>
    <n v="21473015.379999999"/>
    <m/>
    <n v="18786741.16"/>
    <n v="-12.51"/>
    <s v="Below"/>
    <s v="One Crore Eighty Seven Lakh Eighty Six Thousand Seven Hundred Forty One Rupees and Sixteen Paise Only"/>
    <s v="Circle"/>
    <m/>
    <n v="18786741.16"/>
    <s v="Universal associates"/>
    <n v="0"/>
    <s v="70, Hari Darshan Township, Subhashnagar, Bhavnagar"/>
    <n v="9825209897"/>
    <d v="2025-07-25T00:00:00"/>
    <s v="5054 MMGSY NORMAL 2024-25"/>
    <s v="Road and Building Department, Ganghinagar"/>
    <s v="RBD/TRF/e-file/16/2025/4865/Section D1"/>
    <d v="2025-08-18T00:00:00"/>
    <n v="8"/>
    <n v="940000"/>
    <d v="2029-08-25T00:00:00"/>
    <n v="51400"/>
    <n v="108000"/>
    <d v="2026-07-17T00:00:00"/>
    <d v="2029-06-26T00:00:00"/>
    <n v="1261"/>
    <d v="2025-09-04T00:00:00"/>
    <m/>
    <m/>
    <m/>
    <m/>
    <m/>
    <m/>
    <m/>
    <m/>
    <m/>
    <m/>
    <m/>
    <m/>
    <m/>
    <d v="2025-10-15T00:00:00"/>
    <m/>
    <m/>
    <m/>
    <m/>
    <m/>
    <m/>
    <m/>
    <m/>
    <m/>
  </r>
  <r>
    <n v="255"/>
    <m/>
    <s v="2025-26"/>
    <n v="9"/>
    <n v="8"/>
    <s v="Construction of Kerala to Mangela Road (NP) Ch.0/000 to 4/000 (Sec.0/000-3/200) Ta. Talaja, Dist. Bhavnagar"/>
    <m/>
    <s v="Talaja"/>
    <x v="4"/>
    <s v="Road"/>
    <m/>
    <n v="199601"/>
    <n v="1"/>
    <d v="2025-07-03T00:00:00"/>
    <d v="2025-07-14T00:00:00"/>
    <d v="2025-07-15T00:00:00"/>
    <d v="2025-11-11T00:00:00"/>
    <n v="21756202.609999999"/>
    <s v="Yes"/>
    <m/>
    <m/>
    <s v="Equals"/>
    <s v="Zero Rupees Only"/>
    <s v="Division"/>
    <m/>
    <n v="0"/>
    <m/>
    <n v="0"/>
    <n v="0"/>
    <n v="0"/>
    <m/>
    <m/>
    <m/>
    <m/>
    <m/>
    <m/>
    <n v="0"/>
    <d v="1903-03-15T00:00:00"/>
    <n v="0"/>
    <n v="0"/>
    <d v="1900-02-03T00:00:00"/>
    <d v="1903-01-14T00:00:00"/>
    <m/>
    <m/>
    <m/>
    <m/>
    <m/>
    <m/>
    <m/>
    <m/>
    <m/>
    <m/>
    <m/>
    <m/>
    <m/>
    <m/>
    <m/>
    <m/>
    <m/>
    <m/>
    <m/>
    <m/>
    <m/>
    <m/>
    <m/>
    <m/>
    <m/>
  </r>
  <r>
    <n v="256"/>
    <m/>
    <s v="2025-26"/>
    <n v="9"/>
    <n v="9"/>
    <s v="Construction of Vejodari to Mangela Road (NP) Ch.0/000 to 2/250 Ta. Talaja, Dist. Bhavnagar"/>
    <m/>
    <s v="Talaja"/>
    <x v="4"/>
    <s v="Road"/>
    <m/>
    <n v="199602"/>
    <n v="1"/>
    <d v="2025-07-03T00:00:00"/>
    <d v="2025-07-14T00:00:00"/>
    <d v="2025-07-15T00:00:00"/>
    <d v="2025-11-11T00:00:00"/>
    <n v="13636075.76"/>
    <s v="Yes"/>
    <m/>
    <m/>
    <s v="Equals"/>
    <s v="Zero Rupees Only"/>
    <s v="Division"/>
    <m/>
    <n v="0"/>
    <m/>
    <n v="0"/>
    <n v="0"/>
    <n v="0"/>
    <m/>
    <m/>
    <m/>
    <m/>
    <m/>
    <m/>
    <n v="0"/>
    <d v="1903-03-15T00:00:00"/>
    <n v="0"/>
    <n v="0"/>
    <d v="1900-02-03T00:00:00"/>
    <d v="1903-01-14T00:00:00"/>
    <m/>
    <m/>
    <m/>
    <m/>
    <m/>
    <m/>
    <m/>
    <m/>
    <m/>
    <m/>
    <m/>
    <m/>
    <m/>
    <m/>
    <m/>
    <m/>
    <m/>
    <m/>
    <m/>
    <m/>
    <m/>
    <m/>
    <m/>
    <m/>
    <m/>
  </r>
  <r>
    <n v="257"/>
    <m/>
    <s v="2025-26"/>
    <n v="9"/>
    <n v="10"/>
    <s v="Construction of Ratanvav To Paravadi Road (NP) Km.0/000 to 3/500 Ta.Gariyadhar , Dist.; Bhavnagar"/>
    <m/>
    <s v="Gariyadhar"/>
    <x v="3"/>
    <s v="Road"/>
    <m/>
    <n v="199603"/>
    <n v="1"/>
    <d v="2025-07-03T00:00:00"/>
    <d v="2025-07-14T00:00:00"/>
    <d v="2025-07-15T00:00:00"/>
    <d v="2025-11-11T00:00:00"/>
    <n v="41947449.920000002"/>
    <m/>
    <n v="33864176.32"/>
    <n v="-19.27"/>
    <s v="Below"/>
    <s v="Three Crore Thirty Eight Lakh Sixty Four Thousand One Hundred Seventy Six Rupees and Thirty Two Paise Only"/>
    <s v="Government"/>
    <m/>
    <n v="33864176.32"/>
    <s v="SHIV DHARA ENTERPRISE"/>
    <n v="0"/>
    <s v="Shop No. 131/B, First Floor, Shiva Belssing-2, Opp. BMC Office, Bhavnagar"/>
    <n v="9925888787"/>
    <d v="2025-07-25T00:00:00"/>
    <s v="5054 MMGSY NORMAL 2025-26"/>
    <s v="Road and Building Department, Ganghinagar"/>
    <s v="RBD/TRF/e-file/16/2025/4870/Section D1"/>
    <d v="2025-09-01T00:00:00"/>
    <n v="10"/>
    <n v="1694000"/>
    <d v="2029-10-24T00:00:00"/>
    <n v="121200"/>
    <n v="778000"/>
    <d v="2026-09-15T00:00:00"/>
    <d v="2029-08-25T00:00:00"/>
    <n v="1354"/>
    <d v="2025-09-22T00:00:00"/>
    <m/>
    <m/>
    <m/>
    <m/>
    <m/>
    <m/>
    <m/>
    <m/>
    <m/>
    <m/>
    <m/>
    <m/>
    <m/>
    <d v="2025-10-15T00:00:00"/>
    <m/>
    <m/>
    <m/>
    <m/>
    <m/>
    <m/>
    <m/>
    <m/>
    <m/>
  </r>
  <r>
    <n v="258"/>
    <m/>
    <s v="2025-26"/>
    <n v="9"/>
    <n v="11"/>
    <s v="Construction of Ratol To Chuna Road (Remaining Length) (NP) Km.0/000 to 1/400 Ta.Mahuva , Dist.; Bhavnagar"/>
    <m/>
    <s v="Mahuva"/>
    <x v="1"/>
    <s v="Road"/>
    <m/>
    <n v="199604"/>
    <n v="1"/>
    <d v="2025-07-03T00:00:00"/>
    <d v="2025-07-14T00:00:00"/>
    <d v="2025-07-15T00:00:00"/>
    <d v="2025-11-11T00:00:00"/>
    <n v="10473002.869999999"/>
    <m/>
    <n v="11075200.539999999"/>
    <n v="5.75"/>
    <s v="Above"/>
    <s v="One Crore Ten Lakh Seventy Five Thousand Two Hundred Rupees and Fifty Four Paise Only"/>
    <s v="Circle"/>
    <m/>
    <n v="11075200.539999999"/>
    <s v="SHIV DHARA ENTERPRISE"/>
    <n v="0"/>
    <s v="Shop No. 131/B, First Floor, Shiva Belssing-2, Opp. BMC Office, Bhavnagar"/>
    <n v="9925888787"/>
    <d v="2025-07-25T00:00:00"/>
    <s v="5054 MMGSY NORMAL 2024-25"/>
    <s v="Superintending Engineer, Panchayat Road and Building Circle-2, Rajkot"/>
    <s v="RPC-2/Tender/Bhavbagar/212"/>
    <d v="2025-08-08T00:00:00"/>
    <n v="6"/>
    <n v="554000"/>
    <d v="2029-06-12T00:00:00"/>
    <n v="27200"/>
    <n v="0"/>
    <d v="2026-05-04T00:00:00"/>
    <d v="2029-04-13T00:00:00"/>
    <n v="1254"/>
    <d v="2025-09-03T00:00:00"/>
    <m/>
    <m/>
    <m/>
    <m/>
    <m/>
    <m/>
    <m/>
    <m/>
    <m/>
    <m/>
    <m/>
    <m/>
    <m/>
    <d v="2025-10-01T00:00:00"/>
    <m/>
    <m/>
    <m/>
    <m/>
    <m/>
    <m/>
    <m/>
    <m/>
    <m/>
  </r>
  <r>
    <n v="259"/>
    <m/>
    <s v="2025-26"/>
    <n v="9"/>
    <n v="12"/>
    <s v="Construction of Panchtobra Gangajaliya to Malvali Road to Ratanvav Surnivas Road (NP) Km.0/000 to 2/200 Ta. Gariyadhar , Dist.; Bhavnagar"/>
    <m/>
    <s v="Gariyadhar"/>
    <x v="3"/>
    <s v="Road"/>
    <m/>
    <n v="199605"/>
    <n v="1"/>
    <d v="2025-07-03T00:00:00"/>
    <d v="2025-07-14T00:00:00"/>
    <d v="2025-07-15T00:00:00"/>
    <d v="2025-11-11T00:00:00"/>
    <n v="27666802.899999999"/>
    <m/>
    <n v="21884441.09"/>
    <n v="-20.9"/>
    <s v="Below"/>
    <s v="Two Crore Eighteen Lakh Eighty Four Thousand Four Hundred Forty One Rupees and Nine Paise Only"/>
    <s v="Government"/>
    <m/>
    <n v="21884441.09"/>
    <s v="Suraj Corporation"/>
    <n v="0"/>
    <s v="SH-404, Amazing Star, Opp. Vishvamitri Society, Varachha, Surat - 395006"/>
    <n v="0"/>
    <d v="2025-07-25T00:00:00"/>
    <s v="5054 MMGSY NORMAL 2024-25"/>
    <s v="Road and Building Department, Ganghinagar"/>
    <s v="RBD/TRF/e-file/16/2025/4866/Section D1"/>
    <d v="2025-08-18T00:00:00"/>
    <n v="10"/>
    <n v="1095000"/>
    <d v="2029-10-24T00:00:00"/>
    <n v="98000"/>
    <n v="905000"/>
    <d v="2026-09-15T00:00:00"/>
    <d v="2029-08-25T00:00:00"/>
    <n v="1260"/>
    <d v="2025-09-04T00:00:00"/>
    <m/>
    <m/>
    <m/>
    <m/>
    <m/>
    <m/>
    <m/>
    <m/>
    <m/>
    <m/>
    <m/>
    <m/>
    <m/>
    <d v="2025-10-15T00:00:00"/>
    <m/>
    <m/>
    <m/>
    <m/>
    <m/>
    <m/>
    <m/>
    <m/>
    <m/>
  </r>
  <r>
    <n v="260"/>
    <m/>
    <s v="2025-26"/>
    <n v="9"/>
    <n v="13"/>
    <s v="Construction of Slab Drain on Krushnapara Village Joining Highway Road At Ch.0/020 Ta.Shihor , Dist.; Bhavnagar"/>
    <m/>
    <s v="Shihor"/>
    <x v="5"/>
    <s v="Road"/>
    <m/>
    <n v="199608"/>
    <n v="1"/>
    <d v="2025-07-03T00:00:00"/>
    <d v="2025-07-14T00:00:00"/>
    <d v="2025-07-15T00:00:00"/>
    <d v="2025-11-11T00:00:00"/>
    <n v="7466411.8799999999"/>
    <m/>
    <n v="5811855.0099999998"/>
    <n v="-22.16"/>
    <s v="Below"/>
    <s v="Fifty Eight Lakh Eleven Thousand Eight Hundred Fifty Five Rupees and One Paise Only"/>
    <s v="Circle"/>
    <m/>
    <n v="5811855.0099999998"/>
    <s v="MAHI INFRASTRUCTURE"/>
    <n v="0"/>
    <s v="At Gadhula, Ta. Shihor, Dist. Bhavnagar - 364230"/>
    <n v="9979347794"/>
    <d v="2025-07-25T00:00:00"/>
    <s v="5054 MMGSY NORMAL"/>
    <s v="Superintending Engineer, Panchayat Road and Building Circle-2, Rajkot"/>
    <s v="RPC-2/Tender/Bhavbagar/213"/>
    <d v="2025-08-08T00:00:00"/>
    <n v="6"/>
    <n v="291000"/>
    <d v="2027-07-07T00:00:00"/>
    <n v="27700"/>
    <n v="273000"/>
    <d v="2026-05-18T00:00:00"/>
    <d v="2027-05-08T00:00:00"/>
    <n v="1220"/>
    <d v="2025-08-29T00:00:00"/>
    <s v="2025-26"/>
    <n v="190"/>
    <d v="2025-10-13T00:00:00"/>
    <s v="FDR"/>
    <s v="State Bank of India"/>
    <n v="44461392653"/>
    <n v="291000"/>
    <d v="2025-09-11T00:00:00"/>
    <s v="FDR"/>
    <s v="State Bank of India"/>
    <n v="44461391773"/>
    <n v="273000"/>
    <d v="2025-09-11T00:00:00"/>
    <d v="2025-10-15T00:00:00"/>
    <n v="1474"/>
    <d v="2025-10-13T00:00:00"/>
    <m/>
    <m/>
    <m/>
    <m/>
    <m/>
    <m/>
    <m/>
  </r>
  <r>
    <n v="261"/>
    <m/>
    <s v="2025-26"/>
    <n v="9"/>
    <n v="14"/>
    <s v="Construction to Roads of Bhavnagar District Package No. RPC-2/BVN/Normal/2022-23/P.06, Ta. Talaja"/>
    <s v="(1) Juni Chhapari Juna Sangana Road_x000a_(2) Pasvi Motaghana Road_x000a_(3) Pasvi Bhungar Road"/>
    <s v="Talaja"/>
    <x v="4"/>
    <s v="Road"/>
    <m/>
    <m/>
    <n v="2"/>
    <d v="2025-07-03T00:00:00"/>
    <d v="2025-07-14T00:00:00"/>
    <d v="2025-07-15T00:00:00"/>
    <d v="2025-11-11T00:00:00"/>
    <n v="55033209.789999999"/>
    <s v="Yes"/>
    <m/>
    <m/>
    <s v="Equals"/>
    <s v="Zero Rupees Only"/>
    <s v="Division"/>
    <m/>
    <n v="0"/>
    <m/>
    <n v="0"/>
    <n v="0"/>
    <n v="0"/>
    <m/>
    <m/>
    <m/>
    <m/>
    <m/>
    <m/>
    <n v="0"/>
    <d v="2028-12-28T00:00:00"/>
    <n v="0"/>
    <n v="0"/>
    <d v="2025-11-19T00:00:00"/>
    <d v="2028-10-29T00:00:00"/>
    <m/>
    <m/>
    <m/>
    <m/>
    <m/>
    <m/>
    <m/>
    <m/>
    <m/>
    <m/>
    <m/>
    <m/>
    <m/>
    <m/>
    <m/>
    <d v="2025-10-15T00:00:00"/>
    <m/>
    <m/>
    <m/>
    <m/>
    <m/>
    <m/>
    <m/>
    <m/>
    <m/>
  </r>
  <r>
    <n v="262"/>
    <m/>
    <s v="2025-26"/>
    <n v="9"/>
    <n v="15"/>
    <s v="Construction of Ambla To Mahadevpara Road (NP) 0/00-3/200 Ta.Talaja Dist.; Bhavnagar."/>
    <m/>
    <s v="Talaja"/>
    <x v="4"/>
    <s v="Road"/>
    <m/>
    <n v="199607"/>
    <n v="2"/>
    <d v="2025-07-03T00:00:00"/>
    <d v="2025-07-14T00:00:00"/>
    <d v="2025-07-15T00:00:00"/>
    <d v="2025-11-11T00:00:00"/>
    <n v="22338543.73"/>
    <m/>
    <n v="27029637.91"/>
    <n v="21"/>
    <s v="Above"/>
    <s v="Two Crore Seventy Lakh Twenty Nine Thousand Six Hundred Thirty Seven Rupees and Ninety One Paise Only"/>
    <s v="Government"/>
    <m/>
    <n v="27029637.91"/>
    <s v="KRISHNA CONSTRUCTION"/>
    <s v="BHADRESHSINH BHAGWATSING GOHIL"/>
    <s v="A/8, AKSHARDEEP COMPLEX, OPP. DEEPAK MEMORIAL HALL, SANSKAR MANDAL, BHAVNAGAR-364002"/>
    <n v="9925209999"/>
    <d v="2025-07-25T00:00:00"/>
    <s v="5054 MMGSY NORMAL"/>
    <s v="Road and Building Department, Ganghinagar"/>
    <s v="RBD/TRF/e-file/16/2025/4869/Section D1"/>
    <d v="2025-08-12T00:00:00"/>
    <n v="8"/>
    <n v="1352000"/>
    <d v="2029-08-25T00:00:00"/>
    <n v="66300"/>
    <n v="0"/>
    <d v="2026-07-17T00:00:00"/>
    <d v="2029-06-26T00:00:00"/>
    <n v="1255"/>
    <d v="2025-09-03T00:00:00"/>
    <m/>
    <m/>
    <m/>
    <m/>
    <m/>
    <m/>
    <m/>
    <m/>
    <m/>
    <m/>
    <m/>
    <m/>
    <m/>
    <d v="2025-10-15T00:00:00"/>
    <m/>
    <m/>
    <m/>
    <m/>
    <m/>
    <m/>
    <m/>
    <m/>
    <m/>
  </r>
  <r>
    <n v="263"/>
    <m/>
    <s v="2025-26"/>
    <n v="10"/>
    <n v="1"/>
    <s v="Work of Constructing, Strengthening and Resurfacing of various important roads as and when required or in emergency under bhavnagar district (Panchayat) (Annual Rate)"/>
    <m/>
    <m/>
    <x v="6"/>
    <s v="Consultant"/>
    <m/>
    <n v="199490"/>
    <n v="1"/>
    <m/>
    <m/>
    <m/>
    <d v="1900-04-29T00:00:00"/>
    <n v="247012304.03"/>
    <s v="Yes"/>
    <m/>
    <m/>
    <s v="Equals"/>
    <s v="Zero Rupees Only"/>
    <s v="Division"/>
    <m/>
    <n v="0"/>
    <m/>
    <n v="0"/>
    <n v="0"/>
    <n v="0"/>
    <m/>
    <m/>
    <m/>
    <m/>
    <m/>
    <m/>
    <n v="0"/>
    <d v="1903-03-15T00:00:00"/>
    <n v="0"/>
    <n v="0"/>
    <d v="1900-02-03T00:00:00"/>
    <d v="1903-01-14T00:00:00"/>
    <m/>
    <m/>
    <m/>
    <m/>
    <m/>
    <m/>
    <m/>
    <m/>
    <m/>
    <m/>
    <m/>
    <m/>
    <m/>
    <m/>
    <m/>
    <m/>
    <m/>
    <m/>
    <m/>
    <m/>
    <m/>
    <m/>
    <m/>
    <m/>
    <m/>
  </r>
  <r>
    <n v="264"/>
    <m/>
    <s v="2025-26"/>
    <n v="10"/>
    <n v="2"/>
    <s v="Conctruction Work of New Cross Drainage, Repairing Cross Drainage, Structure and Bridge Repair work and other Misc. work various roads as and when  required or in emergency under bhavnagar district (Panchayat) (Annual Rate)"/>
    <m/>
    <m/>
    <x v="6"/>
    <s v="Consultant"/>
    <m/>
    <n v="199492"/>
    <n v="1"/>
    <m/>
    <m/>
    <m/>
    <d v="1900-04-29T00:00:00"/>
    <n v="248929554.08000001"/>
    <s v="Yes"/>
    <m/>
    <m/>
    <s v="Equals"/>
    <s v="Zero Rupees Only"/>
    <s v="Division"/>
    <m/>
    <n v="0"/>
    <m/>
    <n v="0"/>
    <n v="0"/>
    <n v="0"/>
    <m/>
    <m/>
    <m/>
    <m/>
    <m/>
    <m/>
    <n v="0"/>
    <d v="1903-03-15T00:00:00"/>
    <n v="0"/>
    <n v="0"/>
    <d v="1900-02-03T00:00:00"/>
    <d v="1903-01-14T00:00:00"/>
    <m/>
    <m/>
    <m/>
    <m/>
    <m/>
    <m/>
    <m/>
    <m/>
    <m/>
    <m/>
    <m/>
    <m/>
    <m/>
    <m/>
    <m/>
    <m/>
    <m/>
    <m/>
    <m/>
    <m/>
    <m/>
    <m/>
    <m/>
    <m/>
    <m/>
  </r>
  <r>
    <n v="265"/>
    <m/>
    <s v="2025-26"/>
    <n v="11"/>
    <n v="1"/>
    <s v="Remaining works of Gram Panchayat office Building (Frame Structure) Gariyadhar Taluka Package No. 2017-18/18 (Shivendranagar, Moti Vavdi, Rupavati), Dist. Bhavnagar"/>
    <m/>
    <s v="Gariyadhar"/>
    <x v="3"/>
    <s v="Building"/>
    <m/>
    <m/>
    <n v="9"/>
    <m/>
    <m/>
    <m/>
    <d v="1900-04-29T00:00:00"/>
    <m/>
    <s v="Yes"/>
    <m/>
    <m/>
    <s v="Equals"/>
    <s v="Zero Rupees Only"/>
    <s v="Division"/>
    <m/>
    <n v="0"/>
    <m/>
    <n v="0"/>
    <n v="0"/>
    <n v="0"/>
    <m/>
    <m/>
    <m/>
    <m/>
    <m/>
    <m/>
    <n v="0"/>
    <d v="1901-03-25T00:00:00"/>
    <n v="0"/>
    <n v="0"/>
    <d v="1900-02-03T00:00:00"/>
    <d v="1901-01-24T00:00:00"/>
    <m/>
    <m/>
    <m/>
    <m/>
    <m/>
    <m/>
    <m/>
    <m/>
    <m/>
    <m/>
    <m/>
    <m/>
    <m/>
    <m/>
    <m/>
    <m/>
    <m/>
    <m/>
    <m/>
    <m/>
    <m/>
    <m/>
    <m/>
    <m/>
    <m/>
  </r>
  <r>
    <n v="266"/>
    <m/>
    <s v="2025-26"/>
    <n v="11"/>
    <n v="2"/>
    <s v="Remaining works Construction of Gram Panchayat office Building (Frame Structure) at village Pansada Dist. Bhavnagar"/>
    <m/>
    <s v="Gariyadhar"/>
    <x v="3"/>
    <s v="Building"/>
    <m/>
    <m/>
    <n v="9"/>
    <m/>
    <m/>
    <m/>
    <d v="1900-04-29T00:00:00"/>
    <m/>
    <s v="Yes"/>
    <m/>
    <m/>
    <s v="Equals"/>
    <s v="Zero Rupees Only"/>
    <s v="Division"/>
    <m/>
    <n v="0"/>
    <m/>
    <n v="0"/>
    <n v="0"/>
    <n v="0"/>
    <m/>
    <m/>
    <m/>
    <m/>
    <m/>
    <m/>
    <n v="0"/>
    <d v="1901-03-25T00:00:00"/>
    <n v="0"/>
    <n v="0"/>
    <d v="1900-02-03T00:00:00"/>
    <d v="1901-01-24T00:00:00"/>
    <m/>
    <m/>
    <m/>
    <m/>
    <m/>
    <m/>
    <m/>
    <m/>
    <m/>
    <m/>
    <m/>
    <m/>
    <m/>
    <m/>
    <m/>
    <m/>
    <m/>
    <m/>
    <m/>
    <m/>
    <m/>
    <m/>
    <m/>
    <m/>
    <m/>
  </r>
  <r>
    <n v="267"/>
    <m/>
    <s v="2025-26"/>
    <n v="11"/>
    <n v="3"/>
    <s v="Construction of School Building at Kalivav Primary School (One Class Room)  and Koliyak Kanya P.S. (Four Class Room) Ta. And Dist. Bhavnagar"/>
    <m/>
    <s v="Bhavnagar"/>
    <x v="2"/>
    <s v="Building"/>
    <m/>
    <m/>
    <n v="7"/>
    <m/>
    <m/>
    <m/>
    <d v="1900-04-29T00:00:00"/>
    <m/>
    <s v="Yes"/>
    <m/>
    <m/>
    <s v="Equals"/>
    <s v="Zero Rupees Only"/>
    <s v="Division"/>
    <m/>
    <n v="0"/>
    <m/>
    <n v="0"/>
    <n v="0"/>
    <n v="0"/>
    <m/>
    <m/>
    <m/>
    <m/>
    <m/>
    <m/>
    <n v="0"/>
    <d v="1901-03-25T00:00:00"/>
    <n v="0"/>
    <n v="0"/>
    <d v="1900-02-03T00:00:00"/>
    <d v="1901-01-24T00:00:00"/>
    <m/>
    <m/>
    <m/>
    <m/>
    <m/>
    <m/>
    <m/>
    <m/>
    <m/>
    <m/>
    <m/>
    <m/>
    <m/>
    <m/>
    <m/>
    <m/>
    <m/>
    <m/>
    <m/>
    <m/>
    <m/>
    <m/>
    <m/>
    <m/>
    <m/>
  </r>
  <r>
    <n v="268"/>
    <m/>
    <s v="2025-26"/>
    <n v="11"/>
    <n v="4"/>
    <s v="Construction of Nandghar (Anganvadi) Building at Undavi-1 (Bhavnagar) Ta. Bhavnagar Dist. Bhavnagar"/>
    <m/>
    <s v="Bhavnagar"/>
    <x v="2"/>
    <s v="Building"/>
    <s v="Anganvadi"/>
    <m/>
    <n v="3"/>
    <m/>
    <m/>
    <m/>
    <d v="1900-04-29T00:00:00"/>
    <m/>
    <s v="Yes"/>
    <m/>
    <m/>
    <s v="Equals"/>
    <s v="Zero Rupees Only"/>
    <s v="Division"/>
    <m/>
    <n v="0"/>
    <m/>
    <n v="0"/>
    <n v="0"/>
    <n v="0"/>
    <m/>
    <m/>
    <m/>
    <m/>
    <m/>
    <m/>
    <n v="0"/>
    <d v="1901-03-25T00:00:00"/>
    <n v="0"/>
    <n v="0"/>
    <d v="1900-02-03T00:00:00"/>
    <d v="1901-01-24T00:00:00"/>
    <m/>
    <m/>
    <m/>
    <m/>
    <m/>
    <m/>
    <m/>
    <m/>
    <m/>
    <m/>
    <m/>
    <m/>
    <m/>
    <m/>
    <m/>
    <m/>
    <m/>
    <m/>
    <m/>
    <m/>
    <m/>
    <m/>
    <m/>
    <m/>
    <m/>
  </r>
  <r>
    <n v="269"/>
    <m/>
    <s v="2025-26"/>
    <n v="11"/>
    <n v="5"/>
    <s v="Construction of Nandghar (Anganvadi) Building at Village Kumbhariy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0"/>
    <m/>
    <s v="2025-26"/>
    <n v="11"/>
    <n v="6"/>
    <s v="Construction of Nandghar (Anganvadi) Building at Village Mota Khuntavada-2,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1"/>
    <m/>
    <s v="2025-26"/>
    <n v="11"/>
    <n v="7"/>
    <s v="Construction of Nandghar (Anganvadi) Building at Village Titodiy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2"/>
    <m/>
    <s v="2025-26"/>
    <n v="11"/>
    <n v="8"/>
    <s v="Construction of Nandghar (Anganvadi) Building at Village Gundarani,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3"/>
    <m/>
    <s v="2025-26"/>
    <n v="11"/>
    <n v="9"/>
    <s v="Construction of Nandghar (Anganvadi) Building at Village Mota Malpar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4"/>
    <m/>
    <s v="2025-26"/>
    <n v="11"/>
    <n v="10"/>
    <s v="Construction of Nandghar (Anganvadi) Building at Village Bagdana-3 Tal. Mahuva Dist. Bhavnagar"/>
    <m/>
    <s v="Mahuva"/>
    <x v="1"/>
    <s v="Building"/>
    <s v="Anganvadi"/>
    <n v="199528"/>
    <n v="3"/>
    <m/>
    <d v="2025-07-10T00:00:00"/>
    <m/>
    <d v="2025-11-07T00:00:00"/>
    <n v="1024912.96"/>
    <m/>
    <n v="1024912.96"/>
    <n v="0"/>
    <s v="Equals"/>
    <s v="Ten Lakh Twenty Four Thousand Nine Hundred Twelve Rupees and Ninety Six Paise Only"/>
    <s v="Division"/>
    <m/>
    <n v="1024912.96"/>
    <s v="GOPNATHJI CONSTRUCTIONS PRIVATE LIMITED"/>
    <n v="0"/>
    <s v="185, Reliya Plot Vistar, Reliya, Tal. Talaja, Dist. Bhavnagar-364135"/>
    <n v="9737944545"/>
    <m/>
    <m/>
    <m/>
    <m/>
    <m/>
    <m/>
    <n v="52000"/>
    <d v="2026-12-25T00:00:00"/>
    <n v="2600"/>
    <n v="0"/>
    <d v="2025-11-05T00:00:00"/>
    <d v="2026-10-26T00:00:00"/>
    <n v="1282"/>
    <d v="2025-09-09T00:00:00"/>
    <m/>
    <m/>
    <m/>
    <m/>
    <m/>
    <m/>
    <m/>
    <m/>
    <m/>
    <m/>
    <m/>
    <m/>
    <m/>
    <d v="2025-10-01T00:00:00"/>
    <m/>
    <m/>
    <m/>
    <m/>
    <m/>
    <m/>
    <m/>
    <m/>
    <m/>
  </r>
  <r>
    <n v="275"/>
    <m/>
    <s v="2025-26"/>
    <n v="11"/>
    <n v="11"/>
    <s v="Construction of Nandghar (Anganvadi) Building at Village Mota Khuntavada-3,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6"/>
    <m/>
    <s v="2025-26"/>
    <n v="11"/>
    <n v="12"/>
    <s v="Construction of Nandghar (Anganvadi) Building at Village Vaghvadard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7"/>
    <m/>
    <s v="2025-26"/>
    <n v="11"/>
    <n v="13"/>
    <s v="Construction of Nandghar (Anganvadi) Building at Village Lusadi Tal. Mahuva Dist. Bhavnagar"/>
    <m/>
    <s v="Mahuva"/>
    <x v="1"/>
    <s v="Building"/>
    <s v="Anganvadi"/>
    <n v="199533"/>
    <n v="3"/>
    <m/>
    <d v="2025-07-10T00:00:00"/>
    <m/>
    <d v="2025-11-07T00:00:00"/>
    <n v="1024912.96"/>
    <m/>
    <n v="988528.55"/>
    <n v="-3.55"/>
    <s v="Below"/>
    <s v="Nine Lakh Eighty Eight Thousand Five Hundred Twenty Eight Rupees and Fifty Five Paise Only"/>
    <s v="Division"/>
    <m/>
    <n v="988528.55"/>
    <s v="BALAJI CONSTRUCTION"/>
    <s v="Siddharth Parbatbhai Bed"/>
    <s v="At Hemal, Ta. Jafarabad, Dist. Amreli - 365545"/>
    <n v="9586762457"/>
    <m/>
    <m/>
    <m/>
    <m/>
    <m/>
    <n v="3"/>
    <n v="50000"/>
    <d v="2027-03-04T00:00:00"/>
    <n v="2500"/>
    <n v="0"/>
    <d v="2026-01-13T00:00:00"/>
    <d v="2027-01-03T00:00:00"/>
    <n v="1206"/>
    <d v="2025-08-26T00:00:00"/>
    <s v="2025-26"/>
    <n v="145"/>
    <d v="2025-09-10T00:00:00"/>
    <s v="FDR"/>
    <s v="SAURASHTRA GRAMIN BANK"/>
    <n v="78049184775"/>
    <n v="50000"/>
    <d v="2025-09-03T00:00:00"/>
    <m/>
    <m/>
    <m/>
    <m/>
    <m/>
    <d v="2025-09-10T00:00:00"/>
    <n v="1288"/>
    <d v="2025-09-10T00:00:00"/>
    <m/>
    <m/>
    <m/>
    <m/>
    <m/>
    <m/>
    <m/>
  </r>
  <r>
    <n v="278"/>
    <m/>
    <s v="2025-26"/>
    <n v="11"/>
    <n v="14"/>
    <s v="Construction of Nandghar (Anganvadi) Building at Village Dudan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9"/>
    <m/>
    <s v="2025-26"/>
    <n v="12"/>
    <n v="1"/>
    <s v="Work of Constructing, Strengthening and Resurfacing of various important roads as and when required or in emergency under bhavnagar district (Panchayat) (Annual Rate)"/>
    <m/>
    <s v="Bhavnagar"/>
    <x v="2"/>
    <s v="Consultant"/>
    <m/>
    <n v="203561"/>
    <n v="2"/>
    <d v="2025-07-10T00:00:00"/>
    <d v="2025-07-18T00:00:00"/>
    <d v="2025-07-19T00:00:00"/>
    <d v="2025-11-15T00:00:00"/>
    <n v="247012304.43000001"/>
    <m/>
    <n v="258992401.19"/>
    <n v="4.8499999999999996"/>
    <s v="Above"/>
    <s v="Twenty Five Crore Eighty Nine Lakh Ninety Two Thousand Four Hundred One Rupees and Nineteen Paise Only"/>
    <s v="Government"/>
    <m/>
    <n v="258992401.19"/>
    <s v="HARI OM CONSTRUCTION CO."/>
    <n v="0"/>
    <s v="Opp. Nagar Palika Shoping Center, Swami Vivekanand Park, Devli Road, Kodinar, Dist. Gir Somnath - 362720"/>
    <n v="9898222122"/>
    <d v="2025-08-06T00:00:00"/>
    <m/>
    <s v="Road and Building Department, Ganghinagar"/>
    <s v="RBD/TRF/e-file/16/2025/5166/Section D1"/>
    <d v="2025-09-10T00:00:00"/>
    <n v="12"/>
    <n v="12950000"/>
    <d v="1904-03-09T00:00:00"/>
    <n v="634600"/>
    <n v="0"/>
    <d v="1901-01-29T00:00:00"/>
    <d v="1904-01-09T00:00:00"/>
    <n v="1400"/>
    <d v="2025-09-29T00:00:00"/>
    <m/>
    <m/>
    <m/>
    <m/>
    <m/>
    <m/>
    <m/>
    <m/>
    <m/>
    <m/>
    <m/>
    <m/>
    <m/>
    <m/>
    <m/>
    <m/>
    <m/>
    <m/>
    <m/>
    <m/>
    <m/>
    <m/>
    <s v="Work Order will be given after Contractor submits Security Deposit."/>
  </r>
  <r>
    <n v="280"/>
    <m/>
    <s v="2025-26"/>
    <n v="12"/>
    <n v="2"/>
    <s v="Conctruction Work of New Cross Drainage, Repairing Cross Drainage, Structure and Bridge Repair work and other Misc. work various roads as and when  required or in emergency under bhavnagar district (Panchayat) (Annual Rate)"/>
    <m/>
    <s v="Bhavnagar"/>
    <x v="2"/>
    <s v="Consultant"/>
    <m/>
    <n v="203610"/>
    <n v="2"/>
    <d v="2025-07-10T00:00:00"/>
    <d v="2025-07-18T00:00:00"/>
    <d v="2025-07-19T00:00:00"/>
    <d v="2025-11-15T00:00:00"/>
    <n v="248929554.08000001"/>
    <m/>
    <n v="334063461.57999998"/>
    <n v="34.200000000000003"/>
    <s v="Above"/>
    <s v="Thirty Three Crore Forty Lakh Sixty Three Thousand Four Hundred Sixty One Rupees and Fifty Eight Paise Only"/>
    <s v="Government"/>
    <m/>
    <n v="334063461.57999998"/>
    <s v="JAYDEEP CONSTRUCTION CO"/>
    <s v="Not Found"/>
    <s v="Not Found"/>
    <s v="Not Found"/>
    <d v="2025-08-06T00:00:00"/>
    <m/>
    <m/>
    <m/>
    <s v="Rejected"/>
    <m/>
    <n v="16704000"/>
    <d v="1903-03-15T00:00:00"/>
    <n v="818500"/>
    <n v="0"/>
    <d v="1900-02-03T00:00:00"/>
    <d v="1903-01-14T00:00:00"/>
    <m/>
    <m/>
    <m/>
    <m/>
    <m/>
    <m/>
    <m/>
    <m/>
    <m/>
    <m/>
    <m/>
    <m/>
    <m/>
    <m/>
    <m/>
    <m/>
    <m/>
    <m/>
    <m/>
    <m/>
    <m/>
    <m/>
    <m/>
    <m/>
    <s v="Tender Approval is Pending."/>
  </r>
  <r>
    <n v="281"/>
    <m/>
    <s v="2025-26"/>
    <n v="13"/>
    <n v="1"/>
    <s v="Empanelment of Service Providing from consultants for Tender Uploading, Tender Opening and prepare Tender Approval Proposal under R &amp; B (Panchayat) Division, Bhavnagar"/>
    <m/>
    <s v="Bhavnagar"/>
    <x v="2"/>
    <s v="Consultant"/>
    <m/>
    <m/>
    <n v="1"/>
    <m/>
    <m/>
    <m/>
    <d v="1900-04-29T00:00:00"/>
    <m/>
    <s v="Yes"/>
    <m/>
    <m/>
    <s v="Equals"/>
    <s v="Zero Rupees Only"/>
    <s v="Division"/>
    <m/>
    <n v="0"/>
    <m/>
    <n v="0"/>
    <n v="0"/>
    <n v="0"/>
    <m/>
    <m/>
    <m/>
    <m/>
    <m/>
    <m/>
    <n v="0"/>
    <d v="1901-03-25T00:00:00"/>
    <n v="0"/>
    <n v="0"/>
    <d v="1900-02-03T00:00:00"/>
    <d v="1901-01-24T00:00:00"/>
    <m/>
    <m/>
    <m/>
    <m/>
    <m/>
    <m/>
    <m/>
    <m/>
    <m/>
    <m/>
    <m/>
    <m/>
    <m/>
    <m/>
    <m/>
    <m/>
    <m/>
    <m/>
    <m/>
    <m/>
    <m/>
    <m/>
    <m/>
    <m/>
    <m/>
  </r>
  <r>
    <n v="282"/>
    <m/>
    <s v="2025-26"/>
    <n v="14"/>
    <n v="1"/>
    <s v="Construction of Gram Panchayat office (Frame structure) at Village Ranivada Tal. Mahuva Dist. Bhavnagar "/>
    <m/>
    <s v="Mahuva"/>
    <x v="1"/>
    <s v="Building"/>
    <s v="Gram Panchayat"/>
    <n v="211655"/>
    <m/>
    <d v="2025-08-03T00:00:00"/>
    <d v="2025-08-11T00:00:00"/>
    <d v="2025-08-12T00:00:00"/>
    <d v="2025-12-09T00:00:00"/>
    <n v="2079935.08"/>
    <m/>
    <n v="1960338.81"/>
    <n v="-5.75"/>
    <s v="Below"/>
    <s v="Nineteen Lakh Sixty Thousand Three Hundred Thirty Eight Rupees and Eighty One Paise Only"/>
    <s v="Division"/>
    <m/>
    <n v="1960338.81"/>
    <s v="SHIVAM CONSTRUCTION"/>
    <s v="Chhelana Vipul Hadabhai"/>
    <s v="At Survey No. 4 P, Shiv Hotel, Rohisha Chowkadi, Mahuva, Dist. Bhavnagar"/>
    <n v="7405505555"/>
    <m/>
    <s v="CDP-5"/>
    <m/>
    <m/>
    <m/>
    <n v="4"/>
    <n v="99000"/>
    <d v="2027-05-08T00:00:00"/>
    <n v="4900"/>
    <n v="0"/>
    <d v="2026-03-19T00:00:00"/>
    <d v="2027-03-09T00:00:00"/>
    <n v="1370"/>
    <d v="2025-09-22T00:00:00"/>
    <s v="2025-26"/>
    <n v="183"/>
    <d v="2025-10-13T00:00:00"/>
    <s v="FDR"/>
    <s v="Bank of India"/>
    <s v="320556110000296"/>
    <n v="99000"/>
    <d v="2025-10-07T00:00:00"/>
    <m/>
    <m/>
    <m/>
    <m/>
    <m/>
    <d v="2025-10-15T00:00:00"/>
    <n v="1457"/>
    <d v="2025-10-13T00:00:00"/>
    <m/>
    <m/>
    <m/>
    <m/>
    <m/>
    <m/>
    <m/>
  </r>
  <r>
    <n v="283"/>
    <m/>
    <s v="2025-26"/>
    <n v="14"/>
    <n v="2"/>
    <s v="Construction of Gram Panchayat office (Frame structure) at Village Gadhada Tal. Mahuva Dist. Bhavnagar"/>
    <m/>
    <s v="Mahuva"/>
    <x v="1"/>
    <s v="Building"/>
    <s v="Gram Panchayat"/>
    <n v="211703"/>
    <m/>
    <d v="2025-08-03T00:00:00"/>
    <d v="2025-08-11T00:00:00"/>
    <d v="2025-08-12T00:00:00"/>
    <d v="2025-12-09T00:00:00"/>
    <n v="2079935.08"/>
    <m/>
    <n v="2033136.54"/>
    <n v="-2.25"/>
    <s v="Below"/>
    <s v="Twenty Lakh Thirty Three Thousand One Hundred Thirty Six Rupees and Fifty Four Paise Only"/>
    <s v="Division"/>
    <m/>
    <n v="2033136.54"/>
    <s v="SHIVAM CONSTRUCTION"/>
    <s v="Chhelana Vipul Hadabhai"/>
    <s v="At Survey No. 4 P, Shiv Hotel, Rohisha Chowkadi, Mahuva, Dist. Bhavnagar"/>
    <n v="7405505555"/>
    <m/>
    <s v="CDP-5"/>
    <m/>
    <m/>
    <m/>
    <n v="4"/>
    <n v="102000"/>
    <d v="2027-05-08T00:00:00"/>
    <n v="5000"/>
    <n v="0"/>
    <d v="2026-03-19T00:00:00"/>
    <d v="2027-03-09T00:00:00"/>
    <n v="1364"/>
    <d v="2025-09-22T00:00:00"/>
    <s v="2025-26"/>
    <n v="179"/>
    <d v="2025-10-13T00:00:00"/>
    <s v="FDR"/>
    <s v="Bank of India"/>
    <s v="320556110000299"/>
    <n v="102000"/>
    <d v="2025-10-07T00:00:00"/>
    <m/>
    <m/>
    <m/>
    <m/>
    <m/>
    <d v="2025-10-15T00:00:00"/>
    <n v="1458"/>
    <d v="2025-10-13T00:00:00"/>
    <m/>
    <m/>
    <m/>
    <m/>
    <m/>
    <m/>
    <m/>
  </r>
  <r>
    <n v="284"/>
    <m/>
    <s v="2025-26"/>
    <n v="14"/>
    <n v="3"/>
    <s v="Construction of Gram Panchayat office (Frame structure) at Village Juna Jaliya Tal. Shihor Dist. Bhavnagar"/>
    <m/>
    <s v="Shihor"/>
    <x v="5"/>
    <s v="Building"/>
    <s v="Gram Panchayat"/>
    <n v="211769"/>
    <m/>
    <d v="2025-08-03T00:00:00"/>
    <d v="2025-08-11T00:00:00"/>
    <d v="2025-08-12T00:00:00"/>
    <d v="2025-12-09T00:00:00"/>
    <n v="2027056.59"/>
    <m/>
    <n v="1924082.12"/>
    <n v="-5.08"/>
    <s v="Below"/>
    <s v="Nineteen Lakh Twenty Four Thousand Eighty Two Rupees and Twelve Paise Only"/>
    <s v="Division"/>
    <m/>
    <n v="1924082.12"/>
    <s v="PARTH K MEHTA"/>
    <s v="PARTH Kiritkumar MEHTA"/>
    <s v="Plot No. 1578/I, New Champa Tenament, Divadi Road, Rupani Circle, Bhavnagar - 364002"/>
    <n v="7990934709"/>
    <m/>
    <s v="CDP-5"/>
    <m/>
    <m/>
    <m/>
    <n v="4"/>
    <n v="97000"/>
    <d v="2027-04-24T00:00:00"/>
    <n v="4800"/>
    <n v="0"/>
    <d v="2026-03-05T00:00:00"/>
    <d v="2027-02-23T00:00:00"/>
    <n v="1318"/>
    <d v="2025-09-15T00:00:00"/>
    <m/>
    <m/>
    <m/>
    <m/>
    <m/>
    <m/>
    <m/>
    <m/>
    <m/>
    <m/>
    <m/>
    <m/>
    <m/>
    <d v="2025-10-01T00:00:00"/>
    <m/>
    <m/>
    <m/>
    <m/>
    <m/>
    <m/>
    <m/>
    <m/>
    <m/>
  </r>
  <r>
    <n v="285"/>
    <m/>
    <s v="2025-26"/>
    <n v="14"/>
    <n v="4"/>
    <s v="Construction of Gram Panchayat office (Frame structure) at Village Jasvantpur Taluko: Bhavnagar Dist. Bhavnagar"/>
    <m/>
    <s v="Bhavnagar"/>
    <x v="2"/>
    <s v="Building"/>
    <s v="Gram Panchayat"/>
    <n v="211774"/>
    <m/>
    <d v="2025-08-03T00:00:00"/>
    <d v="2025-08-11T00:00:00"/>
    <d v="2025-08-12T00:00:00"/>
    <d v="2025-12-09T00:00:00"/>
    <n v="2079935.08"/>
    <m/>
    <n v="2079935.08"/>
    <n v="0"/>
    <s v="Equals"/>
    <s v="Twenty Lakh Seventy Nine Thousand Nine Hundred Thirty Five Rupees and Eight Paise Only"/>
    <s v="Division"/>
    <m/>
    <n v="2079935.08"/>
    <s v="SHREEJI STONE INDUSTRIES"/>
    <n v="0"/>
    <s v="33, Virbhadra Shopping Center, Nr. Nilambaug Circle, Bhavnagar - 364002"/>
    <n v="9825325757"/>
    <m/>
    <m/>
    <m/>
    <m/>
    <m/>
    <n v="4"/>
    <n v="104000"/>
    <d v="2027-04-24T00:00:00"/>
    <n v="5100"/>
    <n v="0"/>
    <d v="2026-03-05T00:00:00"/>
    <d v="2027-02-23T00:00:00"/>
    <n v="1511"/>
    <d v="2025-11-10T00:00:00"/>
    <m/>
    <m/>
    <m/>
    <m/>
    <m/>
    <m/>
    <m/>
    <m/>
    <m/>
    <m/>
    <m/>
    <m/>
    <m/>
    <d v="2025-10-01T00:00:00"/>
    <m/>
    <m/>
    <m/>
    <m/>
    <m/>
    <m/>
    <m/>
    <m/>
    <m/>
  </r>
  <r>
    <n v="286"/>
    <m/>
    <s v="2025-26"/>
    <n v="14"/>
    <n v="5"/>
    <s v="Construction of Gram Panchayat office (Frame structure) at Village Bhojpara Taluka: Bhavnagar Dist. Bhavnagar"/>
    <m/>
    <s v="Bhavnagar"/>
    <x v="2"/>
    <s v="Building"/>
    <s v="Gram Panchayat"/>
    <n v="211776"/>
    <m/>
    <d v="2025-08-03T00:00:00"/>
    <d v="2025-08-11T00:00:00"/>
    <d v="2025-08-12T00:00:00"/>
    <d v="2025-12-09T00:00:00"/>
    <n v="2079935.08"/>
    <m/>
    <n v="2048320.07"/>
    <n v="-1.52"/>
    <s v="Below"/>
    <s v="Twenty Lakh Forty Eight Thousand Three Hundred Twenty Rupees and Seven Paise Only"/>
    <s v="Division"/>
    <m/>
    <n v="2048320.07"/>
    <s v="BABUBHAI HAKABHAI GOHIL"/>
    <n v="0"/>
    <s v="Dr. Ambedkar Society, Jamvali Road, Palitana, Dist Bhavnagar"/>
    <n v="9106563480"/>
    <m/>
    <m/>
    <m/>
    <m/>
    <m/>
    <n v="4"/>
    <n v="103000"/>
    <d v="2027-04-24T00:00:00"/>
    <n v="5100"/>
    <n v="0"/>
    <d v="2026-03-05T00:00:00"/>
    <d v="2027-02-23T00:00:00"/>
    <n v="1308"/>
    <d v="2025-09-15T00:00:00"/>
    <m/>
    <m/>
    <m/>
    <m/>
    <m/>
    <m/>
    <m/>
    <m/>
    <m/>
    <m/>
    <m/>
    <m/>
    <m/>
    <d v="2025-10-01T00:00:00"/>
    <m/>
    <m/>
    <m/>
    <m/>
    <m/>
    <m/>
    <m/>
    <m/>
    <m/>
  </r>
  <r>
    <n v="287"/>
    <m/>
    <s v="2025-26"/>
    <n v="14"/>
    <n v="6"/>
    <s v="Construction of Gram Panchayat office (Frame structure) at Village Paliyad Taluka: Bhavnagar Dist. Bhavnagar"/>
    <m/>
    <s v="Bhavnagar"/>
    <x v="2"/>
    <s v="Building"/>
    <s v="Gram Panchayat"/>
    <n v="211780"/>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288"/>
    <m/>
    <s v="2025-26"/>
    <n v="14"/>
    <n v="7"/>
    <s v="Construction of Gram Panchayat office (Frame structure) at Village Rajgadh Taluka: Bhavnagar Dist. Bhavnagar"/>
    <m/>
    <s v="Bhavnagar"/>
    <x v="2"/>
    <s v="Building"/>
    <s v="Gram Panchayat"/>
    <n v="211781"/>
    <m/>
    <d v="2025-08-03T00:00:00"/>
    <d v="2025-08-11T00:00:00"/>
    <d v="2025-08-12T00:00:00"/>
    <d v="2025-12-09T00:00:00"/>
    <n v="2079935.08"/>
    <m/>
    <n v="2037712.4"/>
    <n v="-2.0299999999999998"/>
    <s v="Below"/>
    <s v="Twenty Lakh Thirty Seven Thousand Seven Hundred Twelve Rupees and Four Paise Only"/>
    <s v="Division"/>
    <m/>
    <n v="2037712.4"/>
    <s v="RUDRA CONSTRUCTION"/>
    <s v="(1) Harshad Kalubhai Dungrani_x000a_(2) Lalita Harshad Dungrani"/>
    <s v="G 402, Abhilasha Sky, Gopal Chowk, Nikol, Ahmedabad - 382350"/>
    <n v="9727220227"/>
    <m/>
    <m/>
    <m/>
    <m/>
    <m/>
    <n v="4"/>
    <n v="102000"/>
    <d v="2027-04-24T00:00:00"/>
    <n v="5000"/>
    <n v="0"/>
    <d v="2026-03-05T00:00:00"/>
    <d v="2027-02-23T00:00:00"/>
    <n v="1333"/>
    <d v="2025-09-15T00:00:00"/>
    <m/>
    <m/>
    <m/>
    <m/>
    <m/>
    <m/>
    <m/>
    <m/>
    <m/>
    <m/>
    <m/>
    <m/>
    <m/>
    <d v="2025-10-01T00:00:00"/>
    <m/>
    <m/>
    <m/>
    <m/>
    <m/>
    <m/>
    <m/>
    <m/>
    <m/>
  </r>
  <r>
    <n v="289"/>
    <m/>
    <s v="2025-26"/>
    <n v="14"/>
    <n v="8"/>
    <s v="Construction of Gram Panchayat office (Frame structure) at Village Adhelai Tal. Bhavnagar Dist. Bhavnagar"/>
    <m/>
    <s v="Bhavnagar"/>
    <x v="2"/>
    <s v="Building"/>
    <s v="Gram Panchayat"/>
    <n v="211782"/>
    <m/>
    <d v="2025-08-03T00:00:00"/>
    <d v="2025-08-11T00:00:00"/>
    <d v="2025-08-12T00:00:00"/>
    <d v="2025-12-09T00:00:00"/>
    <n v="2079935.08"/>
    <m/>
    <n v="2027936.7"/>
    <n v="-2.5"/>
    <s v="Below"/>
    <s v="Twenty Lakh Twenty Seven Thousand Nine Hundred Thirty Six Rupees and Seven Paise Only"/>
    <s v="Division"/>
    <m/>
    <n v="2027936.7"/>
    <s v="RUDRA CONSTRUCTION"/>
    <s v="(1) Harshad Kalubhai Dungrani_x000a_(2) Lalita Harshad Dungrani"/>
    <s v="G 402, Abhilasha Sky, Gopal Chowk, Nikol, Ahmedabad - 382350"/>
    <n v="9727220227"/>
    <m/>
    <m/>
    <m/>
    <m/>
    <m/>
    <n v="4"/>
    <n v="102000"/>
    <d v="2027-04-24T00:00:00"/>
    <n v="5000"/>
    <n v="0"/>
    <d v="2026-03-05T00:00:00"/>
    <d v="2027-02-23T00:00:00"/>
    <n v="1328"/>
    <d v="2025-09-15T00:00:00"/>
    <m/>
    <m/>
    <m/>
    <m/>
    <m/>
    <m/>
    <m/>
    <m/>
    <m/>
    <m/>
    <m/>
    <m/>
    <m/>
    <d v="2025-10-01T00:00:00"/>
    <m/>
    <m/>
    <m/>
    <m/>
    <m/>
    <m/>
    <m/>
    <m/>
    <m/>
  </r>
  <r>
    <n v="290"/>
    <m/>
    <s v="2025-26"/>
    <n v="14"/>
    <n v="9"/>
    <s v="Construction of Gram Panchayat office (Frame structure) at Village Chomal Taluka: Gariyadhar Dist. Bhavnagar"/>
    <m/>
    <s v="Gariyadhar"/>
    <x v="3"/>
    <s v="Building"/>
    <s v="Gram Panchayat"/>
    <n v="211783"/>
    <m/>
    <d v="2025-08-03T00:00:00"/>
    <d v="2025-08-11T00:00:00"/>
    <d v="2025-08-12T00:00:00"/>
    <d v="2025-12-09T00:00:00"/>
    <n v="2079935.08"/>
    <m/>
    <n v="1934339.62"/>
    <n v="-7"/>
    <s v="Below"/>
    <s v="Nineteen Lakh Thirty Four Thousand Three Hundred Thirty Nine Rupees and Sixty Two Paise Only"/>
    <s v="Division"/>
    <m/>
    <n v="1934339.62"/>
    <s v="GOHIL NARENDRASINH P"/>
    <s v="Narendrasinh Parbatsinh Gohil"/>
    <s v="At Village Rajapara (Thadach), Ta. Palitana, Dist. Bhavnagar - 364270"/>
    <n v="9998577523"/>
    <m/>
    <s v="CDP-5"/>
    <m/>
    <m/>
    <m/>
    <n v="4"/>
    <n v="97000"/>
    <d v="2027-06-03T00:00:00"/>
    <n v="4800"/>
    <n v="0"/>
    <d v="2026-04-14T00:00:00"/>
    <d v="2027-04-04T00:00:00"/>
    <n v="1311"/>
    <d v="2025-09-15T00:00:00"/>
    <s v="2025-26"/>
    <n v="200"/>
    <d v="2025-11-08T00:00:00"/>
    <s v="FDR"/>
    <s v="Gujarat Gramin Bank"/>
    <s v="22670300000032"/>
    <n v="97000"/>
    <d v="2025-10-28T00:00:00"/>
    <m/>
    <m/>
    <m/>
    <m/>
    <m/>
    <d v="2025-11-10T00:00:00"/>
    <n v="1505"/>
    <d v="2025-11-08T00:00:00"/>
    <m/>
    <m/>
    <m/>
    <m/>
    <m/>
    <m/>
    <m/>
  </r>
  <r>
    <n v="291"/>
    <m/>
    <s v="2025-26"/>
    <n v="14"/>
    <n v="10"/>
    <s v="Construction of Gram Panchayat office (Frame structure) at Village Jaliya Taluka: Gariyadhar Dist. Bhavnagar"/>
    <m/>
    <s v="Gariyadhar"/>
    <x v="3"/>
    <s v="Building"/>
    <s v="Gram Panchayat"/>
    <n v="211785"/>
    <m/>
    <d v="2025-08-03T00:00:00"/>
    <d v="2025-08-11T00:00:00"/>
    <d v="2025-08-12T00:00:00"/>
    <d v="2025-12-09T00:00:00"/>
    <n v="2079935.08"/>
    <m/>
    <n v="2016913.05"/>
    <n v="-3.03"/>
    <s v="Below"/>
    <s v="Twenty Lakh Sixteen Thousand Nine Hundred Thirteen Rupees and Five Paise Only"/>
    <s v="Division"/>
    <m/>
    <n v="2016913.05"/>
    <s v="BABUBHAI HAKABHAI GOHIL"/>
    <n v="0"/>
    <s v="Dr. Ambedkar Society, Jamvali Road, Palitana, Dist Bhavnagar"/>
    <n v="9106563480"/>
    <m/>
    <m/>
    <m/>
    <m/>
    <m/>
    <n v="4"/>
    <n v="101000"/>
    <d v="2027-04-24T00:00:00"/>
    <n v="5000"/>
    <n v="0"/>
    <d v="2026-03-05T00:00:00"/>
    <d v="2027-02-23T00:00:00"/>
    <n v="1310"/>
    <d v="2025-09-15T00:00:00"/>
    <m/>
    <m/>
    <m/>
    <m/>
    <m/>
    <m/>
    <m/>
    <m/>
    <m/>
    <m/>
    <m/>
    <m/>
    <m/>
    <d v="2025-10-01T00:00:00"/>
    <m/>
    <m/>
    <m/>
    <m/>
    <m/>
    <m/>
    <m/>
    <m/>
    <m/>
  </r>
  <r>
    <n v="292"/>
    <m/>
    <s v="2025-26"/>
    <n v="14"/>
    <n v="11"/>
    <s v="Construction of Gram Panchayat office (Frame structure) at Village Nana Charodiya Taluka: Gariyadhar Dist. Bhavnagar"/>
    <m/>
    <s v="Gariyadhar"/>
    <x v="3"/>
    <s v="Building"/>
    <s v="Gram Panchayat"/>
    <n v="211787"/>
    <m/>
    <d v="2025-08-03T00:00:00"/>
    <d v="2025-08-11T00:00:00"/>
    <d v="2025-08-12T00:00:00"/>
    <d v="2025-12-09T00:00:00"/>
    <n v="2079935.08"/>
    <m/>
    <n v="2000065.57"/>
    <n v="-3.84"/>
    <s v="Below"/>
    <s v="Twenty Lakh Sixty Five Rupees and Fifty Seven Paise Only"/>
    <s v="Division"/>
    <m/>
    <n v="2000065.57"/>
    <s v="RUDRA CONSTRUCTION COMPANY"/>
    <n v="0"/>
    <s v="Plot No. 9, Gayatri Society, Ramabaug, Anantwadi, Bhavnagar - 364002"/>
    <n v="0"/>
    <m/>
    <m/>
    <m/>
    <m/>
    <m/>
    <n v="4"/>
    <n v="101000"/>
    <d v="2027-06-11T00:00:00"/>
    <n v="5000"/>
    <n v="0"/>
    <d v="2026-04-22T00:00:00"/>
    <d v="2027-04-12T00:00:00"/>
    <n v="1369"/>
    <d v="2025-09-22T00:00:00"/>
    <s v="2025-26"/>
    <n v="212"/>
    <d v="2025-11-18T00:00:00"/>
    <s v="FDR"/>
    <s v="Bank of India"/>
    <s v="320456110006930"/>
    <n v="101000"/>
    <d v="2025-11-14T00:00:00"/>
    <m/>
    <m/>
    <m/>
    <m/>
    <m/>
    <d v="2025-11-18T00:00:00"/>
    <n v="1543"/>
    <d v="2025-11-18T00:00:00"/>
    <m/>
    <m/>
    <m/>
    <m/>
    <m/>
    <m/>
    <m/>
  </r>
  <r>
    <n v="293"/>
    <m/>
    <s v="2025-26"/>
    <n v="14"/>
    <n v="12"/>
    <s v="Construction of Gram Panchayat office (Frame structure) at Village Anandpur-Pipalva Taluka: Gariyadhar Dist. Bhavnagar"/>
    <m/>
    <s v="Gariyadhar"/>
    <x v="3"/>
    <s v="Building"/>
    <s v="Gram Panchayat"/>
    <n v="211790"/>
    <m/>
    <d v="2025-08-03T00:00:00"/>
    <d v="2025-08-11T00:00:00"/>
    <d v="2025-08-12T00:00:00"/>
    <d v="2025-12-09T00:00:00"/>
    <n v="2079935.08"/>
    <m/>
    <n v="2026896.74"/>
    <n v="-2.5499999999999998"/>
    <s v="Below"/>
    <s v="Twenty Lakh Twenty Six Thousand Eight Hundred Ninety Six Rupees and Seventy Four Paise Only"/>
    <s v="Division"/>
    <m/>
    <n v="2026896.74"/>
    <s v="SANDIP DINESHBHAI VANZARA"/>
    <s v="SANDIP DINESHBHAI VANZARA"/>
    <s v="Opp. HP PUMP, Palitana Road, Gariyadhar"/>
    <n v="8866209297"/>
    <m/>
    <m/>
    <m/>
    <m/>
    <m/>
    <n v="4"/>
    <n v="102000"/>
    <d v="2027-04-24T00:00:00"/>
    <n v="5000"/>
    <n v="0"/>
    <d v="2026-03-05T00:00:00"/>
    <d v="2027-02-23T00:00:00"/>
    <n v="1324"/>
    <d v="2025-09-15T00:00:00"/>
    <m/>
    <m/>
    <m/>
    <m/>
    <m/>
    <m/>
    <m/>
    <m/>
    <m/>
    <m/>
    <m/>
    <m/>
    <m/>
    <d v="2025-10-01T00:00:00"/>
    <m/>
    <m/>
    <m/>
    <m/>
    <m/>
    <m/>
    <m/>
    <m/>
    <m/>
  </r>
  <r>
    <n v="294"/>
    <m/>
    <s v="2025-26"/>
    <n v="14"/>
    <n v="13"/>
    <s v="Construction of Gram Panchayat office (Frame structure) at Village Ranigam Taluka: Gariyadhar Dist. Bhavnagar"/>
    <m/>
    <s v="Gariyadhar"/>
    <x v="3"/>
    <s v="Building"/>
    <s v="Gram Panchayat"/>
    <n v="211794"/>
    <m/>
    <d v="2025-08-03T00:00:00"/>
    <d v="2025-08-11T00:00:00"/>
    <d v="2025-08-12T00:00:00"/>
    <d v="2025-12-09T00:00:00"/>
    <n v="2079935.08"/>
    <m/>
    <n v="1903140.6"/>
    <n v="-8.5"/>
    <s v="Below"/>
    <s v="Nineteen Lakh Three Thousand One Hundred Forty Rupees and Six Paise Only"/>
    <s v="Division"/>
    <m/>
    <n v="1903140.6"/>
    <s v="RUDRA CONSTRUCTION COMPANY"/>
    <n v="0"/>
    <s v="Plot No. 9, Gayatri Society, Ramabaug, Anantwadi, Bhavnagar - 364002"/>
    <n v="0"/>
    <m/>
    <m/>
    <m/>
    <m/>
    <m/>
    <n v="4"/>
    <n v="96000"/>
    <d v="2027-06-11T00:00:00"/>
    <n v="4800"/>
    <n v="0"/>
    <d v="2026-04-22T00:00:00"/>
    <d v="2027-04-12T00:00:00"/>
    <n v="1361"/>
    <d v="2025-09-22T00:00:00"/>
    <s v="2025-26"/>
    <n v="213"/>
    <d v="2025-11-18T00:00:00"/>
    <s v="FDR"/>
    <s v="Bank of India"/>
    <s v="320456110006931"/>
    <n v="96000"/>
    <d v="2025-11-14T00:00:00"/>
    <m/>
    <m/>
    <m/>
    <m/>
    <m/>
    <d v="2025-11-18T00:00:00"/>
    <n v="1544"/>
    <d v="2025-11-18T00:00:00"/>
    <m/>
    <m/>
    <m/>
    <m/>
    <m/>
    <m/>
    <m/>
  </r>
  <r>
    <n v="295"/>
    <m/>
    <s v="2025-26"/>
    <n v="14"/>
    <n v="14"/>
    <s v="Construction of Gram Panchayat office (Frame structure) at Village Hoidad Taluka: Ghogha Dist. Bhavnagar"/>
    <m/>
    <s v="Ghogha"/>
    <x v="2"/>
    <s v="Building"/>
    <s v="Gram Panchayat"/>
    <n v="211795"/>
    <m/>
    <d v="2025-08-03T00:00:00"/>
    <d v="2025-08-11T00:00:00"/>
    <d v="2025-08-12T00:00:00"/>
    <d v="2025-12-09T00:00:00"/>
    <n v="2079935.08"/>
    <m/>
    <n v="2015249.1"/>
    <n v="-3.11"/>
    <s v="Below"/>
    <s v="Twenty Lakh Fifteen Thousand Two Hundred Forty Nine Rupees and One Paise Only"/>
    <s v="Division"/>
    <m/>
    <n v="2015249.1"/>
    <s v="Harekrishna Construction"/>
    <s v="Dineshbhai Harjibhai Parmar"/>
    <s v="C/732, Kesariya Hanuman Road, Kaliyabid, Bhavnagar-364001"/>
    <n v="0"/>
    <m/>
    <m/>
    <m/>
    <m/>
    <m/>
    <n v="4"/>
    <n v="101000"/>
    <d v="2027-04-24T00:00:00"/>
    <n v="5000"/>
    <n v="0"/>
    <d v="2026-03-05T00:00:00"/>
    <d v="2027-02-23T00:00:00"/>
    <n v="1319"/>
    <d v="2025-09-15T00:00:00"/>
    <m/>
    <m/>
    <m/>
    <m/>
    <m/>
    <m/>
    <m/>
    <m/>
    <m/>
    <m/>
    <m/>
    <m/>
    <m/>
    <d v="2025-10-01T00:00:00"/>
    <m/>
    <m/>
    <m/>
    <m/>
    <m/>
    <m/>
    <m/>
    <m/>
    <m/>
  </r>
  <r>
    <n v="296"/>
    <m/>
    <s v="2025-26"/>
    <n v="14"/>
    <n v="15"/>
    <s v="Construction of Gram Panchayat office (Frame structure) at Village Biladi Taluka: Mahuva Dist. Bhavnagar"/>
    <m/>
    <s v="Mahuva"/>
    <x v="1"/>
    <s v="Building"/>
    <s v="Gram Panchayat"/>
    <n v="211796"/>
    <m/>
    <d v="2025-08-03T00:00:00"/>
    <d v="2025-08-11T00:00:00"/>
    <d v="2025-08-12T00:00:00"/>
    <d v="2025-12-09T00:00:00"/>
    <n v="2079935.08"/>
    <m/>
    <n v="2012337.19"/>
    <n v="-3.25"/>
    <s v="Below"/>
    <s v="Twenty Lakh Twelve Thousand Three Hundred Thirty Seven Rupees and Nineteen Paise Only"/>
    <s v="Division"/>
    <m/>
    <n v="2012337.19"/>
    <s v="SHIVAM CONSTRUCTION"/>
    <s v="Chhelana Vipul Hadabhai"/>
    <s v="At Survey No. 4 P, Shiv Hotel, Rohisha Chowkadi, Mahuva, Dist. Bhavnagar"/>
    <n v="7405505555"/>
    <m/>
    <s v="CDP-5"/>
    <m/>
    <m/>
    <m/>
    <n v="4"/>
    <n v="101000"/>
    <d v="2027-05-08T00:00:00"/>
    <n v="5000"/>
    <n v="0"/>
    <d v="2026-03-19T00:00:00"/>
    <d v="2027-03-09T00:00:00"/>
    <n v="1365"/>
    <d v="2025-09-22T00:00:00"/>
    <s v="2025-26"/>
    <n v="178"/>
    <d v="2025-10-13T00:00:00"/>
    <s v="FDR"/>
    <s v="Bank of India"/>
    <s v="320556110000304"/>
    <n v="101000"/>
    <d v="2025-10-07T00:00:00"/>
    <m/>
    <m/>
    <m/>
    <m/>
    <m/>
    <d v="2025-10-15T00:00:00"/>
    <n v="1459"/>
    <d v="2025-10-13T00:00:00"/>
    <m/>
    <m/>
    <m/>
    <m/>
    <m/>
    <m/>
    <m/>
  </r>
  <r>
    <n v="297"/>
    <m/>
    <s v="2025-26"/>
    <n v="14"/>
    <n v="16"/>
    <s v="Construction of Gram Panchayat office (Frame structure) at Village Valavav Taluka: Mahuva Dist. Bhavnagar "/>
    <m/>
    <s v="Mahuva"/>
    <x v="1"/>
    <s v="Building"/>
    <s v="Gram Panchayat"/>
    <n v="211797"/>
    <m/>
    <d v="2025-08-03T00:00:00"/>
    <d v="2025-08-11T00:00:00"/>
    <d v="2025-08-12T00:00:00"/>
    <d v="2025-12-09T00:00:00"/>
    <n v="2079935.08"/>
    <m/>
    <n v="1960338.81"/>
    <n v="-5.75"/>
    <s v="Below"/>
    <s v="Nineteen Lakh Sixty Thousand Three Hundred Thirty Eight Rupees and Eighty One Paise Only"/>
    <s v="Division"/>
    <m/>
    <n v="1960338.81"/>
    <s v="SHIVAM CONSTRUCTION"/>
    <s v="Chhelana Vipul Hadabhai"/>
    <s v="At Survey No. 4 P, Shiv Hotel, Rohisha Chowkadi, Mahuva, Dist. Bhavnagar"/>
    <n v="7405505555"/>
    <m/>
    <s v="CDP-5"/>
    <m/>
    <m/>
    <m/>
    <n v="4"/>
    <n v="99000"/>
    <d v="2027-05-08T00:00:00"/>
    <n v="4900"/>
    <n v="0"/>
    <d v="2026-03-19T00:00:00"/>
    <d v="2027-03-09T00:00:00"/>
    <n v="1362"/>
    <d v="2025-09-22T00:00:00"/>
    <s v="2025-26"/>
    <n v="176"/>
    <d v="2025-10-13T00:00:00"/>
    <s v="FDR"/>
    <s v="Bank of India"/>
    <s v="320556110000303"/>
    <n v="99000"/>
    <d v="2025-10-07T00:00:00"/>
    <m/>
    <m/>
    <m/>
    <m/>
    <m/>
    <d v="2025-10-15T00:00:00"/>
    <n v="1460"/>
    <d v="2025-10-13T00:00:00"/>
    <m/>
    <m/>
    <m/>
    <m/>
    <m/>
    <m/>
    <m/>
  </r>
  <r>
    <n v="298"/>
    <m/>
    <s v="2025-26"/>
    <n v="14"/>
    <n v="17"/>
    <s v="Construction of Gram Panchayat office (Frame structure) at Village Taveda Taluka: Mahuva Dist. Bhavnagar"/>
    <m/>
    <s v="Mahuva"/>
    <x v="1"/>
    <s v="Building"/>
    <s v="Gram Panchayat"/>
    <n v="211798"/>
    <m/>
    <d v="2025-08-03T00:00:00"/>
    <d v="2025-08-11T00:00:00"/>
    <d v="2025-08-12T00:00:00"/>
    <d v="2025-12-09T00:00:00"/>
    <n v="2079935.08"/>
    <m/>
    <n v="2010673.24"/>
    <n v="-3.33"/>
    <s v="Below"/>
    <s v="Twenty Lakh Ten Thousand Six Hundred Seventy Three Rupees and Twenty Four Paise Only"/>
    <s v="Division"/>
    <m/>
    <n v="2010673.24"/>
    <s v="SHIV CONTRUCTION"/>
    <s v="ALIGBHAI LAKHUBHAI BARAL"/>
    <s v="At Bhandariya, Ta. Palitana, Dist. Bhavnagar"/>
    <n v="8780428967"/>
    <m/>
    <s v="CDP-5"/>
    <m/>
    <m/>
    <m/>
    <n v="4"/>
    <n v="101000"/>
    <d v="2027-05-08T00:00:00"/>
    <n v="5000"/>
    <n v="0"/>
    <d v="2026-03-19T00:00:00"/>
    <d v="2027-03-09T00:00:00"/>
    <n v="1309"/>
    <d v="2025-09-15T00:00:00"/>
    <s v="2025-26"/>
    <n v="187"/>
    <d v="2025-10-13T00:00:00"/>
    <s v="FDR"/>
    <s v="Gujarat Gramin Bank"/>
    <s v="22670300000004"/>
    <n v="101000"/>
    <d v="2025-10-06T00:00:00"/>
    <m/>
    <m/>
    <m/>
    <m/>
    <m/>
    <d v="2025-10-15T00:00:00"/>
    <n v="1471"/>
    <d v="2025-10-13T00:00:00"/>
    <m/>
    <m/>
    <m/>
    <m/>
    <m/>
    <m/>
    <m/>
  </r>
  <r>
    <n v="299"/>
    <m/>
    <s v="2025-26"/>
    <n v="14"/>
    <n v="18"/>
    <s v="Construction of Gram Panchayat office (Frame structure) at Village Lakhupura Taluka:Mahuva Dist. Bhavnagar"/>
    <m/>
    <s v="Mahuva"/>
    <x v="1"/>
    <s v="Building"/>
    <s v="Gram Panchayat"/>
    <n v="211800"/>
    <m/>
    <d v="2025-08-03T00:00:00"/>
    <d v="2025-08-11T00:00:00"/>
    <d v="2025-08-12T00:00:00"/>
    <d v="2025-12-09T00:00:00"/>
    <n v="2079935.08"/>
    <m/>
    <n v="2010673.24"/>
    <n v="-3.33"/>
    <s v="Below"/>
    <s v="Twenty Lakh Ten Thousand Six Hundred Seventy Three Rupees and Twenty Four Paise Only"/>
    <s v="Division"/>
    <m/>
    <n v="2010673.24"/>
    <s v="SHIV CONTRUCTION"/>
    <s v="ALIGBHAI LAKHUBHAI BARAL"/>
    <s v="At Bhandariya, Ta. Palitana, Dist. Bhavnagar"/>
    <n v="8780428967"/>
    <m/>
    <s v="CDP-5"/>
    <m/>
    <m/>
    <m/>
    <n v="4"/>
    <n v="101000"/>
    <d v="2027-05-08T00:00:00"/>
    <n v="5000"/>
    <n v="0"/>
    <d v="2026-03-19T00:00:00"/>
    <d v="2027-03-09T00:00:00"/>
    <n v="1327"/>
    <d v="2025-09-15T00:00:00"/>
    <s v="2025-26"/>
    <n v="184"/>
    <d v="2025-10-13T00:00:00"/>
    <s v="FDR"/>
    <s v="Gujarat Gramin Bank"/>
    <s v="22670300000003"/>
    <n v="101000"/>
    <d v="2025-10-06T00:00:00"/>
    <m/>
    <m/>
    <m/>
    <m/>
    <m/>
    <d v="2025-10-15T00:00:00"/>
    <n v="1468"/>
    <d v="2025-10-13T00:00:00"/>
    <m/>
    <m/>
    <m/>
    <m/>
    <m/>
    <m/>
    <m/>
  </r>
  <r>
    <n v="300"/>
    <m/>
    <s v="2025-26"/>
    <n v="14"/>
    <n v="19"/>
    <s v="Construction of Gram Panchayat office (Frame structure) at Village Vaghvadarda Taluka: Mahuva Dist. Bhavnagar"/>
    <m/>
    <s v="Mahuva"/>
    <x v="1"/>
    <s v="Building"/>
    <s v="Gram Panchayat"/>
    <n v="211801"/>
    <m/>
    <d v="2025-08-03T00:00:00"/>
    <d v="2025-08-11T00:00:00"/>
    <d v="2025-08-12T00:00:00"/>
    <d v="2025-12-09T00:00:00"/>
    <n v="2079935.08"/>
    <m/>
    <n v="1948899.17"/>
    <n v="-6.3"/>
    <s v="Below"/>
    <s v="Nineteen Lakh Forty Eight Thousand Eight Hundred Ninety Nine Rupees and Seventeen Paise Only"/>
    <s v="Division"/>
    <m/>
    <n v="1948899.17"/>
    <s v="Bhupatbhai B. Baraiya"/>
    <n v="0"/>
    <s v="Plot No. 233, Nu.N.Yo. No.3, Near Muni Nagar, Mahuva"/>
    <n v="9824837530"/>
    <m/>
    <m/>
    <m/>
    <m/>
    <m/>
    <n v="4"/>
    <n v="98000"/>
    <d v="2027-04-24T00:00:00"/>
    <n v="4900"/>
    <n v="0"/>
    <d v="2026-03-05T00:00:00"/>
    <d v="2027-02-23T00:00:00"/>
    <n v="1329"/>
    <d v="2025-09-15T00:00:00"/>
    <m/>
    <m/>
    <m/>
    <m/>
    <m/>
    <m/>
    <m/>
    <m/>
    <m/>
    <m/>
    <m/>
    <m/>
    <m/>
    <d v="2025-10-01T00:00:00"/>
    <m/>
    <m/>
    <m/>
    <m/>
    <m/>
    <m/>
    <m/>
    <m/>
    <m/>
  </r>
  <r>
    <n v="301"/>
    <m/>
    <s v="2025-26"/>
    <n v="14"/>
    <n v="20"/>
    <s v=" Construction of Gram Panchayat office (Frame structure) at Village Tared Taluka : Mahuva Dist. Bhavnagar"/>
    <m/>
    <s v="Mahuva"/>
    <x v="1"/>
    <s v="Building"/>
    <s v="Gram Panchayat"/>
    <n v="211802"/>
    <m/>
    <d v="2025-08-03T00:00:00"/>
    <d v="2025-08-11T00:00:00"/>
    <d v="2025-08-12T00:00:00"/>
    <d v="2025-12-09T00:00:00"/>
    <n v="2079935.08"/>
    <m/>
    <n v="2017537.03"/>
    <n v="-3"/>
    <s v="Below"/>
    <s v="Twenty Lakh Seventeen Thousand Five Hundred Thirty Seven Rupees and Three Paise Only"/>
    <s v="Division"/>
    <m/>
    <n v="2017537.03"/>
    <s v="SHIVAM CONSTRUCTION"/>
    <s v="Chhelana Vipul Hadabhai"/>
    <s v="At Survey No. 4 P, Shiv Hotel, Rohisha Chowkadi, Mahuva, Dist. Bhavnagar"/>
    <n v="7405505555"/>
    <m/>
    <s v="CDP-5"/>
    <m/>
    <m/>
    <m/>
    <n v="4"/>
    <n v="101000"/>
    <d v="2027-05-08T00:00:00"/>
    <n v="5000"/>
    <n v="0"/>
    <d v="2026-03-19T00:00:00"/>
    <d v="2027-03-09T00:00:00"/>
    <n v="1360"/>
    <d v="2025-09-22T00:00:00"/>
    <s v="2025-26"/>
    <n v="177"/>
    <d v="2025-10-13T00:00:00"/>
    <s v="FDR"/>
    <s v="Bank of India"/>
    <s v="320556110000295"/>
    <n v="101000"/>
    <d v="2025-10-07T00:00:00"/>
    <m/>
    <m/>
    <m/>
    <m/>
    <m/>
    <d v="2025-10-15T00:00:00"/>
    <n v="1461"/>
    <d v="2025-10-13T00:00:00"/>
    <m/>
    <m/>
    <m/>
    <m/>
    <m/>
    <m/>
    <m/>
  </r>
  <r>
    <n v="302"/>
    <m/>
    <s v="2025-26"/>
    <n v="14"/>
    <n v="21"/>
    <s v="Construction of Gram Panchayat office (Frame structure) at Village Chokva Taluka: Mahuva Dist. Bhavnagar"/>
    <m/>
    <s v="Mahuva"/>
    <x v="1"/>
    <s v="Building"/>
    <s v="Gram Panchayat"/>
    <n v="211803"/>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1"/>
    <d v="2025-09-15T00:00:00"/>
    <m/>
    <m/>
    <m/>
    <m/>
    <m/>
    <m/>
    <m/>
    <m/>
    <m/>
    <m/>
    <m/>
    <m/>
    <m/>
    <d v="2025-10-01T00:00:00"/>
    <m/>
    <m/>
    <m/>
    <m/>
    <m/>
    <m/>
    <m/>
    <m/>
    <m/>
  </r>
  <r>
    <n v="303"/>
    <m/>
    <s v="2025-26"/>
    <n v="14"/>
    <n v="22"/>
    <s v="Construction of Gram Panchayat office (Frame structure) at Village Nani-Moti Sodvadri Taluka: Mahuva Dist. Bhavnagar"/>
    <m/>
    <s v="Mahuva"/>
    <x v="1"/>
    <s v="Building"/>
    <s v="Gram Panchayat"/>
    <n v="211804"/>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0"/>
    <d v="2025-09-15T00:00:00"/>
    <m/>
    <m/>
    <m/>
    <m/>
    <m/>
    <m/>
    <m/>
    <m/>
    <m/>
    <m/>
    <m/>
    <m/>
    <m/>
    <d v="2025-10-01T00:00:00"/>
    <m/>
    <m/>
    <m/>
    <m/>
    <m/>
    <m/>
    <m/>
    <m/>
    <m/>
  </r>
  <r>
    <n v="304"/>
    <m/>
    <s v="2025-26"/>
    <n v="14"/>
    <n v="23"/>
    <s v="Construction of Gram Panchayat office (Frame structure) at Village Kakidi Taluka: Mahuva Dist. Bhavnagar"/>
    <m/>
    <s v="Mahuva"/>
    <x v="1"/>
    <s v="Building"/>
    <s v="Gram Panchayat"/>
    <n v="211805"/>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5"/>
    <d v="2025-09-15T00:00:00"/>
    <m/>
    <m/>
    <m/>
    <m/>
    <m/>
    <m/>
    <m/>
    <m/>
    <m/>
    <m/>
    <m/>
    <m/>
    <m/>
    <d v="2025-10-01T00:00:00"/>
    <m/>
    <m/>
    <m/>
    <m/>
    <m/>
    <m/>
    <m/>
    <m/>
    <m/>
  </r>
  <r>
    <n v="305"/>
    <m/>
    <s v="2025-26"/>
    <n v="14"/>
    <n v="24"/>
    <s v=" Construction of Gram Panchayat office (Frame structure) at Village Moti Vadal Taluka: Mahuva Dist. Bhavnagar"/>
    <m/>
    <s v="Mahuva"/>
    <x v="1"/>
    <s v="Building"/>
    <s v="Gram Panchayat"/>
    <n v="211806"/>
    <m/>
    <d v="2025-08-03T00:00:00"/>
    <d v="2025-08-11T00:00:00"/>
    <d v="2025-08-12T00:00:00"/>
    <d v="2025-12-09T00:00:00"/>
    <n v="2079935.08"/>
    <m/>
    <n v="2038336.38"/>
    <n v="-2"/>
    <s v="Below"/>
    <s v="Twenty Lakh Thirty Eight Thousand Three Hundred Thirty Six Rupees and Thirty Eight Paise Only"/>
    <s v="Division"/>
    <m/>
    <n v="2038336.38"/>
    <s v="SHIVAM CONSTRUCTION"/>
    <s v="Chhelana Vipul Hadabhai"/>
    <s v="At Survey No. 4 P, Shiv Hotel, Rohisha Chowkadi, Mahuva, Dist. Bhavnagar"/>
    <n v="7405505555"/>
    <m/>
    <s v="CDP-5"/>
    <m/>
    <m/>
    <m/>
    <n v="4"/>
    <n v="102000"/>
    <d v="2027-05-08T00:00:00"/>
    <n v="5000"/>
    <n v="0"/>
    <d v="2026-03-19T00:00:00"/>
    <d v="2027-03-09T00:00:00"/>
    <n v="1366"/>
    <d v="2025-09-22T00:00:00"/>
    <s v="2025-26"/>
    <n v="173"/>
    <d v="2025-10-13T00:00:00"/>
    <s v="FDR"/>
    <s v="Bank of India"/>
    <s v="320556110000298"/>
    <n v="102000"/>
    <d v="2025-10-07T00:00:00"/>
    <m/>
    <m/>
    <m/>
    <m/>
    <m/>
    <d v="2025-10-15T00:00:00"/>
    <n v="1462"/>
    <d v="2025-10-13T00:00:00"/>
    <m/>
    <m/>
    <m/>
    <m/>
    <m/>
    <m/>
    <m/>
  </r>
  <r>
    <n v="306"/>
    <m/>
    <s v="2025-26"/>
    <n v="14"/>
    <n v="25"/>
    <s v="Construction of Gram Panchayat office (Frame structure) at Village Visavadar Taluka: Mahuva Dist. Bhavnagar"/>
    <m/>
    <s v="Mahuva"/>
    <x v="1"/>
    <s v="Building"/>
    <s v="Gram Panchayat"/>
    <n v="211820"/>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6"/>
    <d v="2025-09-15T00:00:00"/>
    <m/>
    <m/>
    <m/>
    <m/>
    <m/>
    <m/>
    <m/>
    <m/>
    <m/>
    <m/>
    <m/>
    <m/>
    <m/>
    <d v="2025-10-01T00:00:00"/>
    <m/>
    <m/>
    <m/>
    <m/>
    <m/>
    <m/>
    <m/>
    <m/>
    <m/>
  </r>
  <r>
    <n v="307"/>
    <m/>
    <s v="2025-26"/>
    <n v="14"/>
    <n v="26"/>
    <s v="Construction of Gram Panchayat office (Frame structure) at Village Nikol Taluka: Mahuva Dist. Bhavnagar"/>
    <m/>
    <s v="Mahuva"/>
    <x v="1"/>
    <s v="Building"/>
    <s v="Gram Panchayat"/>
    <n v="211821"/>
    <m/>
    <d v="2025-08-03T00:00:00"/>
    <d v="2025-08-11T00:00:00"/>
    <d v="2025-08-12T00:00:00"/>
    <d v="2025-12-09T00:00:00"/>
    <n v="2079935.08"/>
    <m/>
    <n v="1955138.98"/>
    <n v="-6"/>
    <s v="Below"/>
    <s v="Nineteen Lakh Fifty Five Thousand One Hundred Thirty Eight Rupees and Ninety Eight Paise Only"/>
    <s v="Division"/>
    <m/>
    <n v="1955138.98"/>
    <s v="SHIVAM CONSTRUCTION"/>
    <s v="Chhelana Vipul Hadabhai"/>
    <s v="At Survey No. 4 P, Shiv Hotel, Rohisha Chowkadi, Mahuva, Dist. Bhavnagar"/>
    <n v="7405505555"/>
    <m/>
    <s v="CDP-5"/>
    <m/>
    <m/>
    <m/>
    <n v="4"/>
    <n v="98000"/>
    <d v="2027-05-08T00:00:00"/>
    <n v="4900"/>
    <n v="0"/>
    <d v="2026-03-19T00:00:00"/>
    <d v="2027-03-09T00:00:00"/>
    <n v="1371"/>
    <d v="2025-09-22T00:00:00"/>
    <s v="2025-26"/>
    <n v="172"/>
    <d v="2025-10-13T00:00:00"/>
    <s v="FDR"/>
    <s v="Bank of India"/>
    <s v="320556110000302"/>
    <n v="98000"/>
    <d v="2025-10-07T00:00:00"/>
    <m/>
    <m/>
    <m/>
    <m/>
    <m/>
    <d v="2025-10-15T00:00:00"/>
    <n v="1456"/>
    <d v="2025-10-13T00:00:00"/>
    <m/>
    <m/>
    <m/>
    <m/>
    <m/>
    <m/>
    <m/>
  </r>
  <r>
    <n v="308"/>
    <m/>
    <s v="2025-26"/>
    <n v="14"/>
    <n v="27"/>
    <s v="Construction of Gram Panchayat office (Frame structure) at Village Borla Taluka:Mahuva Dist. Bhavnagar"/>
    <m/>
    <s v="Mahuva"/>
    <x v="1"/>
    <s v="Building"/>
    <s v="Gram Panchayat"/>
    <n v="211822"/>
    <m/>
    <d v="2025-08-03T00:00:00"/>
    <d v="2025-08-11T00:00:00"/>
    <d v="2025-08-12T00:00:00"/>
    <d v="2025-12-09T00:00:00"/>
    <n v="2079935.08"/>
    <m/>
    <n v="1975938.33"/>
    <n v="-5"/>
    <s v="Below"/>
    <s v="Nineteen Lakh Seventy Five Thousand Nine Hundred Thirty Eight Rupees and Thirty Three Paise Only"/>
    <s v="Division"/>
    <m/>
    <n v="1975938.33"/>
    <s v="SHIVAM CONSTRUCTION"/>
    <s v="Chhelana Vipul Hadabhai"/>
    <s v="At Survey No. 4 P, Shiv Hotel, Rohisha Chowkadi, Mahuva, Dist. Bhavnagar"/>
    <n v="7405505555"/>
    <m/>
    <s v="CDP-5"/>
    <m/>
    <m/>
    <m/>
    <n v="4"/>
    <n v="99000"/>
    <d v="2027-05-08T00:00:00"/>
    <n v="4900"/>
    <n v="0"/>
    <d v="2026-03-19T00:00:00"/>
    <d v="2027-03-09T00:00:00"/>
    <n v="1372"/>
    <d v="2025-09-15T00:00:00"/>
    <s v="2025-26"/>
    <n v="175"/>
    <d v="2025-10-13T00:00:00"/>
    <s v="FDR"/>
    <s v="Bank of India"/>
    <s v="320556110000301"/>
    <n v="99000"/>
    <d v="2025-10-07T00:00:00"/>
    <m/>
    <m/>
    <m/>
    <m/>
    <m/>
    <d v="2025-10-15T00:00:00"/>
    <n v="1463"/>
    <d v="2025-10-13T00:00:00"/>
    <m/>
    <m/>
    <m/>
    <m/>
    <m/>
    <m/>
    <m/>
  </r>
  <r>
    <n v="309"/>
    <m/>
    <s v="2025-26"/>
    <n v="14"/>
    <n v="28"/>
    <s v="Construction of Gram Panchayat office (Frame structure) at Village Maliya Taluka:Mahuva Dist. Bhavnagar"/>
    <m/>
    <s v="Mahuva"/>
    <x v="1"/>
    <s v="Building"/>
    <s v="Gram Panchayat"/>
    <n v="211823"/>
    <m/>
    <d v="2025-08-03T00:00:00"/>
    <d v="2025-08-11T00:00:00"/>
    <d v="2025-08-12T00:00:00"/>
    <d v="2025-12-09T00:00:00"/>
    <n v="2079935.08"/>
    <m/>
    <n v="1934339.62"/>
    <n v="-7"/>
    <s v="Below"/>
    <s v="Nineteen Lakh Thirty Four Thousand Three Hundred Thirty Nine Rupees and Sixty Two Paise Only"/>
    <s v="Division"/>
    <m/>
    <n v="1934339.62"/>
    <s v="SHIVAM CONSTRUCTION"/>
    <s v="Chhelana Vipul Hadabhai"/>
    <s v="At Survey No. 4 P, Shiv Hotel, Rohisha Chowkadi, Mahuva, Dist. Bhavnagar"/>
    <n v="7405505555"/>
    <m/>
    <s v="CDP-5"/>
    <m/>
    <m/>
    <m/>
    <n v="4"/>
    <n v="97000"/>
    <d v="2027-05-08T00:00:00"/>
    <n v="4800"/>
    <n v="0"/>
    <d v="2026-03-19T00:00:00"/>
    <d v="2027-03-09T00:00:00"/>
    <n v="1368"/>
    <d v="2025-09-22T00:00:00"/>
    <s v="2025-26"/>
    <n v="174"/>
    <d v="2025-10-13T00:00:00"/>
    <s v="FDR"/>
    <s v="Bank of India"/>
    <s v="320556110000297"/>
    <n v="97000"/>
    <d v="2025-10-07T00:00:00"/>
    <m/>
    <m/>
    <m/>
    <m/>
    <m/>
    <d v="2025-10-15T00:00:00"/>
    <n v="1464"/>
    <d v="2025-10-13T00:00:00"/>
    <m/>
    <m/>
    <m/>
    <m/>
    <m/>
    <m/>
    <m/>
  </r>
  <r>
    <n v="310"/>
    <m/>
    <s v="2025-26"/>
    <n v="14"/>
    <n v="29"/>
    <s v="Construction of Gram Panchayat office (Frame structure) at Village Amrutwel Taluka: Mahuva Dist. Bhavnagar"/>
    <m/>
    <s v="Mahuva"/>
    <x v="1"/>
    <s v="Building"/>
    <s v="Gram Panchayat"/>
    <n v="211824"/>
    <m/>
    <d v="2025-08-03T00:00:00"/>
    <d v="2025-08-11T00:00:00"/>
    <d v="2025-08-12T00:00:00"/>
    <d v="2025-12-09T00:00:00"/>
    <n v="2079935.08"/>
    <m/>
    <n v="1934339.62"/>
    <n v="-7"/>
    <s v="Below"/>
    <s v="Nineteen Lakh Thirty Four Thousand Three Hundred Thirty Nine Rupees and Sixty Two Paise Only"/>
    <s v="Division"/>
    <m/>
    <n v="1934339.62"/>
    <s v="SHIVAM CONSTRUCTION"/>
    <s v="Chhelana Vipul Hadabhai"/>
    <s v="At Survey No. 4 P, Shiv Hotel, Rohisha Chowkadi, Mahuva, Dist. Bhavnagar"/>
    <n v="7405505555"/>
    <m/>
    <s v="CDP-5"/>
    <m/>
    <m/>
    <m/>
    <n v="4"/>
    <n v="97000"/>
    <d v="2027-05-08T00:00:00"/>
    <n v="4800"/>
    <n v="0"/>
    <d v="2026-03-19T00:00:00"/>
    <d v="2027-03-09T00:00:00"/>
    <n v="1363"/>
    <d v="2025-09-22T00:00:00"/>
    <s v="2025-26"/>
    <n v="180"/>
    <d v="2025-10-13T00:00:00"/>
    <s v="FDR"/>
    <s v="Bank of India"/>
    <s v="320556110000300"/>
    <n v="97000"/>
    <d v="2025-10-07T00:00:00"/>
    <m/>
    <m/>
    <m/>
    <m/>
    <m/>
    <d v="2025-10-15T00:00:00"/>
    <n v="1465"/>
    <d v="2025-10-13T00:00:00"/>
    <m/>
    <m/>
    <m/>
    <m/>
    <m/>
    <m/>
    <m/>
  </r>
  <r>
    <n v="311"/>
    <m/>
    <s v="2025-26"/>
    <n v="14"/>
    <n v="30"/>
    <s v="Construction of Gram Panchayat office (Frame structure) at Village Fachara Taluka: Palitana Dist. Bhavnagar"/>
    <m/>
    <s v="Palitana"/>
    <x v="3"/>
    <s v="Building"/>
    <s v="Gram Panchayat"/>
    <n v="211825"/>
    <m/>
    <d v="2025-08-03T00:00:00"/>
    <d v="2025-08-11T00:00:00"/>
    <d v="2025-08-12T00:00:00"/>
    <d v="2025-12-09T00:00:00"/>
    <n v="2079935.08"/>
    <m/>
    <n v="1903140.6"/>
    <n v="-8.5"/>
    <s v="Below"/>
    <s v="Nineteen Lakh Three Thousand One Hundred Forty Rupees and Six Paise Only"/>
    <s v="Division"/>
    <m/>
    <n v="1903140.6"/>
    <s v="RUDRA CONSTRUCTION COMPANY"/>
    <n v="0"/>
    <s v="Plot No. 9, Gayatri Society, Ramabaug, Anantwadi, Bhavnagar - 364002"/>
    <n v="0"/>
    <m/>
    <m/>
    <m/>
    <m/>
    <m/>
    <n v="4"/>
    <n v="96000"/>
    <d v="2027-06-11T00:00:00"/>
    <n v="4800"/>
    <n v="0"/>
    <d v="2026-04-22T00:00:00"/>
    <d v="2027-04-12T00:00:00"/>
    <n v="1358"/>
    <d v="2025-09-22T00:00:00"/>
    <s v="2025-26"/>
    <n v="214"/>
    <d v="2025-11-18T00:00:00"/>
    <s v="FDR"/>
    <s v="Bank of India"/>
    <s v="320456110006932"/>
    <n v="96000"/>
    <d v="2025-11-14T00:00:00"/>
    <m/>
    <m/>
    <m/>
    <m/>
    <m/>
    <d v="2025-11-18T00:00:00"/>
    <n v="1545"/>
    <d v="2025-11-18T00:00:00"/>
    <m/>
    <m/>
    <m/>
    <m/>
    <m/>
    <m/>
    <m/>
  </r>
  <r>
    <n v="312"/>
    <m/>
    <s v="2025-26"/>
    <n v="14"/>
    <n v="31"/>
    <s v="Construction of Gram Panchayat office (Frame structure) at Village Dharuka Taluka: Umrala Dist. Bhavnagar"/>
    <m/>
    <s v="Umrala"/>
    <x v="0"/>
    <s v="Building"/>
    <s v="Gram Panchayat"/>
    <n v="211826"/>
    <m/>
    <d v="2025-08-03T00:00:00"/>
    <d v="2025-08-11T00:00:00"/>
    <d v="2025-08-12T00:00:00"/>
    <d v="2025-12-09T00:00:00"/>
    <n v="2079935.08"/>
    <m/>
    <n v="1902932.6"/>
    <n v="-8.51"/>
    <s v="Below"/>
    <s v="Nineteen Lakh Two Thousand Nine Hundred Thirty Two Rupees and Six Paise Only"/>
    <s v="Division"/>
    <m/>
    <n v="1902932.6"/>
    <s v="DEV CONSTRUCTION"/>
    <s v="D. H. Gohil"/>
    <s v="At. Vangadhra, Ta.Umrala, Dist. Bhavnagar"/>
    <n v="8780286268"/>
    <m/>
    <m/>
    <m/>
    <m/>
    <m/>
    <n v="4"/>
    <n v="96000"/>
    <d v="2027-04-24T00:00:00"/>
    <n v="4800"/>
    <n v="0"/>
    <d v="2026-03-05T00:00:00"/>
    <d v="2027-02-23T00:00:00"/>
    <n v="1322"/>
    <d v="2025-09-15T00:00:00"/>
    <m/>
    <m/>
    <m/>
    <m/>
    <m/>
    <m/>
    <m/>
    <m/>
    <m/>
    <m/>
    <m/>
    <m/>
    <m/>
    <d v="2025-10-01T00:00:00"/>
    <m/>
    <m/>
    <m/>
    <m/>
    <m/>
    <m/>
    <m/>
    <m/>
    <m/>
  </r>
  <r>
    <n v="313"/>
    <m/>
    <s v="2025-26"/>
    <n v="14"/>
    <n v="32"/>
    <s v=" Construction of Gram Panchayat office (Frame structure) at Village Karkoliya Taluka: Shihor Dist. Bhavnagar "/>
    <m/>
    <s v="Shihor"/>
    <x v="5"/>
    <s v="Building"/>
    <s v="Gram Panchayat"/>
    <n v="211827"/>
    <m/>
    <d v="2025-08-03T00:00:00"/>
    <d v="2025-08-11T00:00:00"/>
    <d v="2025-08-12T00:00:00"/>
    <d v="2025-12-09T00:00:00"/>
    <n v="2079935.08"/>
    <m/>
    <n v="1955346.97"/>
    <n v="-5.99"/>
    <s v="Below"/>
    <s v="Nineteen Lakh Fifty Five Thousand Three Hundred Forty Six Rupees and Ninety Seven Paise Only"/>
    <s v="Division"/>
    <m/>
    <n v="1955346.97"/>
    <s v="VARAHI CONSTRUCTION"/>
    <s v="Majithiya Dhruvin Nareshbhai"/>
    <s v="82/1, Bajaran Society, Near Gayatri Temple, Chitra, Bhavnagar-364004"/>
    <n v="8200557028"/>
    <m/>
    <m/>
    <m/>
    <m/>
    <m/>
    <n v="4"/>
    <n v="98000"/>
    <d v="2027-04-24T00:00:00"/>
    <n v="4900"/>
    <n v="0"/>
    <d v="2026-03-05T00:00:00"/>
    <d v="2027-02-23T00:00:00"/>
    <n v="1316"/>
    <d v="2025-09-15T00:00:00"/>
    <m/>
    <m/>
    <m/>
    <m/>
    <m/>
    <m/>
    <m/>
    <m/>
    <m/>
    <m/>
    <m/>
    <m/>
    <m/>
    <d v="2025-10-01T00:00:00"/>
    <m/>
    <m/>
    <m/>
    <m/>
    <m/>
    <m/>
    <m/>
    <m/>
    <m/>
  </r>
  <r>
    <n v="314"/>
    <m/>
    <s v="2025-26"/>
    <n v="14"/>
    <n v="33"/>
    <s v=" Construction of Gram Panchayat office (Frame structure) at Village Navagam (Mo) Taluka: Shihor Dist. Bhavnagar "/>
    <m/>
    <s v="Shihor"/>
    <x v="5"/>
    <s v="Building"/>
    <s v="Gram Panchayat"/>
    <n v="211828"/>
    <m/>
    <d v="2025-08-03T00:00:00"/>
    <d v="2025-08-11T00:00:00"/>
    <d v="2025-08-12T00:00:00"/>
    <d v="2025-12-09T00:00:00"/>
    <n v="2079935.08"/>
    <s v="Yes"/>
    <m/>
    <m/>
    <s v="Equals"/>
    <s v="Zero Rupees Only"/>
    <s v="Division"/>
    <m/>
    <n v="0"/>
    <m/>
    <n v="0"/>
    <n v="0"/>
    <n v="0"/>
    <m/>
    <m/>
    <m/>
    <m/>
    <m/>
    <m/>
    <n v="0"/>
    <d v="1901-03-25T00:00:00"/>
    <n v="0"/>
    <n v="0"/>
    <d v="1900-02-03T00:00:00"/>
    <d v="1901-01-24T00:00:00"/>
    <m/>
    <m/>
    <m/>
    <m/>
    <m/>
    <m/>
    <m/>
    <m/>
    <m/>
    <m/>
    <m/>
    <m/>
    <m/>
    <m/>
    <m/>
    <m/>
    <m/>
    <m/>
    <m/>
    <m/>
    <m/>
    <m/>
    <m/>
    <m/>
    <m/>
  </r>
  <r>
    <n v="315"/>
    <m/>
    <s v="2025-26"/>
    <n v="14"/>
    <n v="34"/>
    <s v="Construction of Gram Panchayat office (Frame structure) at Village Panchvada Taluka:Shihor Dist. Bhavnagar"/>
    <m/>
    <s v="Shihor"/>
    <x v="5"/>
    <s v="Building"/>
    <s v="Gram Panchayat"/>
    <n v="211829"/>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12"/>
    <d v="2025-09-15T00:00:00"/>
    <m/>
    <m/>
    <m/>
    <m/>
    <m/>
    <m/>
    <m/>
    <m/>
    <m/>
    <m/>
    <m/>
    <m/>
    <m/>
    <d v="2025-10-01T00:00:00"/>
    <m/>
    <m/>
    <m/>
    <m/>
    <m/>
    <m/>
    <m/>
    <m/>
    <m/>
  </r>
  <r>
    <n v="316"/>
    <m/>
    <s v="2025-26"/>
    <n v="14"/>
    <n v="35"/>
    <s v="Construction of Gram Panchayat office (Frame structure) at Village Kantodiya Taluka: Shihor Dist. Bhavnagar"/>
    <m/>
    <s v="Shihor"/>
    <x v="5"/>
    <s v="Building"/>
    <s v="Gram Panchayat"/>
    <n v="211830"/>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23"/>
    <d v="2025-09-15T00:00:00"/>
    <m/>
    <m/>
    <m/>
    <m/>
    <m/>
    <m/>
    <m/>
    <m/>
    <m/>
    <m/>
    <m/>
    <m/>
    <m/>
    <d v="2025-10-01T00:00:00"/>
    <m/>
    <m/>
    <m/>
    <m/>
    <m/>
    <m/>
    <m/>
    <m/>
    <m/>
  </r>
  <r>
    <n v="317"/>
    <m/>
    <s v="2025-26"/>
    <n v="14"/>
    <n v="36"/>
    <s v="Construction of Gram Panchayat office (Frame structure) at Village Nana Surka Taluka:Shihor Dist. Bhavnagar"/>
    <m/>
    <s v="Shihor"/>
    <x v="5"/>
    <s v="Building"/>
    <s v="Gram Panchayat"/>
    <n v="211831"/>
    <m/>
    <d v="2025-08-03T00:00:00"/>
    <d v="2025-08-11T00:00:00"/>
    <d v="2025-08-12T00:00:00"/>
    <d v="2025-12-09T00:00:00"/>
    <n v="2079935.08"/>
    <m/>
    <n v="1985714.02"/>
    <n v="-4.53"/>
    <s v="Below"/>
    <s v="Nineteen Lakh Eighty Five Thousand Seven Hundred Fourteen Rupees and Two Paise Only"/>
    <s v="Division"/>
    <m/>
    <n v="1985714.02"/>
    <s v="HRUTURAJSINH JESUBHA GOHIL"/>
    <n v="0"/>
    <s v="At Tana, Tal. Shihor, Dist. Bhavnagar - 364260"/>
    <n v="9510343132"/>
    <m/>
    <s v="CDP-5"/>
    <m/>
    <m/>
    <m/>
    <n v="4"/>
    <n v="100000"/>
    <d v="2027-06-03T00:00:00"/>
    <n v="4900"/>
    <n v="0"/>
    <d v="2026-04-14T00:00:00"/>
    <d v="2027-04-04T00:00:00"/>
    <n v="1317"/>
    <d v="2025-09-15T00:00:00"/>
    <s v="2025-26"/>
    <n v="201"/>
    <d v="2025-11-08T00:00:00"/>
    <s v="FDR"/>
    <s v="Bank of Baroda"/>
    <s v="91640300004729"/>
    <n v="100000"/>
    <d v="2025-08-22T00:00:00"/>
    <m/>
    <m/>
    <m/>
    <m/>
    <m/>
    <d v="2025-11-10T00:00:00"/>
    <n v="1506"/>
    <d v="2025-11-08T00:00:00"/>
    <m/>
    <m/>
    <m/>
    <m/>
    <m/>
    <m/>
    <m/>
  </r>
  <r>
    <n v="318"/>
    <m/>
    <s v="2025-26"/>
    <n v="14"/>
    <n v="37"/>
    <s v="Construction of Gram Panchayat office (Frame structure) at Village Rajpara (Khodiyar) Taluka: Shihor Dist. Bhavnagar"/>
    <m/>
    <s v="Shihor"/>
    <x v="5"/>
    <s v="Building"/>
    <s v="Gram Panchayat"/>
    <n v="211832"/>
    <m/>
    <d v="2025-08-03T00:00:00"/>
    <d v="2025-08-11T00:00:00"/>
    <d v="2025-08-12T00:00:00"/>
    <d v="2025-12-09T00:00:00"/>
    <n v="2079935.08"/>
    <m/>
    <n v="1933091.66"/>
    <n v="-7.06"/>
    <s v="Below"/>
    <s v="Nineteen Lakh Thirty Three Thousand Ninety One Rupees and Sixty Six Paise Only"/>
    <s v="Division"/>
    <m/>
    <n v="1933091.66"/>
    <s v="PARTH K MEHTA"/>
    <s v="PARTH Kiritkumar MEHTA"/>
    <s v="Plot No. 1578/I, New Champa Tenament, Divadi Road, Rupani Circle, Bhavnagar - 364002"/>
    <n v="7990934709"/>
    <m/>
    <s v="CDP-5"/>
    <m/>
    <m/>
    <m/>
    <n v="4"/>
    <n v="97000"/>
    <d v="2027-04-24T00:00:00"/>
    <n v="4800"/>
    <n v="0"/>
    <d v="2026-03-05T00:00:00"/>
    <d v="2027-02-23T00:00:00"/>
    <n v="1314"/>
    <d v="2025-09-15T00:00:00"/>
    <m/>
    <m/>
    <m/>
    <m/>
    <m/>
    <m/>
    <m/>
    <m/>
    <m/>
    <m/>
    <m/>
    <m/>
    <m/>
    <d v="2025-10-01T00:00:00"/>
    <m/>
    <m/>
    <m/>
    <m/>
    <m/>
    <m/>
    <m/>
    <m/>
    <m/>
  </r>
  <r>
    <n v="319"/>
    <m/>
    <s v="2025-26"/>
    <n v="14"/>
    <n v="38"/>
    <s v="Construction of Gram Panchayat office (Frame structure) at Village Sendarda Taluka: Shihor Dist. Bhavnagar"/>
    <m/>
    <s v="Shihor"/>
    <x v="5"/>
    <s v="Building"/>
    <s v="Gram Panchayat"/>
    <n v="211834"/>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30"/>
    <d v="2025-09-15T00:00:00"/>
    <m/>
    <m/>
    <m/>
    <m/>
    <m/>
    <m/>
    <m/>
    <m/>
    <m/>
    <m/>
    <m/>
    <m/>
    <m/>
    <d v="2025-10-01T00:00:00"/>
    <m/>
    <m/>
    <m/>
    <m/>
    <m/>
    <m/>
    <m/>
    <m/>
    <m/>
  </r>
  <r>
    <n v="320"/>
    <m/>
    <s v="2025-26"/>
    <n v="14"/>
    <n v="39"/>
    <s v="Construction of Gram Panchayat office (Frame structure) at Village Vav Taluka: Shihor Dist. Bhavnagar"/>
    <m/>
    <s v="Shihor"/>
    <x v="5"/>
    <s v="Building"/>
    <s v="Gram Panchayat"/>
    <n v="211837"/>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5-08T00:00:00"/>
    <n v="4900"/>
    <n v="0"/>
    <d v="2026-03-19T00:00:00"/>
    <d v="2027-03-09T00:00:00"/>
    <n v="1315"/>
    <d v="2025-09-15T00:00:00"/>
    <s v="2025-26"/>
    <n v="189"/>
    <d v="2025-10-13T00:00:00"/>
    <s v="FDR"/>
    <s v="State Bank of India"/>
    <n v="44526140342"/>
    <n v="98000"/>
    <d v="2025-10-04T00:00:00"/>
    <m/>
    <m/>
    <m/>
    <m/>
    <m/>
    <d v="2025-10-15T00:00:00"/>
    <n v="1473"/>
    <d v="2025-10-13T00:00:00"/>
    <m/>
    <m/>
    <m/>
    <m/>
    <m/>
    <m/>
    <m/>
  </r>
  <r>
    <n v="321"/>
    <m/>
    <s v="2025-26"/>
    <n v="14"/>
    <n v="40"/>
    <s v="Construction of Gram Panchayat office (Frame structure) at Village Mundakidhar Taluka: Jesar Dist. Bhavnagar"/>
    <m/>
    <s v="Jesar"/>
    <x v="1"/>
    <s v="Building"/>
    <s v="Gram Panchayat"/>
    <n v="211841"/>
    <m/>
    <d v="2025-08-03T00:00:00"/>
    <d v="2025-08-11T00:00:00"/>
    <d v="2025-08-12T00:00:00"/>
    <d v="2025-12-09T00:00:00"/>
    <n v="2079935.08"/>
    <m/>
    <n v="1954514.99"/>
    <n v="-6.03"/>
    <s v="Below"/>
    <s v="Nineteen Lakh Fifty Four Thousand Five Hundred Fourteen Rupees and Ninety Nine Paise Only"/>
    <s v="Division"/>
    <m/>
    <n v="1954514.99"/>
    <s v="RAJABHAI NAGJIBHAI ZALA "/>
    <n v="0"/>
    <s v="11, Brahman Sheri, At. Jesar, Dist. Bhavnagar"/>
    <n v="9825149802"/>
    <m/>
    <m/>
    <m/>
    <m/>
    <m/>
    <n v="4"/>
    <n v="98000"/>
    <d v="2027-04-24T00:00:00"/>
    <n v="4900"/>
    <n v="0"/>
    <d v="2026-03-05T00:00:00"/>
    <d v="2027-02-23T00:00:00"/>
    <n v="1357"/>
    <d v="2025-09-22T00:00:00"/>
    <m/>
    <m/>
    <m/>
    <m/>
    <m/>
    <m/>
    <m/>
    <m/>
    <m/>
    <m/>
    <m/>
    <m/>
    <m/>
    <d v="2025-10-01T00:00:00"/>
    <m/>
    <m/>
    <m/>
    <m/>
    <m/>
    <m/>
    <m/>
    <m/>
    <m/>
  </r>
  <r>
    <n v="322"/>
    <m/>
    <s v="2025-26"/>
    <n v="14"/>
    <n v="41"/>
    <s v="Construction of Primary School Room at Jaliya (AM) Ta. Palitana Dist:Bhavnagar"/>
    <m/>
    <s v="Palitana"/>
    <x v="3"/>
    <s v="Building"/>
    <s v="School Room"/>
    <n v="211842"/>
    <n v="2"/>
    <d v="2025-08-03T00:00:00"/>
    <d v="2025-08-11T00:00:00"/>
    <d v="2025-08-12T00:00:00"/>
    <d v="2025-12-09T00:00:00"/>
    <n v="2420954.2000000002"/>
    <m/>
    <n v="2197742.2200000002"/>
    <n v="-9.2200000000000006"/>
    <s v="Below"/>
    <s v="Twenty One Lakh Ninety Seven Thousand Seven Hundred Forty Two Rupees and Twenty Two Paise Only"/>
    <s v="Division"/>
    <m/>
    <n v="2197742.2200000002"/>
    <s v="V M ENTERPRISE"/>
    <n v="0"/>
    <s v="At Modhuka, Ta. Vinchhiya, Dist. Rajkot"/>
    <n v="9723355852"/>
    <m/>
    <s v="MP Grant - Shri Masukhbhai Mandaviya Fund - 2023-24"/>
    <m/>
    <m/>
    <m/>
    <n v="4"/>
    <n v="110000"/>
    <d v="2027-03-19T00:00:00"/>
    <n v="5400"/>
    <n v="0"/>
    <d v="2026-01-28T00:00:00"/>
    <d v="2027-01-18T00:00:00"/>
    <n v="1181"/>
    <d v="2025-08-21T00:00:00"/>
    <s v="2025-26"/>
    <n v="111"/>
    <d v="2025-08-26T00:00:00"/>
    <s v="FDR"/>
    <s v="Punjab National Bank"/>
    <s v="964500PU00000397"/>
    <n v="110000"/>
    <d v="2025-08-22T00:00:00"/>
    <m/>
    <m/>
    <m/>
    <m/>
    <m/>
    <d v="2025-08-26T00:00:00"/>
    <n v="1203"/>
    <d v="2025-08-26T00:00:00"/>
    <m/>
    <m/>
    <m/>
    <m/>
    <m/>
    <m/>
    <m/>
  </r>
  <r>
    <n v="323"/>
    <m/>
    <s v="2025-26"/>
    <n v="14"/>
    <n v="42"/>
    <s v="Construction of Primary School Room at Keriya Ta. Umrala Dist:Bhavnagar"/>
    <m/>
    <s v="Umrala"/>
    <x v="0"/>
    <s v="Building"/>
    <s v="School Room"/>
    <n v="211843"/>
    <n v="2"/>
    <d v="2025-08-03T00:00:00"/>
    <d v="2025-08-11T00:00:00"/>
    <d v="2025-08-12T00:00:00"/>
    <d v="2025-12-09T00:00:00"/>
    <n v="1634615.63"/>
    <m/>
    <n v="1525750.23"/>
    <n v="-6.66"/>
    <s v="Below"/>
    <s v="Fifteen Lakh Twenty Five Thousand Seven Hundred Fifty Rupees and Twenty Three Paise Only"/>
    <s v="Division"/>
    <m/>
    <n v="1525750.23"/>
    <s v="SOMNATH ENTERPRISE"/>
    <s v="C. H. Gohil"/>
    <s v="Ground Floor, Shop No.2, House No.151, Near Chabutara, Dadva Road, Dhola, Ta.Umrala, Dist.Bhavnagar"/>
    <n v="9377666263"/>
    <m/>
    <s v="MP Grant - Shri Masukhbhai Mandaviya Fund - 2023-24"/>
    <m/>
    <m/>
    <m/>
    <n v="4"/>
    <n v="77000"/>
    <d v="2027-04-24T00:00:00"/>
    <n v="3800"/>
    <n v="0"/>
    <d v="2026-03-05T00:00:00"/>
    <d v="2027-02-23T00:00:00"/>
    <n v="1183"/>
    <d v="2025-08-21T00:00:00"/>
    <s v="2025-26"/>
    <n v="167"/>
    <d v="2025-10-01T00:00:00"/>
    <s v="FDR"/>
    <s v="State Bank of India"/>
    <n v="44480750901"/>
    <n v="77000"/>
    <d v="2025-09-18T00:00:00"/>
    <m/>
    <m/>
    <m/>
    <m/>
    <m/>
    <d v="2025-10-01T00:00:00"/>
    <n v="1408"/>
    <d v="2025-10-01T00:00:00"/>
    <m/>
    <m/>
    <m/>
    <m/>
    <m/>
    <m/>
    <m/>
  </r>
  <r>
    <n v="324"/>
    <m/>
    <s v="2025-26"/>
    <n v="14"/>
    <n v="43"/>
    <s v="Construction of Primary School Room at Chitravav Ta. Umrala Dist:Bhavnagar"/>
    <m/>
    <s v="Umrala"/>
    <x v="0"/>
    <s v="Building"/>
    <s v="School Room"/>
    <n v="211846"/>
    <n v="2"/>
    <d v="2025-08-03T00:00:00"/>
    <d v="2025-08-11T00:00:00"/>
    <d v="2025-08-12T00:00:00"/>
    <d v="2025-12-09T00:00:00"/>
    <n v="1634615.63"/>
    <m/>
    <n v="1523952.15"/>
    <n v="-6.77"/>
    <s v="Below"/>
    <s v="Fifteen Lakh Twenty Three Thousand Nine Hundred Fifty Two Rupees and Fifteen Paise Only"/>
    <s v="Division"/>
    <m/>
    <n v="1523952.15"/>
    <s v="V M ENTERPRISE"/>
    <n v="0"/>
    <s v="At Modhuka, Ta. Vinchhiya, Dist. Rajkot"/>
    <n v="9723355852"/>
    <m/>
    <s v="MP Grant - Shri Masukhbhai Mandaviya Fund - 2023-24"/>
    <m/>
    <m/>
    <m/>
    <n v="4"/>
    <n v="77000"/>
    <d v="2027-03-19T00:00:00"/>
    <n v="3800"/>
    <n v="0"/>
    <d v="2026-01-28T00:00:00"/>
    <d v="2027-01-18T00:00:00"/>
    <n v="1182"/>
    <d v="2025-08-21T00:00:00"/>
    <s v="2025-26"/>
    <n v="112"/>
    <d v="2025-08-26T00:00:00"/>
    <s v="FDR"/>
    <s v="Punjab National Bank"/>
    <s v="964500PU00000388"/>
    <n v="77000"/>
    <d v="2025-08-22T00:00:00"/>
    <m/>
    <m/>
    <m/>
    <m/>
    <m/>
    <d v="2025-08-26T00:00:00"/>
    <n v="1204"/>
    <d v="2025-08-26T00:00:00"/>
    <m/>
    <m/>
    <m/>
    <m/>
    <m/>
    <m/>
    <m/>
  </r>
  <r>
    <n v="325"/>
    <m/>
    <s v="2025-26"/>
    <n v="14"/>
    <n v="44"/>
    <s v="Remaining works of Gram Panchayat office Building (Frame Structure) Gariyadhar Taluka Package No. 2017-18/18 (Shivendranagar, Moti Vavdi, Rupavati), Dist. Bhavnagar"/>
    <m/>
    <s v="Gariyadhar"/>
    <x v="3"/>
    <s v="Building"/>
    <m/>
    <n v="211848"/>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26"/>
    <m/>
    <s v="2025-26"/>
    <n v="14"/>
    <n v="45"/>
    <s v="Remaining works Construction of Gram Panchayat office Building (Frame Structure) at village Pansada Dist. Bhavnagar"/>
    <m/>
    <s v="Gariyadhar"/>
    <x v="3"/>
    <s v="Building"/>
    <s v="Gram Panchayat"/>
    <n v="211850"/>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27"/>
    <m/>
    <s v="2025-26"/>
    <n v="14"/>
    <n v="46"/>
    <s v="Construction of School Building at Kalivav Primary School (One Class Room)  and Koliyak Kanya P.S. (Four Class Room) Ta. And Dist. Bhavnagar"/>
    <m/>
    <s v="Bhavnagar"/>
    <x v="2"/>
    <s v="Building"/>
    <m/>
    <n v="211853"/>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28"/>
    <m/>
    <s v="2025-26"/>
    <n v="14"/>
    <n v="47"/>
    <s v="Construction of Nandghar (Anganvadi) Building at Village Boradi-4 Tal. Mahuva Dist. Bhavnagar"/>
    <m/>
    <s v="Mahuva"/>
    <x v="1"/>
    <s v="Building"/>
    <s v="Anganvadi"/>
    <n v="211854"/>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29"/>
    <m/>
    <s v="2025-26"/>
    <n v="14"/>
    <n v="48"/>
    <s v="Construction of Nandghar (Anganvadi) Building at Village Kumbhariya Tal. Mahuva Dist. Bhavnagar"/>
    <m/>
    <s v="Mahuva"/>
    <x v="1"/>
    <s v="Building"/>
    <s v="Anganvadi"/>
    <n v="211857"/>
    <m/>
    <d v="2025-08-03T00:00:00"/>
    <d v="2025-08-11T00:00:00"/>
    <d v="2025-08-12T00:00:00"/>
    <d v="2025-12-09T00:00:00"/>
    <n v="1024912.96"/>
    <m/>
    <n v="1012101.55"/>
    <n v="-1.25"/>
    <s v="Below"/>
    <s v="Ten Lakh Twelve Thousand One Hundred One Rupees and Fifty Five Paise Only"/>
    <s v="Division"/>
    <m/>
    <n v="1012101.55"/>
    <s v="Bhupatbhai B. Baraiya"/>
    <n v="0"/>
    <s v="Plot No. 233, Nu.N.Yo. No.3, Near Muni Nagar, Mahuva"/>
    <n v="9824837530"/>
    <m/>
    <m/>
    <m/>
    <m/>
    <m/>
    <n v="3"/>
    <n v="51000"/>
    <d v="2027-03-25T00:00:00"/>
    <n v="2500"/>
    <n v="0"/>
    <d v="2026-02-03T00:00:00"/>
    <d v="2027-01-24T00:00:00"/>
    <n v="1331"/>
    <d v="2025-09-15T00:00:00"/>
    <m/>
    <m/>
    <m/>
    <m/>
    <m/>
    <m/>
    <m/>
    <m/>
    <m/>
    <m/>
    <m/>
    <m/>
    <m/>
    <d v="2025-10-01T00:00:00"/>
    <m/>
    <m/>
    <m/>
    <m/>
    <m/>
    <m/>
    <m/>
    <m/>
    <m/>
  </r>
  <r>
    <n v="330"/>
    <m/>
    <s v="2025-26"/>
    <n v="14"/>
    <n v="49"/>
    <s v="Construction of Nandghar (Anganvadi) Building at Village Mota Khuntavada-2, Ta. Mahuva Dist. Bhavnagar"/>
    <m/>
    <s v="Mahuva"/>
    <x v="1"/>
    <s v="Building"/>
    <s v="Anganvadi"/>
    <n v="211859"/>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31"/>
    <m/>
    <s v="2025-26"/>
    <n v="14"/>
    <n v="50"/>
    <s v=" Construction of Nandghar (Anganvadi) Building at Village Titodiya Tal. Mahuva Dist. Bhavnagar"/>
    <m/>
    <s v="Mahuva"/>
    <x v="1"/>
    <s v="Building"/>
    <s v="Anganvadi"/>
    <n v="211861"/>
    <m/>
    <d v="2025-08-03T00:00:00"/>
    <d v="2025-08-11T00:00:00"/>
    <d v="2025-08-12T00:00:00"/>
    <d v="2025-12-09T00:00:00"/>
    <n v="1024912.96"/>
    <m/>
    <n v="1098706.69"/>
    <n v="7.2"/>
    <s v="Above"/>
    <s v="Ten Lakh Ninety Eight Thousand Seven Hundred Six Rupees and Sixty Nine Paise Only"/>
    <s v="Division"/>
    <m/>
    <n v="1098706.69"/>
    <s v="C.M.CONSTRUCTION"/>
    <s v="C. K. Vaniya"/>
    <s v="Dhuliya Pir Vali Sheri, At Sedarda, Ta. Mahuva, Dist. Bhavnagar - 364280"/>
    <n v="9978990613"/>
    <m/>
    <m/>
    <m/>
    <m/>
    <m/>
    <n v="3"/>
    <n v="55000"/>
    <d v="2027-03-25T00:00:00"/>
    <n v="2700"/>
    <n v="0"/>
    <d v="2026-02-03T00:00:00"/>
    <d v="2027-01-24T00:00:00"/>
    <m/>
    <m/>
    <m/>
    <m/>
    <m/>
    <m/>
    <m/>
    <m/>
    <m/>
    <m/>
    <m/>
    <m/>
    <m/>
    <m/>
    <m/>
    <d v="2025-10-01T00:00:00"/>
    <m/>
    <m/>
    <m/>
    <m/>
    <m/>
    <m/>
    <m/>
    <m/>
    <m/>
  </r>
  <r>
    <n v="332"/>
    <m/>
    <s v="2025-26"/>
    <n v="14"/>
    <n v="51"/>
    <s v="Construction of Nandghar (Anganvadi) Building at Village Gundarani Tal. Mahuva Dist. Bhavnagar"/>
    <m/>
    <s v="Mahuva"/>
    <x v="1"/>
    <s v="Building"/>
    <s v="Anganvadi"/>
    <n v="211875"/>
    <m/>
    <d v="2025-08-03T00:00:00"/>
    <d v="2025-08-11T00:00:00"/>
    <d v="2025-08-12T00:00:00"/>
    <d v="2025-12-09T00:00:00"/>
    <n v="1024912.96"/>
    <m/>
    <n v="991398.31"/>
    <n v="-3.27"/>
    <s v="Below"/>
    <s v="Nine Lakh Ninety One Thousand Three Hundred Ninety Eight Rupees and Thirty One Paise Only"/>
    <s v="Division"/>
    <m/>
    <n v="991398.31"/>
    <s v="Bhupatbhai B. Baraiya"/>
    <n v="0"/>
    <s v="Plot No. 233, Nu.N.Yo. No.3, Near Muni Nagar, Mahuva"/>
    <n v="9824837530"/>
    <m/>
    <m/>
    <m/>
    <m/>
    <m/>
    <n v="3"/>
    <n v="50000"/>
    <d v="2027-03-25T00:00:00"/>
    <n v="2500"/>
    <n v="0"/>
    <d v="2026-02-03T00:00:00"/>
    <d v="2027-01-24T00:00:00"/>
    <n v="1332"/>
    <d v="2025-09-15T00:00:00"/>
    <m/>
    <m/>
    <m/>
    <m/>
    <m/>
    <m/>
    <m/>
    <m/>
    <m/>
    <m/>
    <m/>
    <m/>
    <m/>
    <d v="2025-10-01T00:00:00"/>
    <m/>
    <m/>
    <m/>
    <m/>
    <m/>
    <m/>
    <m/>
    <m/>
    <m/>
  </r>
  <r>
    <n v="333"/>
    <m/>
    <s v="2025-26"/>
    <n v="14"/>
    <n v="52"/>
    <s v="Construction of Nandghar (Anganvadi) Building at Village Mota Malpara, Ta. Mahuva Dist. Bhavnagar"/>
    <m/>
    <s v="Mahuva"/>
    <x v="1"/>
    <s v="Building"/>
    <s v="Anganvadi"/>
    <n v="211876"/>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34"/>
    <m/>
    <s v="2025-26"/>
    <n v="14"/>
    <n v="53"/>
    <s v="Construction of Nandghar (Anganvadi) Building at Village Mota Khuntvada-3 Tal. Mahuva Dist. Bhavnagar"/>
    <m/>
    <s v="Mahuva"/>
    <x v="1"/>
    <s v="Building"/>
    <s v="Anganvadi"/>
    <n v="211877"/>
    <m/>
    <d v="2025-08-03T00:00:00"/>
    <d v="2025-08-11T00:00:00"/>
    <d v="2025-08-12T00:00:00"/>
    <d v="2025-12-09T00:00:00"/>
    <n v="1024912.96"/>
    <m/>
    <n v="1301639.46"/>
    <n v="27"/>
    <s v="Above"/>
    <s v="Thirteen Lakh One Thousand Six Hundred Thirty Nine Rupees and Forty Six Paise Only"/>
    <s v="Division"/>
    <m/>
    <n v="1301639.46"/>
    <s v="C.M.CONSTRUCTION"/>
    <s v="C. K. Vaniya"/>
    <s v="Dhuliya Pir Vali Sheri, At Sedarda, Ta. Mahuva, Dist. Bhavnagar - 364280"/>
    <n v="9978990613"/>
    <m/>
    <m/>
    <m/>
    <m/>
    <m/>
    <n v="3"/>
    <n v="66000"/>
    <d v="2027-03-25T00:00:00"/>
    <n v="3300"/>
    <n v="0"/>
    <d v="2026-02-03T00:00:00"/>
    <d v="2027-01-24T00:00:00"/>
    <m/>
    <d v="2025-09-15T00:00:00"/>
    <m/>
    <m/>
    <m/>
    <m/>
    <m/>
    <m/>
    <m/>
    <m/>
    <m/>
    <m/>
    <m/>
    <m/>
    <m/>
    <d v="2025-10-01T00:00:00"/>
    <m/>
    <m/>
    <m/>
    <m/>
    <m/>
    <m/>
    <m/>
    <m/>
    <m/>
  </r>
  <r>
    <n v="335"/>
    <m/>
    <s v="2025-26"/>
    <n v="14"/>
    <n v="54"/>
    <s v="Construction of Nandghar (Anganvadi) Building at Village Vaghavadarda Tal. Mahuva Dist. Bhavnagar"/>
    <m/>
    <s v="Mahuva"/>
    <x v="1"/>
    <s v="Building"/>
    <s v="Anganvadi"/>
    <n v="211878"/>
    <m/>
    <d v="2025-08-03T00:00:00"/>
    <d v="2025-08-11T00:00:00"/>
    <d v="2025-08-12T00:00:00"/>
    <d v="2025-12-09T00:00:00"/>
    <n v="1024912.96"/>
    <m/>
    <n v="1012409.02"/>
    <n v="-1.22"/>
    <s v="Below"/>
    <s v="Ten Lakh Twelve Thousand Four Hundred Nine Rupees and Two Paise Only"/>
    <s v="Division"/>
    <m/>
    <n v="1012409.02"/>
    <s v="V M ENTERPRISE"/>
    <n v="0"/>
    <s v="At Modhuka, Ta. Vinchhiya, Dist. Rajkot"/>
    <n v="9723355852"/>
    <m/>
    <m/>
    <m/>
    <m/>
    <m/>
    <n v="3"/>
    <n v="51000"/>
    <d v="2027-03-25T00:00:00"/>
    <n v="2500"/>
    <n v="0"/>
    <d v="2026-02-03T00:00:00"/>
    <d v="2027-01-24T00:00:00"/>
    <n v="1313"/>
    <d v="2025-09-15T00:00:00"/>
    <m/>
    <m/>
    <m/>
    <m/>
    <m/>
    <m/>
    <m/>
    <m/>
    <m/>
    <m/>
    <m/>
    <m/>
    <m/>
    <d v="2025-10-01T00:00:00"/>
    <m/>
    <m/>
    <m/>
    <m/>
    <m/>
    <m/>
    <m/>
    <m/>
    <m/>
  </r>
  <r>
    <n v="336"/>
    <m/>
    <s v="2025-26"/>
    <n v="14"/>
    <n v="55"/>
    <s v="Construction of Nandghar (Anganvadi) Building at Village Dudana Tal. Mahuva Dist. Bhavnagar"/>
    <m/>
    <s v="Mahuva"/>
    <x v="1"/>
    <s v="Building"/>
    <s v="Anganvadi"/>
    <n v="211879"/>
    <m/>
    <d v="2025-08-03T00:00:00"/>
    <d v="2025-08-11T00:00:00"/>
    <d v="2025-08-12T00:00:00"/>
    <d v="2025-12-09T00:00:00"/>
    <n v="1024912.96"/>
    <m/>
    <n v="990783.36"/>
    <n v="-3.33"/>
    <s v="Below"/>
    <s v="Nine Lakh Ninety Thousand Seven Hundred Eighty Three Rupees and Thirty Six Paise Only"/>
    <s v="Division"/>
    <m/>
    <n v="990783.36"/>
    <s v="SHIV CONTRUCTION"/>
    <s v="ALIGBHAI LAKHUBHAI BARAL"/>
    <s v="At Bhandariya, Ta. Palitana, Dist. Bhavnagar"/>
    <n v="8780428967"/>
    <m/>
    <m/>
    <m/>
    <m/>
    <m/>
    <n v="3"/>
    <n v="50000"/>
    <d v="2027-04-08T00:00:00"/>
    <n v="2500"/>
    <n v="0"/>
    <d v="2026-02-17T00:00:00"/>
    <d v="2027-02-07T00:00:00"/>
    <n v="1307"/>
    <d v="2025-09-15T00:00:00"/>
    <s v="2025-26"/>
    <n v="186"/>
    <d v="2025-10-13T00:00:00"/>
    <s v="FDR"/>
    <s v="Gujarat Gramin Bank"/>
    <s v="22670300000005"/>
    <n v="50000"/>
    <d v="2025-10-06T00:00:00"/>
    <m/>
    <m/>
    <m/>
    <m/>
    <m/>
    <d v="2025-10-15T00:00:00"/>
    <n v="1470"/>
    <d v="2025-10-13T00:00:00"/>
    <m/>
    <m/>
    <m/>
    <m/>
    <m/>
    <m/>
    <m/>
  </r>
  <r>
    <n v="337"/>
    <m/>
    <s v="2025-26"/>
    <n v="15"/>
    <n v="1"/>
    <s v="Construction of Gram Panchayat office ( for Population from 5000- 10000) at Village Ambla Tal. Shihor Dist. Bhavnagar"/>
    <m/>
    <s v="Shihor"/>
    <x v="5"/>
    <s v="Building"/>
    <s v="Gram Panchayat"/>
    <n v="213142"/>
    <m/>
    <d v="2025-08-06T00:00:00"/>
    <d v="2025-08-18T00:00:00"/>
    <d v="2025-08-19T00:00:00"/>
    <d v="2025-12-16T00:00:00"/>
    <n v="2880130.57"/>
    <m/>
    <n v="2618326.7000000002"/>
    <n v="-9.09"/>
    <s v="Below"/>
    <s v="Twenty Six Lakh Eighteen Thousand Three Hundred Twenty Six Rupees and Seven Paise Only"/>
    <s v="Division"/>
    <m/>
    <n v="2618326.7000000002"/>
    <s v="VARAHI CONSTRUCTION"/>
    <s v="Majithiya Dhruvin Nareshbhai"/>
    <s v="82/1, Bajaran Society, Near Gayatri Temple, Chitra, Bhavnagar-364004"/>
    <n v="8200557028"/>
    <m/>
    <s v="DMF"/>
    <m/>
    <m/>
    <m/>
    <n v="4"/>
    <n v="131000"/>
    <d v="2027-04-24T00:00:00"/>
    <n v="6500"/>
    <n v="0"/>
    <d v="2026-03-05T00:00:00"/>
    <d v="2027-02-23T00:00:00"/>
    <n v="1338"/>
    <d v="2025-09-15T00:00:00"/>
    <m/>
    <m/>
    <m/>
    <m/>
    <m/>
    <m/>
    <m/>
    <m/>
    <m/>
    <m/>
    <m/>
    <m/>
    <m/>
    <d v="2025-10-01T00:00:00"/>
    <m/>
    <m/>
    <m/>
    <m/>
    <m/>
    <m/>
    <m/>
    <m/>
    <m/>
  </r>
  <r>
    <n v="338"/>
    <m/>
    <s v="2025-26"/>
    <n v="15"/>
    <n v="2"/>
    <s v="Construction of Community hall at Shirvaniya Area Village Parwala Tal. Umrala Dist. :- Bhavnagar"/>
    <m/>
    <s v="Umrala"/>
    <x v="0"/>
    <s v="Building"/>
    <s v="Community hall"/>
    <n v="213143"/>
    <m/>
    <d v="2025-08-06T00:00:00"/>
    <d v="2025-08-18T00:00:00"/>
    <d v="2025-08-19T00:00:00"/>
    <d v="2025-12-16T00:00:00"/>
    <n v="577431.24"/>
    <m/>
    <n v="523672.39"/>
    <n v="-9.31"/>
    <s v="Below"/>
    <s v="Five Lakh Twenty Three Thousand Six Hundred Seventy Two Rupees and Thirty Nine Paise Only"/>
    <s v="Division"/>
    <m/>
    <n v="523672.39"/>
    <s v="SHIVGADH BUILDERS"/>
    <s v="Amardipsinh M. Gohil"/>
    <s v="C 1014, Opp. SBI Bank, Kaliyabid, Bhavnagar"/>
    <n v="9426959999"/>
    <m/>
    <s v="MP Grant"/>
    <m/>
    <m/>
    <m/>
    <n v="3"/>
    <n v="27000"/>
    <d v="2027-05-04T00:00:00"/>
    <n v="1400"/>
    <n v="0"/>
    <d v="2026-03-15T00:00:00"/>
    <d v="2027-03-05T00:00:00"/>
    <n v="1412"/>
    <d v="2025-10-03T00:00:00"/>
    <s v="2025-26"/>
    <n v="196"/>
    <d v="2025-11-03T00:00:00"/>
    <s v="FDR"/>
    <s v="State Bank of India"/>
    <n v="44555676058"/>
    <n v="27000"/>
    <d v="2025-10-14T00:00:00"/>
    <m/>
    <m/>
    <m/>
    <m/>
    <m/>
    <d v="2025-11-10T00:00:00"/>
    <n v="1498"/>
    <d v="2025-11-03T00:00:00"/>
    <m/>
    <m/>
    <m/>
    <m/>
    <m/>
    <m/>
    <m/>
  </r>
  <r>
    <n v="339"/>
    <m/>
    <s v="2025-26"/>
    <n v="15"/>
    <n v="3"/>
    <s v="Construction of Community Hall at Aanandpar Village Tal.Gariyadhar Dist. Bhavnagar"/>
    <m/>
    <s v="Gariyadhar"/>
    <x v="3"/>
    <s v="Building"/>
    <s v="Community hall"/>
    <n v="213144"/>
    <m/>
    <d v="2025-08-06T00:00:00"/>
    <d v="2025-08-18T00:00:00"/>
    <d v="2025-08-19T00:00:00"/>
    <d v="2025-12-16T00:00:00"/>
    <n v="828966.94"/>
    <m/>
    <n v="828966.94"/>
    <n v="0"/>
    <s v="Equals"/>
    <s v="Eight Lakh Twenty Eight Thousand Nine Hundred Sixty Six Rupees and Ninety Four Paise Only"/>
    <s v="Division"/>
    <m/>
    <n v="828966.94"/>
    <s v="KAIRAV CONSTRUCTION"/>
    <s v="JATINKUMAR RAMESHBHAI GOYANI"/>
    <s v="SHOP NO. 3, GROUND FLOOR, PARVADI GAM, GARIYADHAR SANOSARA ROAD, PARAVADI, TA. GARIYADHAR, DIST. BHAVNAGAR-364505"/>
    <n v="9016319324"/>
    <m/>
    <s v="MP Grant- Shri Shaktisinh Gohil"/>
    <m/>
    <m/>
    <m/>
    <n v="3"/>
    <n v="42000"/>
    <d v="2027-05-25T00:00:00"/>
    <n v="2100"/>
    <n v="0"/>
    <d v="2026-04-05T00:00:00"/>
    <d v="2027-03-26T00:00:00"/>
    <n v="1529"/>
    <d v="2025-11-13T00:00:00"/>
    <m/>
    <m/>
    <m/>
    <m/>
    <m/>
    <m/>
    <m/>
    <m/>
    <m/>
    <m/>
    <m/>
    <m/>
    <m/>
    <d v="2025-12-01T00:00:00"/>
    <m/>
    <m/>
    <m/>
    <m/>
    <m/>
    <m/>
    <m/>
    <m/>
    <m/>
  </r>
  <r>
    <n v="340"/>
    <m/>
    <s v="2025-26"/>
    <n v="15"/>
    <n v="4"/>
    <s v="Construction of Nandghar (Anganvadi) Building at Tarakpaladi Tal. Shihor Dist. Bhavnagar"/>
    <m/>
    <s v="Shihor"/>
    <x v="5"/>
    <s v="Building"/>
    <s v="Anganvadi"/>
    <n v="213145"/>
    <m/>
    <d v="2025-08-06T00:00:00"/>
    <d v="2025-08-18T00:00:00"/>
    <d v="2025-08-19T00:00:00"/>
    <d v="2025-12-16T00:00:00"/>
    <n v="1024912.96"/>
    <m/>
    <n v="843400.87"/>
    <n v="-17.71"/>
    <s v="Below"/>
    <s v="Eight Lakh Forty Three Thousand Four Hundred Rupees and Eighty Seven Paise Only"/>
    <s v="Division"/>
    <m/>
    <n v="843400.87"/>
    <s v="RAJ SECURITY SERVICES"/>
    <n v="0"/>
    <s v="F/107, Eva Surabhi Complex, Opp. Aksharvadi Temple, Waghavadi Road, Bhavnagar - 364001"/>
    <n v="7984929295"/>
    <m/>
    <m/>
    <m/>
    <m/>
    <m/>
    <n v="3"/>
    <n v="43000"/>
    <d v="2027-04-08T00:00:00"/>
    <n v="2900"/>
    <n v="16000"/>
    <d v="2026-02-17T00:00:00"/>
    <d v="2027-02-07T00:00:00"/>
    <n v="1355"/>
    <d v="2025-09-22T00:00:00"/>
    <s v="2025-26"/>
    <n v="191"/>
    <d v="2025-10-13T00:00:00"/>
    <s v="FDR"/>
    <s v="State Bank of India"/>
    <n v="44527007513"/>
    <n v="43000"/>
    <d v="2025-10-04T00:00:00"/>
    <s v="FDR"/>
    <s v="State Bank of India"/>
    <n v="44527009054"/>
    <n v="16000"/>
    <d v="2025-10-04T00:00:00"/>
    <d v="2025-10-15T00:00:00"/>
    <n v="1475"/>
    <d v="2025-10-13T00:00:00"/>
    <m/>
    <m/>
    <m/>
    <m/>
    <m/>
    <m/>
    <m/>
  </r>
  <r>
    <n v="341"/>
    <m/>
    <s v="2025-26"/>
    <n v="15"/>
    <n v="5"/>
    <s v="Construction of CD Work on the Road from Vadal village in Palitana taluka to Kotiya village in Mahuva taluka Ta.:- Palitana, Dist.:- Bhavnagar"/>
    <m/>
    <s v="Palitana"/>
    <x v="3"/>
    <s v="Road"/>
    <m/>
    <n v="213149"/>
    <m/>
    <d v="2025-08-06T00:00:00"/>
    <d v="2025-08-18T00:00:00"/>
    <d v="2025-08-19T00:00:00"/>
    <d v="2025-12-16T00:00:00"/>
    <n v="1257594.95"/>
    <m/>
    <n v="990859.06"/>
    <n v="-21.21"/>
    <s v="Below"/>
    <s v="Nine Lakh Ninety Thousand Eight Hundred Fifty Nine Rupees and Six Paise Only"/>
    <s v="Division"/>
    <m/>
    <n v="990859.06"/>
    <s v="SHIV CONTRUCTION"/>
    <s v="ALIGBHAI LAKHUBHAI BARAL"/>
    <s v="At Bhandariya, Ta. Palitana, Dist. Bhavnagar"/>
    <n v="8780428967"/>
    <m/>
    <s v="15% Vivekadhin"/>
    <m/>
    <m/>
    <m/>
    <n v="1"/>
    <n v="50000"/>
    <d v="2027-02-07T00:00:00"/>
    <n v="4600"/>
    <n v="43000"/>
    <d v="2025-12-19T00:00:00"/>
    <d v="2026-12-09T00:00:00"/>
    <n v="1335"/>
    <d v="2025-09-15T00:00:00"/>
    <s v="2025-26"/>
    <n v="185"/>
    <d v="2025-10-13T00:00:00"/>
    <s v="FDR"/>
    <s v="Gujarat Gramin Bank"/>
    <s v="22670300000001"/>
    <n v="50000"/>
    <d v="2025-10-06T00:00:00"/>
    <s v="FDR"/>
    <s v="Gujarat Gramin Bank"/>
    <s v="22670300000002"/>
    <n v="43000"/>
    <d v="2025-10-06T00:00:00"/>
    <d v="2025-10-15T00:00:00"/>
    <n v="1469"/>
    <d v="2025-10-13T00:00:00"/>
    <m/>
    <m/>
    <m/>
    <m/>
    <m/>
    <m/>
    <m/>
  </r>
  <r>
    <n v="342"/>
    <m/>
    <s v="2025-26"/>
    <n v="15"/>
    <n v="6"/>
    <s v="Providing wire fencing At Songadh rest house compus At. Shihor Dist. Bhavnagar"/>
    <m/>
    <s v="Shihor"/>
    <x v="5"/>
    <s v="Repair Building"/>
    <s v="Rest House"/>
    <n v="213305"/>
    <m/>
    <d v="2025-08-06T00:00:00"/>
    <d v="2025-08-18T00:00:00"/>
    <d v="2025-08-19T00:00:00"/>
    <d v="2025-12-16T00:00:00"/>
    <n v="202031.85"/>
    <m/>
    <n v="183101.47"/>
    <n v="-9.3699999999999992"/>
    <s v="Below"/>
    <s v="One Lakh Eighty Three Thousand One Hundred One Rupees and Forty Seven Paise Only"/>
    <s v="Division"/>
    <m/>
    <n v="183101.47"/>
    <s v="KAIRAV CONSTRUCTION"/>
    <s v="JATINKUMAR RAMESHBHAI GOYANI"/>
    <s v="SHOP NO. 3, GROUND FLOOR, PARVADI GAM, GARIYADHAR SANOSARA ROAD, PARAVADI, TA. GARIYADHAR, DIST. BHAVNAGAR-364505"/>
    <n v="9016319324"/>
    <m/>
    <s v="DP OWN FUND - Stamp Duty"/>
    <m/>
    <m/>
    <m/>
    <n v="1"/>
    <n v="10000"/>
    <d v="2027-03-27T00:00:00"/>
    <n v="500"/>
    <n v="0"/>
    <d v="2026-02-05T00:00:00"/>
    <d v="2027-01-26T00:00:00"/>
    <n v="1336"/>
    <d v="2025-09-15T00:00:00"/>
    <s v="2025-26"/>
    <n v="221"/>
    <d v="2025-12-02T00:00:00"/>
    <s v="FDR"/>
    <s v="Gujarat Gramin Bank"/>
    <s v="22670300000033"/>
    <n v="10000"/>
    <d v="2025-10-29T00:00:00"/>
    <m/>
    <m/>
    <m/>
    <m/>
    <m/>
    <d v="2025-12-02T00:00:00"/>
    <n v="1593"/>
    <d v="2025-12-02T00:00:00"/>
    <m/>
    <m/>
    <m/>
    <m/>
    <m/>
    <m/>
    <m/>
  </r>
  <r>
    <n v="343"/>
    <m/>
    <s v="2025-26"/>
    <n v="15"/>
    <n v="7"/>
    <s v="Construction of CD Works on Thoradi villlage to High school Road (NP) Ta. Bhavnagar Dist. Bhavnagar"/>
    <m/>
    <s v="Bhavnagar"/>
    <x v="2"/>
    <s v="Road"/>
    <m/>
    <n v="213308"/>
    <m/>
    <d v="2025-08-06T00:00:00"/>
    <d v="2025-08-18T00:00:00"/>
    <d v="2025-08-19T00:00:00"/>
    <d v="2025-12-16T00:00:00"/>
    <n v="2473582.67"/>
    <m/>
    <n v="1709740.34"/>
    <n v="-30.88"/>
    <s v="Below"/>
    <s v="Seventeen Lakh Nine Thousand Seven Hundred Forty Rupees and Thirty Four Paise Only"/>
    <s v="Division"/>
    <m/>
    <n v="1709740.34"/>
    <s v="JAY PUNJESHWAR CONSTRUCTION"/>
    <s v="Sanjaysinh Rajendrasinh Gohil"/>
    <s v="184, Darbar Street, Wadi Area, Navagam (Nana) Ta. Ghogha. Dist. Bhavnagar"/>
    <n v="9624751929"/>
    <m/>
    <s v="GMDC-CSR"/>
    <m/>
    <m/>
    <m/>
    <n v="1"/>
    <n v="86000"/>
    <d v="2027-03-15T00:00:00"/>
    <n v="11900"/>
    <n v="155000"/>
    <d v="2026-01-24T00:00:00"/>
    <d v="2027-01-14T00:00:00"/>
    <n v="1337"/>
    <d v="2025-09-15T00:00:00"/>
    <s v="2025-26"/>
    <m/>
    <m/>
    <m/>
    <m/>
    <m/>
    <m/>
    <m/>
    <m/>
    <m/>
    <m/>
    <m/>
    <m/>
    <d v="2025-11-20T00:00:00"/>
    <m/>
    <m/>
    <m/>
    <m/>
    <m/>
    <m/>
    <m/>
    <m/>
    <m/>
  </r>
  <r>
    <n v="344"/>
    <m/>
    <s v="2025-26"/>
    <n v="15"/>
    <n v="8"/>
    <s v="Construction of Bus Stand of Ambla Tal. Sihor Dist. Bhavnagar"/>
    <m/>
    <s v="Shihor"/>
    <x v="5"/>
    <s v="Building"/>
    <s v="Bus Stand"/>
    <n v="213311"/>
    <m/>
    <d v="2025-08-06T00:00:00"/>
    <d v="2025-08-18T00:00:00"/>
    <d v="2025-08-19T00:00:00"/>
    <d v="2025-12-16T00:00:00"/>
    <n v="836769.5"/>
    <m/>
    <n v="768740.14"/>
    <n v="-8.1300000000000008"/>
    <s v="Below"/>
    <s v="Seven Lakh Sixty Eight Thousand Seven Hundred Forty Rupees and Fourteen Paise Only"/>
    <s v="Division"/>
    <m/>
    <n v="768740.14"/>
    <s v="SHIVGADH BUILDERS"/>
    <s v="Amardipsinh M. Gohil"/>
    <s v="C 1014, Opp. SBI Bank, Kaliyabid, Bhavnagar"/>
    <n v="9426959999"/>
    <m/>
    <s v="MP Grant"/>
    <m/>
    <m/>
    <m/>
    <n v="2"/>
    <n v="39000"/>
    <d v="2027-04-04T00:00:00"/>
    <n v="2000"/>
    <n v="0"/>
    <d v="2026-02-13T00:00:00"/>
    <d v="2027-02-03T00:00:00"/>
    <n v="1417"/>
    <d v="2025-10-03T00:00:00"/>
    <s v="2025-26"/>
    <n v="195"/>
    <d v="2025-11-03T00:00:00"/>
    <s v="FDR"/>
    <s v="State Bank of India"/>
    <n v="44564950237"/>
    <n v="39000"/>
    <d v="2025-10-17T00:00:00"/>
    <m/>
    <m/>
    <m/>
    <m/>
    <m/>
    <d v="2025-11-10T00:00:00"/>
    <n v="1497"/>
    <d v="2025-11-03T00:00:00"/>
    <m/>
    <m/>
    <m/>
    <m/>
    <m/>
    <m/>
    <m/>
  </r>
  <r>
    <n v="345"/>
    <m/>
    <s v="2025-26"/>
    <n v="15"/>
    <n v="9"/>
    <s v="Repairing of Vallabhipur Deputy executive engineer Quarter at Vallabhipur Taluka Dist:- Bhavnagar"/>
    <m/>
    <s v="Vallabhipur"/>
    <x v="0"/>
    <s v="Building"/>
    <s v="Quarters"/>
    <n v="213314"/>
    <m/>
    <d v="2025-08-06T00:00:00"/>
    <d v="2025-08-18T00:00:00"/>
    <d v="2025-08-19T00:00:00"/>
    <d v="2025-12-16T00:00:00"/>
    <n v="684906.78"/>
    <m/>
    <n v="659085.79"/>
    <n v="-3.77"/>
    <s v="Below"/>
    <s v="Six Lakh Fifty Nine Thousand Eighty Five Rupees and Seventy Nine Paise Only"/>
    <s v="Division"/>
    <m/>
    <n v="659085.79"/>
    <s v="SHRI KRISHNA CONSTRUCTION"/>
    <n v="0"/>
    <s v="House No.757, Nr. Ramdevpir Mandir Temple, Dihor, Talaja, Bhavnagar-364150"/>
    <n v="0"/>
    <m/>
    <m/>
    <m/>
    <m/>
    <m/>
    <n v="3"/>
    <n v="33000"/>
    <d v="2027-03-25T00:00:00"/>
    <n v="1700"/>
    <n v="0"/>
    <d v="2026-02-03T00:00:00"/>
    <d v="2027-01-24T00:00:00"/>
    <n v="1334"/>
    <d v="2025-09-15T00:00:00"/>
    <m/>
    <m/>
    <m/>
    <m/>
    <m/>
    <m/>
    <m/>
    <m/>
    <m/>
    <m/>
    <m/>
    <m/>
    <m/>
    <d v="2025-10-01T00:00:00"/>
    <m/>
    <m/>
    <m/>
    <m/>
    <m/>
    <m/>
    <m/>
    <m/>
    <m/>
  </r>
  <r>
    <n v="346"/>
    <m/>
    <s v="2025-26"/>
    <n v="15"/>
    <n v="10"/>
    <s v="Construction of CD Work on At Bagad River the Road from Ralgon village in Talaja taluka to Kotiya village in Mahuva taluka Road (NP) Ta.:- Talaja, Dist.:- Bhavnagar"/>
    <m/>
    <s v="Talaja"/>
    <x v="4"/>
    <s v="Road"/>
    <m/>
    <n v="213315"/>
    <m/>
    <d v="2025-08-06T00:00:00"/>
    <d v="2025-08-18T00:00:00"/>
    <d v="2025-08-19T00:00:00"/>
    <d v="2025-12-16T00:00:00"/>
    <n v="1253372.56"/>
    <m/>
    <n v="866331.11"/>
    <n v="-30.88"/>
    <s v="Below"/>
    <s v="Eight Lakh Sixty Six Thousand Three Hundred Thirty One Rupees and Eleven Paise Only"/>
    <s v="Division"/>
    <m/>
    <n v="866331.11"/>
    <s v="JAY PUNJESHWAR CONSTRUCTION"/>
    <s v="Sanjaysinh Rajendrasinh Gohil"/>
    <s v="184, Darbar Street, Wadi Area, Navagam (Nana) Ta. Ghogha. Dist. Bhavnagar"/>
    <n v="9624751929"/>
    <m/>
    <s v="15% Vivekadhin"/>
    <m/>
    <m/>
    <m/>
    <n v="1"/>
    <n v="44000"/>
    <d v="2027-03-15T00:00:00"/>
    <n v="6100"/>
    <n v="79000"/>
    <d v="2026-01-24T00:00:00"/>
    <d v="2027-01-14T00:00:00"/>
    <n v="1339"/>
    <d v="2025-09-15T00:00:00"/>
    <s v="2025-26"/>
    <m/>
    <m/>
    <m/>
    <m/>
    <m/>
    <m/>
    <m/>
    <m/>
    <m/>
    <m/>
    <m/>
    <m/>
    <d v="2025-11-20T00:00:00"/>
    <m/>
    <m/>
    <m/>
    <m/>
    <m/>
    <m/>
    <m/>
    <m/>
    <m/>
  </r>
  <r>
    <n v="347"/>
    <m/>
    <s v="2025-26"/>
    <n v="15"/>
    <n v="11"/>
    <s v="Construction of C.C. Road Tirupati temple Road Joining to Ambla-Kumbhan Road Ta.:- Shihor, Dist.:- Bhavnagar"/>
    <m/>
    <s v="Shihor"/>
    <x v="5"/>
    <s v="Road"/>
    <m/>
    <n v="213317"/>
    <m/>
    <d v="2025-08-06T00:00:00"/>
    <d v="2025-08-18T00:00:00"/>
    <d v="2025-08-19T00:00:00"/>
    <d v="2025-12-16T00:00:00"/>
    <n v="669356.71"/>
    <m/>
    <n v="476046.49"/>
    <n v="-28.88"/>
    <s v="Below"/>
    <s v="Four Lakh Seventy Six Thousand Forty Six Rupees and Forty Nine Paise Only"/>
    <s v="Division"/>
    <m/>
    <n v="476046.49"/>
    <s v="SHIVGADH BUILDERS"/>
    <s v="Amardipsinh M. Gohil"/>
    <s v="C 1014, Opp. SBI Bank, Kaliyabid, Bhavnagar"/>
    <n v="9426959999"/>
    <m/>
    <s v="15% Vivekadhin"/>
    <m/>
    <m/>
    <m/>
    <n v="1"/>
    <n v="24000"/>
    <d v="2027-03-05T00:00:00"/>
    <n v="3100"/>
    <n v="38000"/>
    <d v="2026-01-14T00:00:00"/>
    <d v="2027-01-04T00:00:00"/>
    <n v="1356"/>
    <d v="2025-09-22T00:00:00"/>
    <s v="2025-26"/>
    <n v="194"/>
    <d v="2025-11-03T00:00:00"/>
    <s v="                                                                                                                                                                                                                                                                                                                                                                                                                                                                                                                                                                                                                                                                                                                                                                                                                                                                                                                                                                                                                                                                                                                                                                                                                                                                                                                                                                                                                                                                                                                                                                                                                                                                                                                                                                                                                                                                                                                                                                                                                                                                                                                                                                                                                                                                                                                                                                                                                                                                                                                                                                                                                                                                                                                                                                                                                                                                                                                                                                                                                                                                                                                                                                                                                                                                                                                                                                                                                                                                                                                                                                                                                                                                                                                                                                                                                                                                                                                                                                                                                                                                                                                                                                                                                                                                                                                                                                                                                                                                                                                                                                                                                                                                                                                                                                                                                                                                                                                                                                                                                                                                                                                                                                                                                                                                                                                                                                                                                                                                                                                                                                                                                                                                                                                                                                                                                                                                                                                                                                                                                                                                                                                                                                                                                                                                                                                                                                                                                                                                                                                                                                                                                                                                                                                                                                                                                                                                                                                                                                                                                                                                                                                                                                                                                                                                                                                                                                             "/>
    <s v="State Bank of India"/>
    <n v="44537744624"/>
    <n v="24000"/>
    <d v="2025-10-08T00:00:00"/>
    <s v="FDR"/>
    <s v="State Bank of India"/>
    <n v="44564969511"/>
    <n v="38000"/>
    <d v="2025-10-17T00:00:00"/>
    <d v="2025-11-10T00:00:00"/>
    <n v="1496"/>
    <d v="2025-11-03T00:00:00"/>
    <m/>
    <m/>
    <m/>
    <m/>
    <m/>
    <m/>
    <m/>
  </r>
  <r>
    <n v="348"/>
    <m/>
    <s v="2025-26"/>
    <n v="15"/>
    <n v="12"/>
    <s v="Construction of Taluka Panchayat Building at Mahuva, Dist. Bhavnagar"/>
    <m/>
    <s v="Mahuva"/>
    <x v="1"/>
    <s v="Building"/>
    <s v="Taluka Panchayat"/>
    <n v="213371"/>
    <m/>
    <d v="2025-08-06T00:00:00"/>
    <d v="2025-08-18T00:00:00"/>
    <d v="2025-08-19T00:00:00"/>
    <d v="2025-12-16T00:00:00"/>
    <m/>
    <s v="Yes"/>
    <m/>
    <m/>
    <s v="Equals"/>
    <s v="Zero Rupees Only"/>
    <s v="Division"/>
    <m/>
    <n v="0"/>
    <m/>
    <n v="0"/>
    <n v="0"/>
    <n v="0"/>
    <m/>
    <m/>
    <m/>
    <m/>
    <m/>
    <m/>
    <n v="0"/>
    <d v="1901-03-25T00:00:00"/>
    <n v="0"/>
    <n v="0"/>
    <d v="1900-02-03T00:00:00"/>
    <d v="1901-01-24T00:00:00"/>
    <m/>
    <m/>
    <m/>
    <m/>
    <m/>
    <m/>
    <m/>
    <m/>
    <m/>
    <m/>
    <m/>
    <m/>
    <m/>
    <m/>
    <m/>
    <m/>
    <m/>
    <m/>
    <m/>
    <m/>
    <m/>
    <m/>
    <m/>
    <m/>
    <m/>
  </r>
  <r>
    <n v="349"/>
    <m/>
    <s v="2025-26"/>
    <n v="15"/>
    <n v="13"/>
    <s v="Construction of Kerala to Mangela Road (NP) Ch.0/000 to 4/000 (Sec.0/000-3/200) Ta.Talaja , Dist.; Bhavnagar. (Under MMGSY-Normal-2024-25) "/>
    <m/>
    <s v="Talaja"/>
    <x v="4"/>
    <s v="Road"/>
    <m/>
    <n v="213388"/>
    <m/>
    <d v="2025-08-06T00:00:00"/>
    <d v="2025-08-18T00:00:00"/>
    <d v="2025-08-19T00:00:00"/>
    <d v="2025-12-16T00:00:00"/>
    <n v="21756202.609999999"/>
    <m/>
    <n v="21031721.059999999"/>
    <n v="-3.33"/>
    <s v="Below"/>
    <s v="Two Crore Ten Lakh Thirty One Thousand Seven Hundred Twenty One Rupees and Six Paise Only"/>
    <s v="Government"/>
    <m/>
    <n v="21031721.059999999"/>
    <s v="KRISHNA CONSTRUCTION"/>
    <s v="BHADRESHSINH BHAGWATSING GOHIL"/>
    <s v="A/8, AKSHARDEEP COMPLEX, OPP. DEEPAK MEMORIAL HALL, SANSKAR MANDAL, BHAVNAGAR-364002"/>
    <n v="9925209999"/>
    <m/>
    <m/>
    <s v="Road and Building Department, Ganghinagar"/>
    <s v="RBD/TRF/e-file/16/2025/5428/Section D1"/>
    <d v="2025-09-10T00:00:00"/>
    <m/>
    <n v="1052000"/>
    <d v="2029-03-16T00:00:00"/>
    <n v="51600"/>
    <n v="0"/>
    <d v="2026-02-05T00:00:00"/>
    <d v="2029-01-15T00:00:00"/>
    <n v="1572"/>
    <d v="2025-11-20T00:00:00"/>
    <m/>
    <m/>
    <m/>
    <m/>
    <m/>
    <m/>
    <m/>
    <m/>
    <m/>
    <m/>
    <m/>
    <m/>
    <m/>
    <d v="2026-01-01T00:00:00"/>
    <m/>
    <m/>
    <m/>
    <m/>
    <m/>
    <m/>
    <m/>
    <m/>
    <m/>
  </r>
  <r>
    <n v="350"/>
    <m/>
    <s v="2025-26"/>
    <n v="15"/>
    <n v="14"/>
    <s v=" Construction of Vejodari to Mangela Road (NP) Ch.0/000 to 2/250 Ta.Talaja , Dist.; Bhavnagar. (Under MMGSY-Normal2024-25)"/>
    <m/>
    <s v="Talaja"/>
    <x v="4"/>
    <s v="Road"/>
    <m/>
    <n v="213397"/>
    <m/>
    <d v="2025-08-06T00:00:00"/>
    <d v="2025-08-18T00:00:00"/>
    <d v="2025-08-19T00:00:00"/>
    <d v="2025-12-16T00:00:00"/>
    <n v="13636075.76"/>
    <m/>
    <n v="13181994.439999999"/>
    <n v="-3.33"/>
    <s v="Below"/>
    <s v="One Crore Thirty One Lakh Eighty One Thousand Nine Hundred Ninety Four Rupees and Forty Four Paise Only"/>
    <s v="Circle"/>
    <m/>
    <n v="13181994.439999999"/>
    <s v="KRISHNA CONSTRUCTION"/>
    <s v="BHADRESHSINH BHAGWATSING GOHIL"/>
    <s v="A/8, AKSHARDEEP COMPLEX, OPP. DEEPAK MEMORIAL HALL, SANSKAR MANDAL, BHAVNAGAR-364002"/>
    <n v="9925209999"/>
    <m/>
    <s v="5054 MMGSY NORMAL"/>
    <s v="Superintending Engineer, Panchayat Road and Building Circle-2, Rajkot"/>
    <s v="RPC-2/Tender/Bhavbagar/259"/>
    <d v="2025-09-03T00:00:00"/>
    <n v="6"/>
    <n v="660000"/>
    <d v="2029-07-13T00:00:00"/>
    <n v="32400"/>
    <n v="0"/>
    <d v="2026-06-04T00:00:00"/>
    <d v="2029-05-14T00:00:00"/>
    <m/>
    <d v="2025-10-03T00:00:00"/>
    <m/>
    <m/>
    <m/>
    <m/>
    <m/>
    <m/>
    <m/>
    <m/>
    <m/>
    <m/>
    <m/>
    <m/>
    <m/>
    <d v="2025-11-01T00:00:00"/>
    <m/>
    <m/>
    <m/>
    <m/>
    <m/>
    <m/>
    <m/>
    <m/>
    <m/>
  </r>
  <r>
    <n v="351"/>
    <m/>
    <s v="2025-26"/>
    <n v="16"/>
    <n v="1"/>
    <s v="Empanelment of service_x000a_Providing from consultants for Tender Uploading, Tender opening, and Prepare_x000a_Tender approval proposal under R&amp;B (Panchayat) Division, Bhavnagar"/>
    <m/>
    <s v="Bhavnagar"/>
    <x v="2"/>
    <m/>
    <m/>
    <m/>
    <m/>
    <m/>
    <m/>
    <m/>
    <d v="1900-04-29T00:00:00"/>
    <m/>
    <m/>
    <m/>
    <m/>
    <s v="Equals"/>
    <s v="Zero Rupees Only"/>
    <s v="Division"/>
    <m/>
    <n v="0"/>
    <m/>
    <n v="0"/>
    <n v="0"/>
    <n v="0"/>
    <m/>
    <m/>
    <m/>
    <m/>
    <m/>
    <m/>
    <n v="0"/>
    <d v="1901-03-25T00:00:00"/>
    <n v="0"/>
    <n v="0"/>
    <d v="1900-02-03T00:00:00"/>
    <d v="1901-01-24T00:00:00"/>
    <m/>
    <m/>
    <m/>
    <m/>
    <m/>
    <m/>
    <m/>
    <m/>
    <m/>
    <m/>
    <m/>
    <m/>
    <m/>
    <m/>
    <m/>
    <m/>
    <m/>
    <m/>
    <m/>
    <m/>
    <m/>
    <m/>
    <m/>
    <m/>
    <m/>
  </r>
  <r>
    <n v="352"/>
    <m/>
    <s v="2025-26"/>
    <n v="17"/>
    <n v="1"/>
    <s v="Construction of Taluka panchayat office Building At : Mahuva, Dist : Bhavnagar"/>
    <m/>
    <s v="Mahuva"/>
    <x v="1"/>
    <m/>
    <m/>
    <n v="221189"/>
    <n v="2"/>
    <d v="2025-09-03T00:00:00"/>
    <d v="2025-09-15T00:00:00"/>
    <d v="2025-09-16T00:00:00"/>
    <d v="2026-01-13T00:00:00"/>
    <n v="32612005.170000002"/>
    <m/>
    <n v="26901643.059999999"/>
    <n v="-17.510000000000002"/>
    <s v="Below"/>
    <s v="Two Crore Sixty Nine Lakh One Thousand Six Hundred Forty Three Rupees and Six Paise Only"/>
    <s v="Government"/>
    <m/>
    <n v="26901643.059999999"/>
    <s v="ANSH INFRASTRUCTURE"/>
    <n v="0"/>
    <s v="309, 3rd Floor, Asopalav Triangle, 40-50 Feet Road Corner, (Punitnagar) Near Khodal Chok, Opp. Satyam Hills, Mavdi- Rajkot - 364004"/>
    <n v="9824351508"/>
    <m/>
    <s v="CDP-3"/>
    <s v="Road and Building Department, Ganghinagar"/>
    <s v="RBD/TRF/e-file/16/2025/6192/Section D1"/>
    <d v="2025-10-08T00:00:00"/>
    <n v="11"/>
    <n v="1346000"/>
    <d v="2030-01-09T00:00:00"/>
    <n v="90000"/>
    <n v="490000"/>
    <d v="2026-12-01T00:00:00"/>
    <d v="2029-11-10T00:00:00"/>
    <n v="1513"/>
    <d v="2025-11-11T00:00:00"/>
    <m/>
    <m/>
    <m/>
    <m/>
    <m/>
    <m/>
    <m/>
    <m/>
    <m/>
    <m/>
    <m/>
    <m/>
    <m/>
    <d v="2025-12-01T00:00:00"/>
    <m/>
    <m/>
    <m/>
    <m/>
    <m/>
    <m/>
    <m/>
    <m/>
    <m/>
  </r>
  <r>
    <n v="353"/>
    <m/>
    <s v="2025-26"/>
    <n v="17"/>
    <n v="2"/>
    <s v="Widening &amp; Strengthening of Sathara to Unchakotda Road (MDR) Km.0/00-17/900_x000a_Ta. Mahuva Dist. Bhavnagar (Under MMGSY Yojna (Normal) Year 2024-25)"/>
    <m/>
    <m/>
    <x v="6"/>
    <m/>
    <m/>
    <n v="221190"/>
    <n v="2"/>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54"/>
    <m/>
    <s v="2025-26"/>
    <n v="17"/>
    <n v="3"/>
    <s v="Construction of Minor Bridge on Tared to Belampar Road (ODR) At. Km.0/200 Ta.Mahuva , Dist.; Bhavnagar. (Under MMGSY-Normal-2025-26) "/>
    <m/>
    <s v="Mahuva"/>
    <x v="1"/>
    <m/>
    <m/>
    <n v="221192"/>
    <n v="1"/>
    <d v="2025-09-03T00:00:00"/>
    <d v="2025-09-15T00:00:00"/>
    <d v="2025-09-16T00:00:00"/>
    <d v="2026-01-13T00:00:00"/>
    <n v="11756762.73"/>
    <m/>
    <n v="9142058.6999999993"/>
    <n v="-22.24"/>
    <s v="Below"/>
    <s v="Ninety One Lakh Forty Two Thousand Fifty Eight Rupees and Seven Paise Only"/>
    <s v="Circle"/>
    <m/>
    <n v="9142058.6999999993"/>
    <s v="Shri Harikrishna Construction"/>
    <n v="0"/>
    <s v="C-165, Pramukh Chhaya Raw House Society, Puma Simada Road, Puna Gam, Surat"/>
    <n v="0"/>
    <d v="2025-09-24T00:00:00"/>
    <s v="5054 MMGSY NORMAL"/>
    <s v="Superintending Engineer, Panchayat Road and Building Circle-2, Rajkot"/>
    <s v="RPC-2/Tender/Bhavbagar/311"/>
    <d v="2025-10-03T00:00:00"/>
    <n v="6"/>
    <n v="458000"/>
    <d v="2029-08-12T00:00:00"/>
    <n v="43700"/>
    <n v="432000"/>
    <d v="2026-07-04T00:00:00"/>
    <d v="2029-06-13T00:00:00"/>
    <n v="1515"/>
    <d v="2025-11-11T00:00:00"/>
    <m/>
    <m/>
    <m/>
    <m/>
    <m/>
    <m/>
    <m/>
    <m/>
    <m/>
    <m/>
    <m/>
    <m/>
    <m/>
    <d v="2025-12-01T00:00:00"/>
    <m/>
    <m/>
    <m/>
    <m/>
    <m/>
    <m/>
    <m/>
    <m/>
    <m/>
  </r>
  <r>
    <n v="355"/>
    <m/>
    <s v="2025-26"/>
    <n v="17"/>
    <n v="4"/>
    <s v="Construction of Mota Khokhara to Bambhaniya Road (NP) Km.0/000 to 3/750 Ta.Ghogha, Dist.; Bhavnagar"/>
    <m/>
    <s v="Ghogha"/>
    <x v="2"/>
    <m/>
    <m/>
    <n v="221193"/>
    <n v="1"/>
    <d v="2025-09-03T00:00:00"/>
    <d v="2025-09-15T00:00:00"/>
    <d v="2025-09-16T00:00:00"/>
    <d v="2026-01-13T00:00:00"/>
    <n v="35814664.399999999"/>
    <m/>
    <n v="30023433.170000002"/>
    <n v="-16.170000000000002"/>
    <s v="Below"/>
    <s v="Three Crore Twenty Three Thousand Four Hundred Thirty Three Rupees and Seventeen Paise Only"/>
    <s v="Government"/>
    <m/>
    <n v="30023433.170000002"/>
    <s v="BHAVANI CONSTRUCTION COMPANY"/>
    <s v="RANJITBHAI BAHADURBHAI VALA"/>
    <s v="101, SHREEEJI ANAND CORNER, NEAR HDFC BANK, TOWER ROAD, PARA, Dist. BOTAD -364710"/>
    <n v="0"/>
    <d v="2025-09-24T00:00:00"/>
    <s v="5054 MMGSY NORMAL"/>
    <s v="Road and Building Department, Ganghinagar"/>
    <s v="RBD/TRF/e-file/16/2025/6197/Section D1"/>
    <d v="2025-10-08T00:00:00"/>
    <n v="10"/>
    <n v="1502000"/>
    <d v="2029-12-10T00:00:00"/>
    <n v="95300"/>
    <n v="442000"/>
    <d v="2026-11-01T00:00:00"/>
    <d v="2029-10-11T00:00:00"/>
    <n v="1519"/>
    <d v="2025-11-11T00:00:00"/>
    <m/>
    <m/>
    <m/>
    <m/>
    <m/>
    <m/>
    <m/>
    <m/>
    <m/>
    <m/>
    <m/>
    <m/>
    <m/>
    <d v="2025-12-01T00:00:00"/>
    <m/>
    <m/>
    <m/>
    <m/>
    <m/>
    <m/>
    <m/>
    <m/>
    <m/>
  </r>
  <r>
    <n v="356"/>
    <m/>
    <s v="2025-26"/>
    <n v="17"/>
    <n v="5"/>
    <s v="Construction of Bhankhal Road to Pithalpur Road (NP) Km.0/000 to 0/950 Ta.Ghogha , Dist.; Bhavnagar"/>
    <m/>
    <s v="Ghogha"/>
    <x v="2"/>
    <m/>
    <m/>
    <n v="221194"/>
    <n v="1"/>
    <d v="2025-09-03T00:00:00"/>
    <d v="2025-09-15T00:00:00"/>
    <d v="2025-09-16T00:00:00"/>
    <d v="2026-01-13T00:00:00"/>
    <n v="11516943.289999999"/>
    <m/>
    <n v="8274923.75"/>
    <n v="-28.15"/>
    <s v="Below"/>
    <s v="Eighty Two Lakh Seventy Four Thousand Nine Hundred Twenty Three Rupees and Seventy Five Paise Only"/>
    <s v="Circle"/>
    <m/>
    <n v="8274923.75"/>
    <s v="CHAUHAN LALJIBHAI ARJANBHAI"/>
    <n v="0"/>
    <s v="Plot No. 13/C, Sheri No. 9, Gurunagar, Behind Chitra Petrol, Bhavnagar 364003 "/>
    <n v="8980580857"/>
    <d v="2025-09-24T00:00:00"/>
    <s v="5054 MMGSY NORMAL"/>
    <s v="Superintending Engineer, Panchayat Road and Building Circle-2, Rajkot"/>
    <s v="RPC-2/Tender/Bhavbagar/312"/>
    <d v="2025-10-03T00:00:00"/>
    <n v="6"/>
    <n v="414000"/>
    <d v="2029-08-12T00:00:00"/>
    <n v="51100"/>
    <n v="628000"/>
    <d v="2026-07-04T00:00:00"/>
    <d v="2029-06-13T00:00:00"/>
    <n v="1521"/>
    <d v="2025-11-11T00:00:00"/>
    <m/>
    <m/>
    <m/>
    <m/>
    <m/>
    <m/>
    <m/>
    <m/>
    <m/>
    <m/>
    <m/>
    <m/>
    <m/>
    <d v="2025-12-01T00:00:00"/>
    <m/>
    <m/>
    <m/>
    <m/>
    <m/>
    <m/>
    <m/>
    <m/>
    <m/>
  </r>
  <r>
    <n v="357"/>
    <m/>
    <s v="2025-26"/>
    <n v="17"/>
    <n v="6"/>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58"/>
    <m/>
    <s v="2025-26"/>
    <n v="17"/>
    <n v="7"/>
    <s v="Resurfacing of Bila to Ugalvan Road (VR) Km.0/000 to 3/500 Ta.Jesar , Dist.; Bhavnagar"/>
    <m/>
    <s v="Jesar"/>
    <x v="1"/>
    <m/>
    <m/>
    <n v="221196"/>
    <n v="1"/>
    <d v="2025-09-03T00:00:00"/>
    <d v="2025-09-15T00:00:00"/>
    <d v="2025-09-16T00:00:00"/>
    <d v="2026-01-13T00:00:00"/>
    <n v="26285528.350000001"/>
    <m/>
    <n v="24866109.82"/>
    <n v="-5.4"/>
    <s v="Below"/>
    <s v="Two Crore Forty Eight Lakh Sixty Six Thousand One Hundred Nine Rupees and Eighty Two Paise Only"/>
    <s v="Government"/>
    <m/>
    <n v="24866109.82"/>
    <s v="SHRI SAINATH CONSTRUCTION_x000a_COMPANY"/>
    <n v="0"/>
    <s v="Shop No. 40/41, Madhav Complex, Shastrinagar, Bhavnagar"/>
    <n v="9913252525"/>
    <d v="2025-09-24T00:00:00"/>
    <s v="5054 MMGSY NORMAL"/>
    <s v="Road and Building Department, Ganghinagar"/>
    <s v="RBD/TRF/e-file/16/2025/6193/Section D1"/>
    <d v="2025-10-14T00:00:00"/>
    <n v="8"/>
    <n v="1244000"/>
    <d v="2029-10-11T00:00:00"/>
    <n v="61000"/>
    <n v="0"/>
    <d v="2026-09-02T00:00:00"/>
    <d v="2029-08-12T00:00:00"/>
    <n v="1520"/>
    <d v="2025-11-11T00:00:00"/>
    <m/>
    <m/>
    <m/>
    <m/>
    <m/>
    <m/>
    <m/>
    <m/>
    <m/>
    <m/>
    <m/>
    <m/>
    <m/>
    <d v="2025-12-01T00:00:00"/>
    <m/>
    <m/>
    <m/>
    <m/>
    <m/>
    <m/>
    <m/>
    <m/>
    <m/>
  </r>
  <r>
    <n v="359"/>
    <m/>
    <s v="2025-26"/>
    <n v="17"/>
    <n v="8"/>
    <s v="Resurfacing of Jesar Depla Ranigam Road (MDR) Km.0/000 to 9/750 Ta.Jesar, Dist.; Bhavnagar."/>
    <m/>
    <s v="Jesar"/>
    <x v="1"/>
    <m/>
    <m/>
    <n v="221660"/>
    <n v="1"/>
    <d v="2025-09-03T00:00:00"/>
    <d v="2025-09-15T00:00:00"/>
    <d v="2025-09-16T00:00:00"/>
    <d v="2026-01-13T00:00:00"/>
    <n v="72589353.980000004"/>
    <m/>
    <n v="65337677.520000003"/>
    <n v="-9.99"/>
    <s v="Below"/>
    <s v="Six Crore Fifty Three Lakh Thirty Seven Thousand Six Hundred Seventy Seven Rupees and Fifty Two Paise Only"/>
    <s v="Government"/>
    <m/>
    <n v="65337677.520000003"/>
    <s v="JAYDEEP CONSTRUCTION CO"/>
    <s v="Not Found"/>
    <s v="Not Found"/>
    <s v="Not Found"/>
    <d v="2025-09-24T00:00:00"/>
    <m/>
    <m/>
    <m/>
    <m/>
    <m/>
    <n v="3267000"/>
    <d v="1903-03-15T00:00:00"/>
    <n v="160100"/>
    <n v="0"/>
    <d v="1900-02-03T00:00:00"/>
    <d v="1903-01-14T00:00:00"/>
    <m/>
    <m/>
    <m/>
    <m/>
    <m/>
    <m/>
    <m/>
    <m/>
    <m/>
    <m/>
    <m/>
    <m/>
    <m/>
    <m/>
    <m/>
    <m/>
    <m/>
    <m/>
    <m/>
    <m/>
    <m/>
    <m/>
    <m/>
    <m/>
    <m/>
  </r>
  <r>
    <n v="360"/>
    <m/>
    <s v="2025-26"/>
    <n v="17"/>
    <n v="9"/>
    <s v="Improvement of Devgana to Kharakadi Road (VRNP) Km.0/000-2/950 Ta.Shihor, Dist.; Bhavnagar"/>
    <m/>
    <s v="Shihor"/>
    <x v="5"/>
    <m/>
    <m/>
    <n v="221197"/>
    <m/>
    <d v="2025-09-03T00:00:00"/>
    <d v="2025-09-15T00:00:00"/>
    <d v="2025-09-16T00:00:00"/>
    <d v="2026-01-13T00:00:00"/>
    <n v="20266356.100000001"/>
    <m/>
    <n v="17019685.850000001"/>
    <n v="-16.02"/>
    <s v="Below"/>
    <s v="One Crore Seventy Lakh Nineteen Thousand Six Hundred Eighty Five Rupees and Eighty Five Paise Only"/>
    <s v="Circle"/>
    <m/>
    <n v="17019685.850000001"/>
    <s v="BHAVANI CONSTRUCTION COMPANY"/>
    <s v="RANJITBHAI BAHADURBHAI VALA"/>
    <s v="101, SHREEEJI ANAND CORNER, NEAR HDFC BANK, TOWER ROAD, PARA, Dist. BOTAD -364710"/>
    <n v="0"/>
    <d v="2025-09-24T00:00:00"/>
    <s v="5054 MMGSY NORMAL"/>
    <s v="Road and Building Department, Ganghinagar"/>
    <s v="RBD/TRF/e-file/16/2025/6190/Section D1"/>
    <d v="2025-10-08T00:00:00"/>
    <n v="8"/>
    <n v="851000"/>
    <d v="2029-10-11T00:00:00"/>
    <n v="53800"/>
    <n v="245000"/>
    <d v="2026-09-02T00:00:00"/>
    <d v="2029-08-12T00:00:00"/>
    <n v="1518"/>
    <d v="2025-11-11T00:00:00"/>
    <m/>
    <m/>
    <m/>
    <m/>
    <m/>
    <m/>
    <m/>
    <m/>
    <m/>
    <m/>
    <m/>
    <m/>
    <m/>
    <d v="2025-12-01T00:00:00"/>
    <m/>
    <m/>
    <m/>
    <m/>
    <m/>
    <m/>
    <m/>
    <m/>
    <m/>
  </r>
  <r>
    <n v="361"/>
    <m/>
    <s v="2025-26"/>
    <n v="17"/>
    <n v="10"/>
    <s v="Improvement of Rupavati- Saringpur- Damrala- Paldi -Samdhiyala Road (MDR) Km.0/000-5/450 Ta.Gariyadhar, Dist.; Bhavnagar"/>
    <m/>
    <s v="Gariyadhar"/>
    <x v="3"/>
    <m/>
    <m/>
    <n v="221199"/>
    <n v="1"/>
    <d v="2025-09-03T00:00:00"/>
    <d v="2025-09-15T00:00:00"/>
    <d v="2025-09-16T00:00:00"/>
    <d v="2026-01-13T00:00:00"/>
    <n v="34494645.359999999"/>
    <m/>
    <n v="32321482.699999999"/>
    <n v="-6.3"/>
    <s v="Below"/>
    <s v="Three Crore Twenty Three Lakh Twenty One Thousand Four Hundred Eighty Two Rupees and Seven Paise Only"/>
    <s v="Government"/>
    <m/>
    <n v="32321482.699999999"/>
    <s v="C M VAGHELA"/>
    <s v="CHATURBHAI MOHANBHAI VAGHELA"/>
    <s v="MOTI PANIYALI, Via. Po. SHETRUNJI, Ta. PALITANA, Dist. BHAVNAGAR-364270"/>
    <n v="9925448120"/>
    <d v="2025-09-24T00:00:00"/>
    <s v="3054 MMGSY NORMAL "/>
    <s v="Road and Building Department, Ganghinagar"/>
    <s v="RBD/TRF/e-file/16/2025/6191/Section D1"/>
    <d v="2025-10-08T00:00:00"/>
    <n v="10"/>
    <n v="1617000"/>
    <d v="2029-12-10T00:00:00"/>
    <n v="79300"/>
    <n v="0"/>
    <d v="2026-11-01T00:00:00"/>
    <d v="2029-10-11T00:00:00"/>
    <n v="1516"/>
    <d v="2025-11-11T00:00:00"/>
    <m/>
    <m/>
    <m/>
    <m/>
    <m/>
    <m/>
    <m/>
    <m/>
    <m/>
    <m/>
    <m/>
    <m/>
    <m/>
    <d v="2025-12-01T00:00:00"/>
    <m/>
    <m/>
    <m/>
    <m/>
    <m/>
    <m/>
    <m/>
    <m/>
    <m/>
  </r>
  <r>
    <n v="362"/>
    <m/>
    <s v="2025-26"/>
    <n v="17"/>
    <n v="11"/>
    <s v="Improvement of Luvarvav to Bhundarakha Road (VR) Km.0/000-3/300 Ta.Palitana, Dist.; Bhavnagar. "/>
    <m/>
    <s v="Palitana"/>
    <x v="3"/>
    <m/>
    <m/>
    <n v="221201"/>
    <n v="1"/>
    <d v="2025-09-03T00:00:00"/>
    <d v="2025-09-15T00:00:00"/>
    <d v="2025-09-16T00:00:00"/>
    <d v="2026-01-13T00:00:00"/>
    <n v="26757447.239999998"/>
    <m/>
    <n v="22409362.059999999"/>
    <n v="-16.25"/>
    <s v="Below"/>
    <s v="Two Crore Twenty Four Lakh Nine Thousand Three Hundred Sixty Two Rupees and Six Paise Only"/>
    <s v="Government"/>
    <m/>
    <n v="22409362.059999999"/>
    <s v="BHAVANI CONSTRUCTION COMPANY"/>
    <s v="RANJITBHAI BAHADURBHAI VALA"/>
    <s v="101, SHREEEJI ANAND CORNER, NEAR HDFC BANK, TOWER ROAD, PARA, Dist. BOTAD -364710"/>
    <n v="0"/>
    <d v="2025-09-24T00:00:00"/>
    <s v="3054 MMGSY NORMAL "/>
    <s v="Road and Building Department, Ganghinagar"/>
    <s v="RBD/TRF/e-file/16/2025/6189/Section D1"/>
    <d v="2025-10-08T00:00:00"/>
    <n v="8"/>
    <n v="1121000"/>
    <d v="2029-10-11T00:00:00"/>
    <n v="71400"/>
    <n v="335000"/>
    <d v="2026-09-02T00:00:00"/>
    <d v="2029-08-12T00:00:00"/>
    <n v="1517"/>
    <d v="2025-11-11T00:00:00"/>
    <m/>
    <m/>
    <m/>
    <m/>
    <m/>
    <m/>
    <m/>
    <m/>
    <m/>
    <m/>
    <m/>
    <m/>
    <m/>
    <d v="2025-12-01T00:00:00"/>
    <m/>
    <m/>
    <m/>
    <m/>
    <m/>
    <m/>
    <m/>
    <m/>
    <m/>
  </r>
  <r>
    <n v="363"/>
    <m/>
    <s v="2025-26"/>
    <n v="17"/>
    <n v="12"/>
    <s v="Construction of Box Culvert on Mahuva Katpar Bhavani Road (MR) Ta.Mahuva , Dist.; Bhavnagar."/>
    <m/>
    <s v="Mahuva"/>
    <x v="1"/>
    <s v="Road"/>
    <m/>
    <n v="221203"/>
    <n v="1"/>
    <d v="2025-09-03T00:00:00"/>
    <d v="2025-09-15T00:00:00"/>
    <d v="2025-09-16T00:00:00"/>
    <d v="2026-01-13T00:00:00"/>
    <n v="4285849.25"/>
    <m/>
    <n v="3191243.35"/>
    <n v="-25.54"/>
    <s v="Below"/>
    <s v="Thirty One Lakh Ninety One Thousand Two Hundred Forty Three Rupees and Thirty Five Paise Only"/>
    <s v="Division"/>
    <m/>
    <n v="3191243.35"/>
    <s v="Shri Harikrishna Construction"/>
    <n v="0"/>
    <s v="C-165, Pramukh Chhaya Raw House Society, Puma Simada Road, Puna Gam, Surat"/>
    <n v="0"/>
    <m/>
    <m/>
    <m/>
    <m/>
    <m/>
    <n v="4"/>
    <n v="160000"/>
    <d v="2027-05-25T00:00:00"/>
    <n v="17700"/>
    <n v="200000"/>
    <d v="2026-04-05T00:00:00"/>
    <d v="2027-03-26T00:00:00"/>
    <n v="1415"/>
    <d v="2025-10-03T00:00:00"/>
    <m/>
    <m/>
    <m/>
    <m/>
    <m/>
    <m/>
    <m/>
    <m/>
    <m/>
    <m/>
    <m/>
    <m/>
    <m/>
    <d v="2025-11-01T00:00:00"/>
    <m/>
    <m/>
    <m/>
    <m/>
    <m/>
    <m/>
    <m/>
    <m/>
    <m/>
  </r>
  <r>
    <n v="364"/>
    <m/>
    <s v="2025-26"/>
    <n v="17"/>
    <n v="13"/>
    <s v="Construction of Gram Panchayat office (Frame structure) at Village Paliyad Taluka: Bhavnagar Dist. Bhavnagar"/>
    <m/>
    <s v="Bhavnagar"/>
    <x v="2"/>
    <s v="Building"/>
    <s v="Gram Panchayat"/>
    <n v="221205"/>
    <n v="3"/>
    <d v="2025-09-03T00:00:00"/>
    <d v="2025-09-15T00:00:00"/>
    <d v="2025-09-16T00:00:00"/>
    <d v="2026-01-13T00:00:00"/>
    <n v="2079935.08"/>
    <m/>
    <n v="2048528.06"/>
    <n v="-1.51"/>
    <s v="Below"/>
    <s v="Twenty Lakh Forty Eight Thousand Five Hundred Twenty Eight Rupees and Six Paise Only"/>
    <s v="Division"/>
    <m/>
    <n v="2048528.06"/>
    <s v="UDAYBHAI R. LUNSAR"/>
    <s v="UDAYBHAI RAMKUBHAI LUNSAR"/>
    <s v="Shop No. 5, First Floor, Nilkanth Arcade, Opp. Arjun Tokiz, Palitana Road, Gariyadhar- 364505"/>
    <n v="9824226646"/>
    <m/>
    <m/>
    <m/>
    <m/>
    <m/>
    <n v="4"/>
    <n v="103000"/>
    <d v="2027-05-25T00:00:00"/>
    <n v="5100"/>
    <n v="0"/>
    <d v="2026-04-05T00:00:00"/>
    <d v="2027-03-26T00:00:00"/>
    <n v="1416"/>
    <d v="2025-10-03T00:00:00"/>
    <m/>
    <m/>
    <m/>
    <m/>
    <m/>
    <m/>
    <m/>
    <m/>
    <m/>
    <m/>
    <m/>
    <m/>
    <m/>
    <d v="2025-11-01T00:00:00"/>
    <m/>
    <m/>
    <m/>
    <m/>
    <m/>
    <m/>
    <m/>
    <m/>
    <m/>
  </r>
  <r>
    <n v="365"/>
    <m/>
    <s v="2025-26"/>
    <n v="17"/>
    <n v="14"/>
    <s v=" Construction of Gram Panchayat office (Frame structure) at Village Navagam (Mo) Taluka: Shihor Dist. Bhavnagar"/>
    <m/>
    <s v="Shihor"/>
    <x v="5"/>
    <s v="Building"/>
    <s v="Gram Panchayat"/>
    <n v="221207"/>
    <n v="3"/>
    <d v="2025-09-03T00:00:00"/>
    <d v="2025-09-15T00:00:00"/>
    <d v="2025-09-16T00:00:00"/>
    <d v="2026-01-13T00:00:00"/>
    <n v="2079935.08"/>
    <m/>
    <n v="1979682.21"/>
    <n v="-4.82"/>
    <s v="Below"/>
    <s v="Nineteen Lakh Seventy Nine Thousand Six Hundred Eighty Two Rupees and Twenty One Paise Only"/>
    <s v="Division"/>
    <m/>
    <n v="1979682.21"/>
    <s v="Sureshbhai R Chavda"/>
    <n v="0"/>
    <s v="Ashapura Garden Restaurant, Near Garibsha pir, Rajkot Road, Sihor, Dist. Bhavnagar"/>
    <n v="0"/>
    <m/>
    <m/>
    <m/>
    <m/>
    <m/>
    <n v="4"/>
    <n v="99000"/>
    <d v="2027-05-25T00:00:00"/>
    <n v="4900"/>
    <n v="0"/>
    <d v="2026-04-05T00:00:00"/>
    <d v="2027-03-26T00:00:00"/>
    <n v="1414"/>
    <d v="2025-10-03T00:00:00"/>
    <m/>
    <m/>
    <m/>
    <m/>
    <m/>
    <m/>
    <m/>
    <m/>
    <m/>
    <m/>
    <m/>
    <m/>
    <m/>
    <d v="2025-11-01T00:00:00"/>
    <m/>
    <m/>
    <m/>
    <m/>
    <m/>
    <m/>
    <m/>
    <m/>
    <m/>
  </r>
  <r>
    <n v="366"/>
    <m/>
    <s v="2025-26"/>
    <n v="17"/>
    <n v="15"/>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67"/>
    <m/>
    <s v="2025-26"/>
    <n v="17"/>
    <n v="16"/>
    <s v="Remaining work Construction of Gram Panchayat office building (Frame structure) At Village Pansada Dist. Bhavnagar_x000a_(Under CDP-2017-18)"/>
    <m/>
    <m/>
    <x v="6"/>
    <m/>
    <m/>
    <n v="221232"/>
    <n v="11"/>
    <d v="2025-09-03T00:00:00"/>
    <d v="2025-09-15T00:00:00"/>
    <d v="2025-09-16T00:00:00"/>
    <d v="2026-01-13T00:00:00"/>
    <n v="907910.21"/>
    <m/>
    <n v="1458103.8"/>
    <n v="60.6"/>
    <s v="Above"/>
    <s v="Fourteen Lakh Fifty Eight Thousand One Hundred Three Rupees and Eight Paise Only"/>
    <s v="Division"/>
    <m/>
    <n v="1458103.8"/>
    <s v="SHREE GANGNATH_x000a_CONSTRUCTION"/>
    <s v="Not Found"/>
    <s v="Not Found"/>
    <s v="Not Found"/>
    <m/>
    <m/>
    <m/>
    <m/>
    <m/>
    <m/>
    <n v="73000"/>
    <d v="1901-03-25T00:00:00"/>
    <n v="3600"/>
    <n v="0"/>
    <d v="1900-02-03T00:00:00"/>
    <d v="1901-01-24T00:00:00"/>
    <m/>
    <m/>
    <m/>
    <m/>
    <m/>
    <m/>
    <m/>
    <m/>
    <m/>
    <m/>
    <m/>
    <m/>
    <m/>
    <m/>
    <m/>
    <m/>
    <m/>
    <m/>
    <m/>
    <m/>
    <m/>
    <m/>
    <m/>
    <m/>
    <m/>
  </r>
  <r>
    <n v="368"/>
    <m/>
    <s v="2025-26"/>
    <n v="17"/>
    <n v="17"/>
    <s v="Construction of School Building at Kalivav Primary School (One Class room) &amp; Koliyak Kanya P.S ( Four Class room) Ta: and Dist.Bhavnagar"/>
    <m/>
    <s v="Bhavnagar"/>
    <x v="2"/>
    <m/>
    <m/>
    <n v="221237"/>
    <m/>
    <d v="2025-09-03T00:00:00"/>
    <d v="2025-09-15T00:00:00"/>
    <d v="2025-09-16T00:00:00"/>
    <d v="2026-01-13T00:00:00"/>
    <n v="4253844.58"/>
    <m/>
    <n v="7971704.7400000002"/>
    <n v="87.4"/>
    <s v="Above"/>
    <s v="Seventy Nine Lakh Seventy One Thousand Seven Hundred Four Rupees and Seventy Four Paise Only"/>
    <s v="Circle"/>
    <m/>
    <n v="7971704.7400000002"/>
    <s v="ANSH INFRASTRUCTURE"/>
    <n v="0"/>
    <s v="309, 3rd Floor, Asopalav Triangle, 40-50 Feet Road Corner, (Punitnagar) Near Khodal Chok, Opp. Satyam Hills, Mavdi- Rajkot - 364004"/>
    <n v="9824351508"/>
    <m/>
    <m/>
    <m/>
    <m/>
    <m/>
    <m/>
    <n v="399000"/>
    <d v="1901-03-25T00:00:00"/>
    <n v="19600"/>
    <n v="0"/>
    <d v="1900-02-03T00:00:00"/>
    <d v="1901-01-24T00:00:00"/>
    <m/>
    <m/>
    <m/>
    <m/>
    <m/>
    <m/>
    <m/>
    <m/>
    <m/>
    <m/>
    <m/>
    <m/>
    <m/>
    <m/>
    <m/>
    <m/>
    <m/>
    <m/>
    <m/>
    <m/>
    <m/>
    <m/>
    <m/>
    <m/>
    <m/>
  </r>
  <r>
    <n v="369"/>
    <m/>
    <s v="2025-26"/>
    <n v="17"/>
    <n v="18"/>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0"/>
    <m/>
    <s v="2025-26"/>
    <n v="17"/>
    <n v="19"/>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1"/>
    <m/>
    <s v="2025-26"/>
    <n v="17"/>
    <n v="20"/>
    <s v="Construction of Nandghar (Anganvadi) Building at Village Mota Malpara Tal. Mahuva Dist. Bhavnagar"/>
    <m/>
    <s v="Mahuva"/>
    <x v="1"/>
    <s v="Building"/>
    <s v="Anganvadi"/>
    <n v="221249"/>
    <n v="5"/>
    <d v="2025-09-03T00:00:00"/>
    <d v="2025-09-15T00:00:00"/>
    <d v="2025-09-16T00:00:00"/>
    <d v="2026-01-13T00:00:00"/>
    <n v="1024912.96"/>
    <m/>
    <n v="961163.37"/>
    <n v="-6.22"/>
    <s v="Below"/>
    <s v="Nine Lakh Sixty One Thousand One Hundred Sixty Three Rupees and Thirty Seven Paise Only"/>
    <s v="Division"/>
    <m/>
    <n v="961163.37"/>
    <s v="R J BHAMMAR CONSTRUCTION"/>
    <n v="0"/>
    <s v="F-8, 1st Floor, Radhe City Center, Bapa Sitaram Chowk, Talaja, Dist. Bhavnagar_x000a_"/>
    <n v="7984290006"/>
    <m/>
    <m/>
    <m/>
    <m/>
    <m/>
    <n v="3"/>
    <n v="49000"/>
    <d v="2027-04-25T00:00:00"/>
    <n v="2500"/>
    <n v="0"/>
    <d v="2026-03-06T00:00:00"/>
    <d v="2027-02-24T00:00:00"/>
    <n v="1413"/>
    <d v="2025-10-03T00:00:00"/>
    <m/>
    <m/>
    <m/>
    <m/>
    <m/>
    <m/>
    <m/>
    <m/>
    <m/>
    <m/>
    <m/>
    <m/>
    <m/>
    <d v="2025-11-01T00:00:00"/>
    <m/>
    <m/>
    <m/>
    <m/>
    <m/>
    <m/>
    <m/>
    <m/>
    <m/>
  </r>
  <r>
    <n v="372"/>
    <m/>
    <s v="2025-26"/>
    <n v="17"/>
    <n v="21"/>
    <s v="Improvement of Ambla to Piparala Road (NP) Km.0 /000-3/250 Ta.Shihor, Dist.; Bhavnagar."/>
    <m/>
    <s v="Shihor"/>
    <x v="5"/>
    <m/>
    <m/>
    <n v="221654"/>
    <n v="1"/>
    <d v="2025-09-03T00:00:00"/>
    <d v="2025-09-15T00:00:00"/>
    <d v="2025-09-16T00:00:00"/>
    <d v="2026-01-13T00:00:00"/>
    <n v="12537845.210000001"/>
    <m/>
    <n v="10843982.32"/>
    <n v="-13.51"/>
    <s v="Below"/>
    <s v="One Crore Eight Lakh Forty Three Thousand Nine Hundred Eighty Two Rupees and Thirty Two Paise Only"/>
    <s v="Circle"/>
    <m/>
    <n v="10843982.32"/>
    <s v="BHAVANI CONSTRUCTION COMPANY"/>
    <s v="RANJITBHAI BAHADURBHAI VALA"/>
    <s v="101, SHREEEJI ANAND CORNER, NEAR HDFC BANK, TOWER ROAD, PARA, Dist. BOTAD -364710"/>
    <n v="0"/>
    <d v="2025-09-24T00:00:00"/>
    <s v="5054 MMGSY NORMAL NORMAL"/>
    <s v="Superintending Engineer, Panchayat Road and Building Circle-2, Rajkot"/>
    <s v="RPC-2/Tender/Bhavbagar/259"/>
    <d v="2025-09-03T00:00:00"/>
    <n v="6"/>
    <n v="543000"/>
    <d v="2029-08-12T00:00:00"/>
    <n v="31000"/>
    <n v="89000"/>
    <d v="2026-07-04T00:00:00"/>
    <d v="2029-06-13T00:00:00"/>
    <n v="1514"/>
    <d v="2025-11-11T00:00:00"/>
    <m/>
    <m/>
    <m/>
    <m/>
    <m/>
    <m/>
    <m/>
    <m/>
    <m/>
    <m/>
    <m/>
    <m/>
    <m/>
    <d v="2025-12-01T00:00:00"/>
    <m/>
    <m/>
    <m/>
    <m/>
    <m/>
    <m/>
    <m/>
    <m/>
    <m/>
  </r>
  <r>
    <n v="373"/>
    <m/>
    <s v="2025-26"/>
    <n v="17"/>
    <n v="22"/>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4"/>
    <m/>
    <s v="2025-26"/>
    <n v="17"/>
    <n v="23"/>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5"/>
    <m/>
    <s v="2025-26"/>
    <n v="17"/>
    <n v="24"/>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6"/>
    <m/>
    <s v="2025-26"/>
    <n v="17"/>
    <n v="25"/>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7"/>
    <m/>
    <s v="2025-26"/>
    <n v="17"/>
    <n v="26"/>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8"/>
    <m/>
    <s v="2025-26"/>
    <n v="18"/>
    <n v="1"/>
    <s v="Annual Rate for various Item of Material Supply and Labour for Road and Building Works"/>
    <m/>
    <s v="Bhavnagar"/>
    <x v="2"/>
    <m/>
    <m/>
    <n v="220895"/>
    <n v="1"/>
    <d v="2025-09-03T00:00:00"/>
    <d v="2025-09-15T00:00:00"/>
    <d v="2025-09-16T00:00:00"/>
    <d v="2026-01-13T00:00:00"/>
    <n v="0"/>
    <s v="No"/>
    <n v="0"/>
    <n v="0"/>
    <s v="Equals"/>
    <s v="Zero Rupees Only"/>
    <s v="Division"/>
    <m/>
    <n v="0"/>
    <m/>
    <n v="0"/>
    <n v="0"/>
    <n v="0"/>
    <m/>
    <m/>
    <m/>
    <m/>
    <m/>
    <n v="12"/>
    <n v="0"/>
    <d v="1902-03-20T00:00:00"/>
    <n v="0"/>
    <n v="0"/>
    <d v="1901-01-29T00:00:00"/>
    <d v="1902-01-19T00:00:00"/>
    <m/>
    <m/>
    <m/>
    <m/>
    <m/>
    <m/>
    <m/>
    <m/>
    <m/>
    <m/>
    <m/>
    <m/>
    <m/>
    <m/>
    <m/>
    <m/>
    <m/>
    <m/>
    <m/>
    <m/>
    <m/>
    <m/>
    <m/>
    <m/>
    <m/>
  </r>
  <r>
    <n v="379"/>
    <m/>
    <s v="2025-26"/>
    <n v="19"/>
    <n v="1"/>
    <s v="Annual Rate for Providing Asphalt Patch, Metal Patch, Paver Patta, BM, Carpet, Seal Coat, Asphalt Painting work in various Roads of Bhavnagar and Ghogha Taluka"/>
    <m/>
    <m/>
    <x v="6"/>
    <m/>
    <m/>
    <n v="220914"/>
    <n v="1"/>
    <m/>
    <m/>
    <m/>
    <d v="1900-04-29T00:00:00"/>
    <m/>
    <m/>
    <m/>
    <m/>
    <s v="Equals"/>
    <s v="Zero Rupees Only"/>
    <s v="Division"/>
    <m/>
    <n v="0"/>
    <m/>
    <n v="0"/>
    <n v="0"/>
    <n v="0"/>
    <m/>
    <m/>
    <m/>
    <m/>
    <m/>
    <m/>
    <n v="0"/>
    <d v="1901-03-25T00:00:00"/>
    <n v="0"/>
    <n v="0"/>
    <d v="1900-02-03T00:00:00"/>
    <d v="1901-01-24T00:00:00"/>
    <m/>
    <m/>
    <m/>
    <m/>
    <m/>
    <m/>
    <m/>
    <m/>
    <m/>
    <m/>
    <m/>
    <m/>
    <m/>
    <m/>
    <m/>
    <m/>
    <m/>
    <m/>
    <m/>
    <m/>
    <m/>
    <m/>
    <m/>
    <m/>
    <m/>
  </r>
  <r>
    <n v="380"/>
    <m/>
    <s v="2025-26"/>
    <n v="19"/>
    <n v="2"/>
    <s v="Annual Rate for Providing Asphalt Patch, Metal Patch, Paver Patta, BM, Carpet, Seal Coat, Asphalt Painting work in various Roads of Talaja Taluka"/>
    <m/>
    <m/>
    <x v="6"/>
    <m/>
    <m/>
    <n v="220930"/>
    <n v="1"/>
    <m/>
    <m/>
    <m/>
    <d v="1900-04-29T00:00:00"/>
    <m/>
    <m/>
    <m/>
    <m/>
    <s v="Equals"/>
    <s v="Zero Rupees Only"/>
    <s v="Division"/>
    <m/>
    <n v="0"/>
    <m/>
    <n v="0"/>
    <n v="0"/>
    <n v="0"/>
    <m/>
    <m/>
    <m/>
    <m/>
    <m/>
    <m/>
    <n v="0"/>
    <d v="1901-03-25T00:00:00"/>
    <n v="0"/>
    <n v="0"/>
    <d v="1900-02-03T00:00:00"/>
    <d v="1901-01-24T00:00:00"/>
    <m/>
    <m/>
    <m/>
    <m/>
    <m/>
    <m/>
    <m/>
    <m/>
    <m/>
    <m/>
    <m/>
    <m/>
    <m/>
    <m/>
    <m/>
    <m/>
    <m/>
    <m/>
    <m/>
    <m/>
    <m/>
    <m/>
    <m/>
    <m/>
    <m/>
  </r>
  <r>
    <n v="381"/>
    <m/>
    <s v="2025-26"/>
    <n v="19"/>
    <n v="3"/>
    <s v="Annual Rate for Providing Asphalt Patch, Metal Patch, Paver Patta, BM, Carpet, Seal Coat, Asphalt Painting work in various Roads of Mahuva and Jesar Taluka"/>
    <m/>
    <m/>
    <x v="6"/>
    <m/>
    <m/>
    <n v="220932"/>
    <n v="1"/>
    <m/>
    <m/>
    <m/>
    <d v="1900-04-29T00:00:00"/>
    <m/>
    <m/>
    <m/>
    <m/>
    <s v="Equals"/>
    <s v="Zero Rupees Only"/>
    <s v="Division"/>
    <m/>
    <n v="0"/>
    <m/>
    <n v="0"/>
    <n v="0"/>
    <n v="0"/>
    <m/>
    <m/>
    <m/>
    <m/>
    <m/>
    <m/>
    <n v="0"/>
    <d v="1901-03-25T00:00:00"/>
    <n v="0"/>
    <n v="0"/>
    <d v="1900-02-03T00:00:00"/>
    <d v="1901-01-24T00:00:00"/>
    <m/>
    <m/>
    <m/>
    <m/>
    <m/>
    <m/>
    <m/>
    <m/>
    <m/>
    <m/>
    <m/>
    <m/>
    <m/>
    <m/>
    <m/>
    <m/>
    <m/>
    <m/>
    <m/>
    <m/>
    <m/>
    <m/>
    <m/>
    <m/>
    <m/>
  </r>
  <r>
    <n v="382"/>
    <m/>
    <s v="2025-26"/>
    <n v="19"/>
    <n v="4"/>
    <s v="Annual Rate for Providing Asphalt Patch, Metal Patch, Paver Patta, BM, Carpet, Seal Coat, Asphalt Painting work in various Roads of Palitana and Gariyadhar Taluka"/>
    <m/>
    <m/>
    <x v="6"/>
    <m/>
    <m/>
    <n v="220934"/>
    <n v="1"/>
    <m/>
    <m/>
    <m/>
    <d v="1900-04-29T00:00:00"/>
    <m/>
    <m/>
    <m/>
    <m/>
    <s v="Equals"/>
    <s v="Zero Rupees Only"/>
    <s v="Division"/>
    <m/>
    <n v="0"/>
    <m/>
    <n v="0"/>
    <n v="0"/>
    <n v="0"/>
    <m/>
    <m/>
    <m/>
    <m/>
    <m/>
    <m/>
    <n v="0"/>
    <d v="1901-03-25T00:00:00"/>
    <n v="0"/>
    <n v="0"/>
    <d v="1900-02-03T00:00:00"/>
    <d v="1901-01-24T00:00:00"/>
    <m/>
    <m/>
    <m/>
    <m/>
    <m/>
    <m/>
    <m/>
    <m/>
    <m/>
    <m/>
    <m/>
    <m/>
    <m/>
    <m/>
    <m/>
    <m/>
    <m/>
    <m/>
    <m/>
    <m/>
    <m/>
    <m/>
    <m/>
    <m/>
    <m/>
  </r>
  <r>
    <n v="383"/>
    <m/>
    <s v="2025-26"/>
    <n v="19"/>
    <n v="5"/>
    <s v="Annual Rate for Providing Asphalt Patch, Metal Patch, Paver Patta, BM, Carpet, Seal Coat, Asphalt Painting work in various Roads of Vallabhipur and Umrala Taluka"/>
    <m/>
    <m/>
    <x v="6"/>
    <m/>
    <m/>
    <n v="220941"/>
    <n v="1"/>
    <m/>
    <m/>
    <m/>
    <d v="1900-04-29T00:00:00"/>
    <m/>
    <m/>
    <m/>
    <m/>
    <s v="Equals"/>
    <s v="Zero Rupees Only"/>
    <s v="Division"/>
    <m/>
    <n v="0"/>
    <m/>
    <n v="0"/>
    <n v="0"/>
    <n v="0"/>
    <m/>
    <m/>
    <m/>
    <m/>
    <m/>
    <m/>
    <n v="0"/>
    <d v="1901-03-25T00:00:00"/>
    <n v="0"/>
    <n v="0"/>
    <d v="1900-02-03T00:00:00"/>
    <d v="1901-01-24T00:00:00"/>
    <m/>
    <m/>
    <m/>
    <m/>
    <m/>
    <m/>
    <m/>
    <m/>
    <m/>
    <m/>
    <m/>
    <m/>
    <m/>
    <m/>
    <m/>
    <m/>
    <m/>
    <m/>
    <m/>
    <m/>
    <m/>
    <m/>
    <m/>
    <m/>
    <m/>
  </r>
  <r>
    <n v="384"/>
    <m/>
    <s v="2025-26"/>
    <n v="19"/>
    <n v="6"/>
    <s v="Annual Rate for Providing Asphalt Patch, Metal Patch, Paver Patta, BM, Carpet, Seal Coat, Asphalt Painting work in various Roads of Shihor Taluka"/>
    <m/>
    <m/>
    <x v="6"/>
    <m/>
    <m/>
    <m/>
    <n v="1"/>
    <m/>
    <m/>
    <m/>
    <d v="1900-04-29T00:00:00"/>
    <m/>
    <m/>
    <m/>
    <m/>
    <s v="Equals"/>
    <s v="Zero Rupees Only"/>
    <s v="Division"/>
    <m/>
    <n v="0"/>
    <m/>
    <n v="0"/>
    <n v="0"/>
    <n v="0"/>
    <m/>
    <m/>
    <m/>
    <m/>
    <m/>
    <m/>
    <n v="0"/>
    <d v="1901-03-25T00:00:00"/>
    <n v="0"/>
    <n v="0"/>
    <d v="1900-02-03T00:00:00"/>
    <d v="1901-01-24T00:00:00"/>
    <m/>
    <m/>
    <m/>
    <m/>
    <m/>
    <m/>
    <m/>
    <m/>
    <m/>
    <m/>
    <m/>
    <m/>
    <m/>
    <m/>
    <m/>
    <m/>
    <m/>
    <m/>
    <m/>
    <m/>
    <m/>
    <m/>
    <m/>
    <m/>
    <m/>
  </r>
  <r>
    <n v="385"/>
    <m/>
    <s v="2025-26"/>
    <n v="20"/>
    <n v="1"/>
    <m/>
    <m/>
    <m/>
    <x v="6"/>
    <m/>
    <m/>
    <n v="221015"/>
    <n v="1"/>
    <m/>
    <m/>
    <m/>
    <d v="1900-04-29T00:00:00"/>
    <m/>
    <m/>
    <m/>
    <m/>
    <s v="Equals"/>
    <s v="Zero Rupees Only"/>
    <s v="Division"/>
    <m/>
    <n v="0"/>
    <m/>
    <n v="0"/>
    <n v="0"/>
    <n v="0"/>
    <m/>
    <m/>
    <m/>
    <m/>
    <m/>
    <m/>
    <n v="0"/>
    <d v="1901-03-25T00:00:00"/>
    <n v="0"/>
    <n v="0"/>
    <d v="1900-02-03T00:00:00"/>
    <d v="1901-01-24T00:00:00"/>
    <m/>
    <m/>
    <m/>
    <m/>
    <m/>
    <m/>
    <m/>
    <m/>
    <m/>
    <m/>
    <m/>
    <m/>
    <m/>
    <m/>
    <m/>
    <m/>
    <m/>
    <m/>
    <m/>
    <m/>
    <m/>
    <m/>
    <m/>
    <m/>
    <m/>
  </r>
  <r>
    <n v="386"/>
    <m/>
    <s v="2025-26"/>
    <n v="21"/>
    <n v="1"/>
    <s v="Construction of Bhatikada to Kadi Vistaar Road (VR NP) Km 0/000 to 3/500, Ta. Mahuva, Dist. Bhavnagar"/>
    <m/>
    <s v="Mahuva"/>
    <x v="1"/>
    <s v="Road"/>
    <m/>
    <n v="236916"/>
    <n v="2"/>
    <d v="2025-10-18T00:00:00"/>
    <d v="2025-11-03T00:00:00"/>
    <d v="2025-11-04T00:00:00"/>
    <d v="2026-03-03T00:00:00"/>
    <m/>
    <s v="Yes"/>
    <m/>
    <m/>
    <s v="Equals"/>
    <s v="Zero Rupees Only"/>
    <s v="Division"/>
    <m/>
    <n v="0"/>
    <m/>
    <n v="0"/>
    <n v="0"/>
    <n v="0"/>
    <m/>
    <m/>
    <m/>
    <m/>
    <m/>
    <m/>
    <n v="0"/>
    <d v="1901-03-25T00:00:00"/>
    <n v="0"/>
    <n v="0"/>
    <d v="1900-02-03T00:00:00"/>
    <d v="1901-01-24T00:00:00"/>
    <m/>
    <m/>
    <m/>
    <m/>
    <m/>
    <m/>
    <m/>
    <m/>
    <m/>
    <m/>
    <m/>
    <m/>
    <m/>
    <m/>
    <m/>
    <m/>
    <m/>
    <m/>
    <m/>
    <m/>
    <m/>
    <m/>
    <m/>
    <m/>
    <m/>
  </r>
  <r>
    <n v="387"/>
    <m/>
    <s v="2025-26"/>
    <n v="21"/>
    <n v="2"/>
    <s v="Remaining work Construction of Gram Panchayat office building (Frame structure) of Gariyadhar taluka (BVN/CDP/Gariyadhar/2017-18/P-18) Dist. Bhavnagar (At village - Shivendranagar, Motivavdi, Rupavati)"/>
    <m/>
    <s v="Gariyadhar"/>
    <x v="3"/>
    <s v="Building"/>
    <m/>
    <n v="236938"/>
    <n v="12"/>
    <d v="2025-10-18T00:00:00"/>
    <d v="2025-11-03T00:00:00"/>
    <d v="2025-11-04T00:00:00"/>
    <d v="2026-03-03T00:00:00"/>
    <n v="1325265.3700000001"/>
    <m/>
    <n v="1656449.19"/>
    <n v="24.99"/>
    <s v="Above"/>
    <s v="Sixteen Lakh Fifty Six Thousand Four Hundred Forty Nine Rupees and Nineteen Paise Only"/>
    <s v="Division"/>
    <m/>
    <n v="1656449.19"/>
    <s v="MAHESHBHAI ANANDBHAI_x000a_VAGHELA"/>
    <s v="Not Found"/>
    <s v="Not Found"/>
    <s v="Not Found"/>
    <m/>
    <m/>
    <m/>
    <m/>
    <m/>
    <m/>
    <n v="83000"/>
    <d v="1901-03-25T00:00:00"/>
    <n v="4100"/>
    <n v="0"/>
    <d v="1900-02-03T00:00:00"/>
    <d v="1901-01-24T00:00:00"/>
    <m/>
    <m/>
    <m/>
    <m/>
    <m/>
    <m/>
    <m/>
    <m/>
    <m/>
    <m/>
    <m/>
    <m/>
    <m/>
    <m/>
    <m/>
    <m/>
    <m/>
    <m/>
    <m/>
    <m/>
    <m/>
    <m/>
    <m/>
    <m/>
    <m/>
  </r>
  <r>
    <n v="388"/>
    <m/>
    <s v="2025-26"/>
    <n v="21"/>
    <n v="3"/>
    <s v="Construction of Nandghar (Anganvadi) Building at Village Undavi-1 Tal. Bhavnagar Dist. Bhavnagar"/>
    <m/>
    <s v="Bhavnagar"/>
    <x v="2"/>
    <s v="Building"/>
    <s v="Anganvadi"/>
    <n v="236956"/>
    <n v="6"/>
    <d v="2025-10-18T00:00:00"/>
    <d v="2025-11-03T00:00:00"/>
    <d v="2025-11-04T00:00:00"/>
    <d v="2026-03-03T00:00:00"/>
    <n v="1024912.96"/>
    <m/>
    <n v="1144827.78"/>
    <n v="11.7"/>
    <s v="Above"/>
    <s v="Eleven Lakh Forty Four Thousand Eight Hundred Twenty Seven Rupees and Seventy Eight Paise Only"/>
    <s v="Division"/>
    <m/>
    <n v="1144827.78"/>
    <s v="JIYA ENTERPRISE"/>
    <s v="Not Found"/>
    <s v="Not Found"/>
    <s v="Not Found"/>
    <m/>
    <m/>
    <m/>
    <m/>
    <m/>
    <m/>
    <n v="58000"/>
    <d v="1901-03-25T00:00:00"/>
    <n v="2900"/>
    <n v="0"/>
    <d v="1900-02-03T00:00:00"/>
    <d v="1901-01-24T00:00:00"/>
    <m/>
    <m/>
    <m/>
    <m/>
    <m/>
    <m/>
    <m/>
    <m/>
    <m/>
    <m/>
    <m/>
    <m/>
    <m/>
    <m/>
    <m/>
    <m/>
    <m/>
    <m/>
    <m/>
    <m/>
    <m/>
    <m/>
    <m/>
    <m/>
    <m/>
  </r>
  <r>
    <n v="389"/>
    <m/>
    <s v="2025-26"/>
    <n v="21"/>
    <n v="4"/>
    <s v="Construction of Nandghar (Anganvadi) Building at Village Mota Khuntvada-2 Tal. Mahuva Dist. Bhavnagar"/>
    <m/>
    <s v="Mahuva"/>
    <x v="1"/>
    <s v="Building"/>
    <s v="Anganvadi"/>
    <n v="236982"/>
    <n v="6"/>
    <d v="2025-10-18T00:00:00"/>
    <d v="2025-11-03T00:00:00"/>
    <d v="2025-11-04T00:00:00"/>
    <d v="2026-03-03T00:00:00"/>
    <n v="1024912.96"/>
    <m/>
    <n v="944354.8"/>
    <n v="-7.86"/>
    <s v="Below"/>
    <s v="Nine Lakh Forty Four Thousand Three Hundred Fifty Four Rupees and Eight Paise Only"/>
    <s v="Division"/>
    <m/>
    <n v="944354.8"/>
    <s v="MATI CONSTRUCTION AND_x000a_ENGINEERING"/>
    <n v="0"/>
    <s v="At. Shelavadar, Tal. Talaja, Dist. Bhavnagar - 364140"/>
    <n v="9429640652"/>
    <m/>
    <m/>
    <m/>
    <m/>
    <m/>
    <n v="3"/>
    <n v="48000"/>
    <d v="2027-06-25T00:00:00"/>
    <n v="2400"/>
    <n v="0"/>
    <d v="2026-05-06T00:00:00"/>
    <d v="2027-04-26T00:00:00"/>
    <n v="1555"/>
    <d v="2025-11-20T00:00:00"/>
    <m/>
    <m/>
    <m/>
    <m/>
    <m/>
    <m/>
    <m/>
    <m/>
    <m/>
    <m/>
    <m/>
    <m/>
    <m/>
    <d v="2026-01-01T00:00:00"/>
    <m/>
    <m/>
    <m/>
    <m/>
    <m/>
    <m/>
    <m/>
    <m/>
    <m/>
  </r>
  <r>
    <n v="390"/>
    <m/>
    <s v="2025-26"/>
    <n v="21"/>
    <n v="5"/>
    <s v="Construction of Major Bridge on Beda Virpur Road Ta. Jesar., Dist.; Bhavnagar. (Under MMGSY-Normal-2024-25)"/>
    <m/>
    <s v="Jesar"/>
    <x v="1"/>
    <s v="Road"/>
    <s v="Major Bridge"/>
    <n v="236984"/>
    <m/>
    <d v="2025-10-18T00:00:00"/>
    <d v="2025-11-03T00:00:00"/>
    <d v="2025-11-04T00:00:00"/>
    <d v="2026-03-03T00:00:00"/>
    <n v="50657649.75"/>
    <m/>
    <n v="43064068.049999997"/>
    <n v="-14.99"/>
    <s v="Below"/>
    <s v="Four Crore Thirty Lakh Sixty Four Thousand Sixty Eight Rupees and Five Paise Only"/>
    <s v="Government"/>
    <m/>
    <n v="43064068.049999997"/>
    <s v="C M VAGHELA"/>
    <s v="CHATURBHAI MOHANBHAI VAGHELA"/>
    <s v="MOTI PANIYALI, Via. Po. SHETRUNJI, Ta. PALITANA, Dist. BHAVNAGAR-364270"/>
    <n v="9925448120"/>
    <d v="2025-11-13T00:00:00"/>
    <m/>
    <m/>
    <m/>
    <m/>
    <m/>
    <n v="2154000"/>
    <d v="1903-03-15T00:00:00"/>
    <n v="130400"/>
    <n v="506000"/>
    <d v="1900-02-03T00:00:00"/>
    <d v="1903-01-14T00:00:00"/>
    <m/>
    <m/>
    <m/>
    <m/>
    <m/>
    <m/>
    <m/>
    <m/>
    <m/>
    <m/>
    <m/>
    <m/>
    <m/>
    <m/>
    <m/>
    <m/>
    <m/>
    <m/>
    <m/>
    <m/>
    <m/>
    <m/>
    <m/>
    <m/>
    <m/>
  </r>
  <r>
    <n v="391"/>
    <m/>
    <s v="2025-26"/>
    <n v="21"/>
    <n v="6"/>
    <s v="Construction of Box Culvert on the way to Dalit Crematorium at Ranghola Village of Umrala (Km.0/150) Ta.Umrala, Dist.; Bhavnagar. (Under Finance Commission)"/>
    <m/>
    <s v="Umrala"/>
    <x v="0"/>
    <s v="Road"/>
    <s v="Box Culvert"/>
    <n v="236987"/>
    <m/>
    <d v="2025-10-18T00:00:00"/>
    <d v="2025-11-03T00:00:00"/>
    <d v="2025-11-04T00:00:00"/>
    <d v="2026-03-03T00:00:00"/>
    <n v="3514814.96"/>
    <m/>
    <n v="2741555.67"/>
    <n v="-22"/>
    <s v="Below"/>
    <s v="Twenty Seven Lakh Forty One Thousand Five Hundred Fifty Five Rupees and Sixty Seven Paise Only"/>
    <s v="Division"/>
    <m/>
    <n v="2741555.67"/>
    <s v="Radhe Construction"/>
    <s v="Hamirbhai Govindbhai Chavda"/>
    <s v="At. Lakhavad, Tal. Umrala, Dist. Bhavnagar"/>
    <n v="7878212124"/>
    <m/>
    <s v="15 th Finance Commission"/>
    <m/>
    <m/>
    <m/>
    <n v="3"/>
    <n v="138000"/>
    <d v="2027-06-25T00:00:00"/>
    <n v="13000"/>
    <n v="127000"/>
    <d v="2026-05-06T00:00:00"/>
    <d v="2027-04-26T00:00:00"/>
    <n v="1554"/>
    <d v="2025-11-20T00:00:00"/>
    <m/>
    <m/>
    <m/>
    <m/>
    <m/>
    <m/>
    <m/>
    <m/>
    <m/>
    <m/>
    <m/>
    <m/>
    <m/>
    <d v="2026-01-01T00:00:00"/>
    <m/>
    <m/>
    <m/>
    <m/>
    <m/>
    <m/>
    <m/>
    <m/>
    <m/>
  </r>
  <r>
    <n v="392"/>
    <m/>
    <s v="2025-26"/>
    <n v="21"/>
    <n v="7"/>
    <s v="Repairing of Anganvadi Building at Various Taluka in Bhavnagar District "/>
    <m/>
    <s v="Bhavnagar"/>
    <x v="2"/>
    <s v="Building"/>
    <s v="Anganvadi"/>
    <n v="236988"/>
    <n v="1"/>
    <d v="2025-10-18T00:00:00"/>
    <d v="2025-11-03T00:00:00"/>
    <d v="2025-11-04T00:00:00"/>
    <d v="2026-03-03T00:00:00"/>
    <n v="8157183.54"/>
    <m/>
    <n v="7356963.8300000001"/>
    <n v="-9.81"/>
    <s v="Below"/>
    <s v="Seventy Three Lakh Fifty Six Thousand Nine Hundred Sixty Three Rupees and Eighty Three Paise Only"/>
    <s v="Circle"/>
    <m/>
    <n v="7356963.8300000001"/>
    <s v="J.K.Construction"/>
    <s v="Upendrakumar J. Joshi"/>
    <s v="At Po. Lilivav, Ta. Talaja, Dist. Bhavnagar"/>
    <n v="9824483166"/>
    <d v="2025-11-13T00:00:00"/>
    <s v="2236 ICDS"/>
    <s v="Superintending Engineer, Panchayat Road and Building Circle-2, Rajkot"/>
    <s v="RPC-2/Tender/Bhavbagar/375"/>
    <d v="2025-11-25T00:00:00"/>
    <n v="5"/>
    <n v="368000"/>
    <d v="2027-07-20T00:00:00"/>
    <n v="18100"/>
    <n v="0"/>
    <d v="2026-05-31T00:00:00"/>
    <d v="2027-05-21T00:00:00"/>
    <n v="1557"/>
    <d v="2025-11-26T00:00:00"/>
    <s v="2025-26"/>
    <n v="220"/>
    <d v="2025-11-27T00:00:00"/>
    <s v="FDR"/>
    <s v="Union Bank of India"/>
    <s v="348803030568318"/>
    <n v="368000"/>
    <d v="2025-11-27T00:00:00"/>
    <m/>
    <m/>
    <m/>
    <m/>
    <m/>
    <d v="2025-11-27T00:00:00"/>
    <n v="1563"/>
    <d v="2025-11-27T00:00:00"/>
    <m/>
    <m/>
    <m/>
    <m/>
    <m/>
    <m/>
    <m/>
  </r>
  <r>
    <n v="393"/>
    <m/>
    <s v="2025-26"/>
    <n v="21"/>
    <n v="8"/>
    <s v="Construction of Community hall near Murlidhar temple area at pachhegam Taluka:- Vallabhipur Dist. Bhavnagar"/>
    <m/>
    <s v="Vallabhipur"/>
    <x v="0"/>
    <s v="Building"/>
    <s v="Community hall"/>
    <n v="236992"/>
    <n v="1"/>
    <d v="2025-10-18T00:00:00"/>
    <d v="2025-11-03T00:00:00"/>
    <d v="2025-11-04T00:00:00"/>
    <d v="2026-03-03T00:00:00"/>
    <n v="834276.55"/>
    <m/>
    <n v="788391.34"/>
    <n v="-5.5"/>
    <s v="Below"/>
    <s v="Seven Lakh Eighty Eight Thousand Three Hundred Ninety One Rupees and Thirty Four Paise Only"/>
    <s v="Division"/>
    <m/>
    <n v="788391.34"/>
    <s v="Shree Khodiyar Construction"/>
    <s v="Alpeshkumar Ranabhai Kalotara"/>
    <s v="At. Chhapariyali, Bagdana Road, Tal. Jesar, Dist. Bhavnagar - 364510"/>
    <n v="9773408044"/>
    <m/>
    <m/>
    <m/>
    <m/>
    <m/>
    <n v="2"/>
    <n v="40000"/>
    <d v="2027-05-26T00:00:00"/>
    <n v="2000"/>
    <n v="0"/>
    <d v="2026-04-06T00:00:00"/>
    <d v="2027-03-27T00:00:00"/>
    <n v="1564"/>
    <d v="2025-11-20T00:00:00"/>
    <m/>
    <m/>
    <m/>
    <m/>
    <m/>
    <m/>
    <m/>
    <m/>
    <m/>
    <m/>
    <m/>
    <m/>
    <m/>
    <d v="2026-01-01T00:00:00"/>
    <m/>
    <m/>
    <m/>
    <m/>
    <m/>
    <m/>
    <m/>
    <m/>
    <m/>
  </r>
  <r>
    <n v="394"/>
    <m/>
    <s v="2025-26"/>
    <n v="21"/>
    <n v="9"/>
    <s v="Construction of Community Hall at Scheduled Cast Area Malekvadar Village Tal.Ghogha Dist. Bhavnagar"/>
    <m/>
    <s v="Ghogha"/>
    <x v="2"/>
    <s v="Building"/>
    <s v="Community hall"/>
    <n v="236994"/>
    <n v="1"/>
    <d v="2025-10-18T00:00:00"/>
    <d v="2025-11-03T00:00:00"/>
    <d v="2025-11-04T00:00:00"/>
    <d v="2026-03-03T00:00:00"/>
    <n v="830092.26"/>
    <m/>
    <n v="722180.27"/>
    <n v="-13"/>
    <s v="Below"/>
    <s v="Seven Lakh Twenty Two Thousand One Hundred Eighty Rupees and Twenty Seven Paise Only"/>
    <s v="Division"/>
    <m/>
    <n v="722180.27"/>
    <s v="Pramukh Services"/>
    <n v="0"/>
    <s v="Plot No. 39/B, Jawahar Colony, Bordigate, Bhavnagar - 364005"/>
    <n v="7990014980"/>
    <m/>
    <m/>
    <m/>
    <m/>
    <m/>
    <n v="2"/>
    <n v="37000"/>
    <d v="2027-05-26T00:00:00"/>
    <n v="2100"/>
    <n v="5000"/>
    <d v="2026-04-06T00:00:00"/>
    <d v="2027-03-27T00:00:00"/>
    <n v="1668"/>
    <d v="2025-11-20T00:00:00"/>
    <m/>
    <m/>
    <m/>
    <m/>
    <m/>
    <m/>
    <m/>
    <m/>
    <m/>
    <m/>
    <m/>
    <m/>
    <m/>
    <d v="2026-01-01T00:00:00"/>
    <m/>
    <m/>
    <m/>
    <m/>
    <m/>
    <m/>
    <m/>
    <m/>
    <m/>
  </r>
  <r>
    <n v="395"/>
    <m/>
    <s v="2025-26"/>
    <n v="21"/>
    <n v="10"/>
    <s v="Construction of Community Hall near House of Babubhai Ravjibhai Makvana at Dalitvas Hadmatiya Village Tal. Umrala Dist. Bhavnagar"/>
    <m/>
    <s v="Umrala"/>
    <x v="0"/>
    <s v="Building"/>
    <s v="Community hall"/>
    <n v="236995"/>
    <n v="1"/>
    <d v="2025-10-18T00:00:00"/>
    <d v="2025-11-03T00:00:00"/>
    <d v="2025-11-04T00:00:00"/>
    <d v="2026-03-03T00:00:00"/>
    <n v="830592.97"/>
    <m/>
    <n v="756836.31"/>
    <n v="-8.8800000000000008"/>
    <s v="Below"/>
    <s v="Seven Lakh Fifty Six Thousand Eight Hundred Thirty Six Rupees and Thirty One Paise Only"/>
    <s v="Division"/>
    <m/>
    <n v="756836.31"/>
    <s v="SHIVGADH BUILDERS"/>
    <s v="Amardipsinh M. Gohil"/>
    <s v="C 1014, Opp. SBI Bank, Kaliyabid, Bhavnagar"/>
    <n v="9426959999"/>
    <m/>
    <m/>
    <m/>
    <m/>
    <m/>
    <n v="2"/>
    <n v="38000"/>
    <d v="2027-05-26T00:00:00"/>
    <n v="1900"/>
    <n v="0"/>
    <d v="2026-04-06T00:00:00"/>
    <d v="2027-03-27T00:00:00"/>
    <n v="1565"/>
    <d v="2025-11-20T00:00:00"/>
    <m/>
    <m/>
    <m/>
    <m/>
    <m/>
    <m/>
    <m/>
    <m/>
    <m/>
    <m/>
    <m/>
    <m/>
    <m/>
    <d v="2026-01-01T00:00:00"/>
    <m/>
    <m/>
    <m/>
    <m/>
    <m/>
    <m/>
    <m/>
    <m/>
    <m/>
  </r>
  <r>
    <n v="396"/>
    <m/>
    <s v="2025-26"/>
    <n v="21"/>
    <n v="11"/>
    <s v="Construction of Community Hall at Rabarika Village Ta.Jesar Dist.Bhavnagar"/>
    <m/>
    <s v="Jesar"/>
    <x v="1"/>
    <s v="Building"/>
    <s v="Community hall"/>
    <n v="236996"/>
    <n v="1"/>
    <d v="2025-10-18T00:00:00"/>
    <d v="2025-11-03T00:00:00"/>
    <d v="2025-11-04T00:00:00"/>
    <d v="2026-03-03T00:00:00"/>
    <n v="1238183.43"/>
    <m/>
    <n v="1137890.57"/>
    <n v="-8.1"/>
    <s v="Below"/>
    <s v="Eleven Lakh Thirty Seven Thousand Eight Hundred Ninety Rupees and Fifty Seven Paise Only"/>
    <s v="Division"/>
    <m/>
    <n v="1137890.57"/>
    <s v="Shree Khodiyar Construction"/>
    <s v="Alpeshkumar Ranabhai Kalotara"/>
    <s v="At. Chhapariyali, Bagdana Road, Tal. Jesar, Dist. Bhavnagar - 364510"/>
    <n v="9773408044"/>
    <m/>
    <m/>
    <m/>
    <m/>
    <m/>
    <n v="3"/>
    <n v="57000"/>
    <d v="2027-06-25T00:00:00"/>
    <n v="2800"/>
    <n v="0"/>
    <d v="2026-05-06T00:00:00"/>
    <d v="2027-04-26T00:00:00"/>
    <n v="1567"/>
    <d v="2025-11-20T00:00:00"/>
    <m/>
    <m/>
    <m/>
    <m/>
    <m/>
    <m/>
    <m/>
    <m/>
    <m/>
    <m/>
    <m/>
    <m/>
    <m/>
    <d v="2026-01-01T00:00:00"/>
    <m/>
    <m/>
    <m/>
    <m/>
    <m/>
    <m/>
    <m/>
    <m/>
    <m/>
  </r>
  <r>
    <n v="397"/>
    <m/>
    <s v="2025-26"/>
    <n v="21"/>
    <n v="12"/>
    <s v="Construction of Sulabh Sauchalay at Village Uncha Kotda, Ta:Mahuva, Dist:Bhavnagar"/>
    <m/>
    <s v="Mahuva"/>
    <x v="1"/>
    <s v="Building"/>
    <s v="Toilet"/>
    <n v="236997"/>
    <n v="1"/>
    <d v="2025-10-18T00:00:00"/>
    <d v="2025-11-03T00:00:00"/>
    <d v="2025-11-04T00:00:00"/>
    <d v="2026-03-03T00:00:00"/>
    <n v="2078883.38"/>
    <m/>
    <n v="1908414.94"/>
    <n v="-8.1999999999999993"/>
    <s v="Below"/>
    <s v="Nineteen Lakh Eight Thousand Four Hundred Fourteen Rupees and Ninety Four Paise Only"/>
    <s v="Division"/>
    <m/>
    <n v="1908414.94"/>
    <s v="Shree Khodiyar Construction"/>
    <s v="Alpeshkumar Ranabhai Kalotara"/>
    <s v="At. Chhapariyali, Bagdana Road, Tal. Jesar, Dist. Bhavnagar - 364510"/>
    <n v="9773408044"/>
    <m/>
    <m/>
    <m/>
    <m/>
    <m/>
    <n v="3"/>
    <n v="96000"/>
    <d v="2027-06-25T00:00:00"/>
    <n v="4800"/>
    <n v="0"/>
    <d v="2026-05-06T00:00:00"/>
    <d v="2027-04-26T00:00:00"/>
    <n v="1566"/>
    <d v="2025-11-20T00:00:00"/>
    <m/>
    <m/>
    <m/>
    <m/>
    <m/>
    <m/>
    <m/>
    <m/>
    <m/>
    <m/>
    <m/>
    <m/>
    <m/>
    <d v="2026-01-01T00:00:00"/>
    <m/>
    <m/>
    <m/>
    <m/>
    <m/>
    <m/>
    <m/>
    <m/>
    <m/>
  </r>
  <r>
    <n v="398"/>
    <m/>
    <s v="2025-26"/>
    <n v="21"/>
    <n v="13"/>
    <s v="Construction of Sulabh Sauchalay at Village Dadava (r) Taluka; Umrala, Dist:Bhavnagar"/>
    <m/>
    <s v="Umrala"/>
    <x v="0"/>
    <s v="Building"/>
    <s v="Toilet"/>
    <n v="236998"/>
    <n v="1"/>
    <d v="2025-10-18T00:00:00"/>
    <d v="2025-11-03T00:00:00"/>
    <d v="2025-11-04T00:00:00"/>
    <d v="2026-03-03T00:00:00"/>
    <n v="2078883.38"/>
    <m/>
    <n v="1877855.36"/>
    <n v="-9.67"/>
    <s v="Below"/>
    <s v="Eighteen Lakh Seventy Seven Thousand Eight Hundred Fifty Five Rupees and Thirty Six Paise Only"/>
    <s v="Division"/>
    <m/>
    <n v="1877855.36"/>
    <s v="JAYDIPBHAI J MAKWANA"/>
    <n v="0"/>
    <s v="Rupavati Road, Gariyadhar, Dist. Bhavnagar - 364505"/>
    <n v="9537673951"/>
    <m/>
    <m/>
    <m/>
    <m/>
    <m/>
    <n v="3"/>
    <n v="94000"/>
    <d v="2027-06-25T00:00:00"/>
    <n v="4700"/>
    <n v="0"/>
    <d v="2026-05-06T00:00:00"/>
    <d v="2027-04-26T00:00:00"/>
    <n v="1570"/>
    <d v="2025-11-20T00:00:00"/>
    <m/>
    <m/>
    <m/>
    <m/>
    <m/>
    <m/>
    <m/>
    <m/>
    <m/>
    <m/>
    <m/>
    <m/>
    <m/>
    <d v="2026-01-01T00:00:00"/>
    <m/>
    <m/>
    <m/>
    <m/>
    <m/>
    <m/>
    <m/>
    <m/>
    <m/>
  </r>
  <r>
    <n v="399"/>
    <m/>
    <s v="2025-26"/>
    <n v="21"/>
    <n v="14"/>
    <s v="Construction of Library Hall in Primary School at Village Malpar Tal.Ghogha Dist. Bhavnagar"/>
    <m/>
    <s v="Ghogha"/>
    <x v="2"/>
    <s v="Building"/>
    <s v="Hall"/>
    <n v="236999"/>
    <n v="1"/>
    <d v="2025-10-18T00:00:00"/>
    <d v="2025-11-03T00:00:00"/>
    <d v="2025-11-04T00:00:00"/>
    <d v="2026-03-03T00:00:00"/>
    <n v="4552092.74"/>
    <m/>
    <n v="4090510.54"/>
    <n v="-10.14"/>
    <s v="Below"/>
    <s v="Forty Lakh Ninety Thousand Five Hundred Ten Rupees and Fifty Four Paise Only"/>
    <s v="Division"/>
    <m/>
    <n v="4090510.54"/>
    <s v="RUTURAJSINH ARJUNSINH SARVAIYA"/>
    <n v="0"/>
    <s v="B-4852, Punam Pooja Society, Kaliyabid, Bhavnagar - 364002"/>
    <n v="9106055314"/>
    <m/>
    <m/>
    <m/>
    <m/>
    <m/>
    <n v="6"/>
    <n v="205000"/>
    <d v="2027-09-23T00:00:00"/>
    <n v="10200"/>
    <n v="2000"/>
    <d v="2026-08-04T00:00:00"/>
    <d v="2027-07-25T00:00:00"/>
    <n v="1569"/>
    <d v="2025-11-20T00:00:00"/>
    <m/>
    <m/>
    <m/>
    <m/>
    <m/>
    <m/>
    <m/>
    <m/>
    <m/>
    <m/>
    <m/>
    <m/>
    <m/>
    <d v="2026-01-01T00:00:00"/>
    <m/>
    <m/>
    <m/>
    <m/>
    <m/>
    <m/>
    <m/>
    <m/>
    <m/>
  </r>
  <r>
    <n v="400"/>
    <m/>
    <s v="2025-26"/>
    <n v="21"/>
    <n v="15"/>
    <s v="Construction of various Major Bridge under MMGSY Yojana (Normal) Year 2025-26, Package No. RPC-2/BVN/Structure/2025-26/P.03, Ta. Bhavnagar "/>
    <m/>
    <s v="Bhavnagar"/>
    <x v="2"/>
    <s v="Road"/>
    <s v="Major Bridge"/>
    <n v="236991"/>
    <n v="1"/>
    <d v="2025-10-18T00:00:00"/>
    <d v="2025-11-03T00:00:00"/>
    <d v="2025-11-04T00:00:00"/>
    <d v="2026-03-03T00:00:00"/>
    <n v="9616260.9100000001"/>
    <s v="Yes"/>
    <m/>
    <m/>
    <s v="Equals"/>
    <s v="Zero Rupees Only"/>
    <s v="Division"/>
    <m/>
    <n v="0"/>
    <m/>
    <n v="0"/>
    <n v="0"/>
    <n v="0"/>
    <m/>
    <m/>
    <m/>
    <m/>
    <m/>
    <m/>
    <n v="0"/>
    <d v="2027-03-27T00:00:00"/>
    <n v="0"/>
    <n v="0"/>
    <d v="2026-02-05T00:00:00"/>
    <d v="2027-01-26T00:00:00"/>
    <m/>
    <m/>
    <m/>
    <m/>
    <m/>
    <m/>
    <m/>
    <m/>
    <m/>
    <m/>
    <m/>
    <m/>
    <m/>
    <m/>
    <m/>
    <d v="2026-01-01T00:00:00"/>
    <m/>
    <m/>
    <m/>
    <m/>
    <m/>
    <m/>
    <m/>
    <m/>
    <m/>
  </r>
  <r>
    <n v="401"/>
    <m/>
    <s v="2025-26"/>
    <n v="21"/>
    <n v="16"/>
    <s v="Construction of Computer Lab at Ukharla and Tansa, Ta:Ghogha, Dist:Bhavnagar"/>
    <m/>
    <s v="Ghogha"/>
    <x v="2"/>
    <s v="Building"/>
    <s v="Lab"/>
    <n v="237000"/>
    <n v="1"/>
    <d v="2025-10-18T00:00:00"/>
    <d v="2025-11-03T00:00:00"/>
    <d v="2025-11-04T00:00:00"/>
    <d v="2026-03-03T00:00:00"/>
    <n v="1971286.08"/>
    <m/>
    <n v="1811611.91"/>
    <n v="-8.1"/>
    <s v="Below"/>
    <s v="Eighteen Lakh Eleven Thousand Six Hundred Eleven Rupees and Ninety One Paise Only"/>
    <s v="Division"/>
    <m/>
    <n v="1811611.91"/>
    <s v="Shree Khodiyar Construction"/>
    <s v="Alpeshkumar Ranabhai Kalotara"/>
    <s v="At. Chhapariyali, Bagdana Road, Tal. Jesar, Dist. Bhavnagar - 364510"/>
    <n v="9773408044"/>
    <m/>
    <m/>
    <m/>
    <m/>
    <m/>
    <n v="4"/>
    <n v="91000"/>
    <d v="2027-07-25T00:00:00"/>
    <n v="4500"/>
    <n v="0"/>
    <d v="2026-06-05T00:00:00"/>
    <d v="2027-05-26T00:00:00"/>
    <n v="1571"/>
    <d v="2025-11-20T00:00:00"/>
    <m/>
    <m/>
    <m/>
    <m/>
    <m/>
    <m/>
    <m/>
    <m/>
    <m/>
    <m/>
    <m/>
    <m/>
    <m/>
    <d v="2026-01-01T00:00:00"/>
    <m/>
    <m/>
    <m/>
    <m/>
    <m/>
    <m/>
    <m/>
    <m/>
    <m/>
  </r>
  <r>
    <m/>
    <m/>
    <m/>
    <m/>
    <m/>
    <m/>
    <m/>
    <m/>
    <x v="7"/>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96B4EB-EC8D-4950-8BA1-74F35E9237F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nder Notice No.">
  <location ref="A1:H20" firstHeaderRow="0" firstDataRow="1" firstDataCol="1"/>
  <pivotFields count="64">
    <pivotField showAll="0"/>
    <pivotField showAll="0"/>
    <pivotField showAll="0"/>
    <pivotField axis="axisRow" showAll="0" sortType="ascending">
      <items count="19">
        <item x="0"/>
        <item x="1"/>
        <item x="2"/>
        <item x="3"/>
        <item x="4"/>
        <item x="5"/>
        <item x="6"/>
        <item x="7"/>
        <item x="8"/>
        <item x="9"/>
        <item x="10"/>
        <item x="11"/>
        <item x="12"/>
        <item x="13"/>
        <item x="14"/>
        <item x="15"/>
        <item x="16"/>
        <item x="1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numFmtId="4" showAll="0"/>
    <pivotField dataField="1"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3"/>
  </rowFields>
  <rowItems count="19">
    <i>
      <x/>
    </i>
    <i>
      <x v="1"/>
    </i>
    <i>
      <x v="2"/>
    </i>
    <i>
      <x v="3"/>
    </i>
    <i>
      <x v="4"/>
    </i>
    <i>
      <x v="5"/>
    </i>
    <i>
      <x v="6"/>
    </i>
    <i>
      <x v="7"/>
    </i>
    <i>
      <x v="8"/>
    </i>
    <i>
      <x v="9"/>
    </i>
    <i>
      <x v="10"/>
    </i>
    <i>
      <x v="11"/>
    </i>
    <i>
      <x v="12"/>
    </i>
    <i>
      <x v="13"/>
    </i>
    <i>
      <x v="14"/>
    </i>
    <i>
      <x v="15"/>
    </i>
    <i>
      <x v="16"/>
    </i>
    <i>
      <x v="17"/>
    </i>
    <i t="grand">
      <x/>
    </i>
  </rowItems>
  <colFields count="1">
    <field x="-2"/>
  </colFields>
  <colItems count="7">
    <i>
      <x/>
    </i>
    <i i="1">
      <x v="1"/>
    </i>
    <i i="2">
      <x v="2"/>
    </i>
    <i i="3">
      <x v="3"/>
    </i>
    <i i="4">
      <x v="4"/>
    </i>
    <i i="5">
      <x v="5"/>
    </i>
    <i i="6">
      <x v="6"/>
    </i>
  </colItems>
  <dataFields count="7">
    <dataField name="Sub Notices" fld="4" subtotal="count" baseField="2" baseItem="0"/>
    <dataField name="Re-Invite" fld="18" subtotal="count" baseField="2" baseItem="0"/>
    <dataField name="Contract Awarded" fld="26" subtotal="count" baseField="0" baseItem="0"/>
    <dataField name="Proposal Sent" fld="30" subtotal="count" baseField="0" baseItem="0"/>
    <dataField name="Tender Approved" fld="34" subtotal="count" baseField="0" baseItem="0"/>
    <dataField name="LoA Sent" fld="43" subtotal="count" baseField="0" baseItem="0"/>
    <dataField name="Work Order Given" fld="59" subtotal="count" baseField="0" baseItem="0"/>
  </dataFields>
  <formats count="25">
    <format dxfId="27">
      <pivotArea type="all" dataOnly="0" outline="0" fieldPosition="0"/>
    </format>
    <format dxfId="26">
      <pivotArea outline="0" collapsedLevelsAreSubtotals="1" fieldPosition="0"/>
    </format>
    <format dxfId="25">
      <pivotArea field="3" type="button" dataOnly="0" labelOnly="1" outline="0" axis="axisRow" fieldPosition="0"/>
    </format>
    <format dxfId="24">
      <pivotArea dataOnly="0" labelOnly="1" fieldPosition="0">
        <references count="1">
          <reference field="3" count="0"/>
        </references>
      </pivotArea>
    </format>
    <format dxfId="23">
      <pivotArea dataOnly="0" labelOnly="1" grandRow="1" outline="0" fieldPosition="0"/>
    </format>
    <format dxfId="22">
      <pivotArea dataOnly="0" labelOnly="1" outline="0" fieldPosition="0">
        <references count="1">
          <reference field="4294967294" count="7">
            <x v="0"/>
            <x v="1"/>
            <x v="2"/>
            <x v="3"/>
            <x v="4"/>
            <x v="5"/>
            <x v="6"/>
          </reference>
        </references>
      </pivotArea>
    </format>
    <format dxfId="21">
      <pivotArea type="all" dataOnly="0" outline="0" fieldPosition="0"/>
    </format>
    <format dxfId="20">
      <pivotArea outline="0" collapsedLevelsAreSubtotals="1" fieldPosition="0"/>
    </format>
    <format dxfId="19">
      <pivotArea field="3" type="button" dataOnly="0" labelOnly="1" outline="0" axis="axisRow" fieldPosition="0"/>
    </format>
    <format dxfId="18">
      <pivotArea dataOnly="0" labelOnly="1" fieldPosition="0">
        <references count="1">
          <reference field="3" count="0"/>
        </references>
      </pivotArea>
    </format>
    <format dxfId="17">
      <pivotArea dataOnly="0" labelOnly="1" grandRow="1" outline="0" fieldPosition="0"/>
    </format>
    <format dxfId="16">
      <pivotArea dataOnly="0" labelOnly="1" outline="0" fieldPosition="0">
        <references count="1">
          <reference field="4294967294" count="7">
            <x v="0"/>
            <x v="1"/>
            <x v="2"/>
            <x v="3"/>
            <x v="4"/>
            <x v="5"/>
            <x v="6"/>
          </reference>
        </references>
      </pivotArea>
    </format>
    <format dxfId="15">
      <pivotArea type="all" dataOnly="0" outline="0" fieldPosition="0"/>
    </format>
    <format dxfId="14">
      <pivotArea outline="0" collapsedLevelsAreSubtotals="1" fieldPosition="0"/>
    </format>
    <format dxfId="13">
      <pivotArea field="3" type="button" dataOnly="0" labelOnly="1" outline="0" axis="axisRow" fieldPosition="0"/>
    </format>
    <format dxfId="12">
      <pivotArea dataOnly="0" labelOnly="1" fieldPosition="0">
        <references count="1">
          <reference field="3" count="0"/>
        </references>
      </pivotArea>
    </format>
    <format dxfId="11">
      <pivotArea dataOnly="0" labelOnly="1" grandRow="1" outline="0" fieldPosition="0"/>
    </format>
    <format dxfId="10">
      <pivotArea dataOnly="0" labelOnly="1" outline="0" fieldPosition="0">
        <references count="1">
          <reference field="4294967294" count="7">
            <x v="0"/>
            <x v="1"/>
            <x v="2"/>
            <x v="3"/>
            <x v="4"/>
            <x v="5"/>
            <x v="6"/>
          </reference>
        </references>
      </pivotArea>
    </format>
    <format dxfId="9">
      <pivotArea field="3" type="button" dataOnly="0" labelOnly="1" outline="0" axis="axisRow" fieldPosition="0"/>
    </format>
    <format dxfId="8">
      <pivotArea dataOnly="0" labelOnly="1" outline="0" fieldPosition="0">
        <references count="1">
          <reference field="4294967294" count="7">
            <x v="0"/>
            <x v="1"/>
            <x v="2"/>
            <x v="3"/>
            <x v="4"/>
            <x v="5"/>
            <x v="6"/>
          </reference>
        </references>
      </pivotArea>
    </format>
    <format dxfId="7">
      <pivotArea field="3"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collapsedLevelsAreSubtotals="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8F37A3-5D49-4B3F-8580-4CFF4B42E5B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81" firstHeaderRow="1" firstDataRow="1" firstDataCol="1"/>
  <pivotFields count="6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sortType="descending">
      <items count="82">
        <item x="9"/>
        <item x="8"/>
        <item x="6"/>
        <item x="13"/>
        <item x="0"/>
        <item m="1" x="79"/>
        <item x="1"/>
        <item x="11"/>
        <item x="5"/>
        <item x="10"/>
        <item x="7"/>
        <item x="12"/>
        <item m="1" x="80"/>
        <item x="2"/>
        <item x="3"/>
        <item x="4"/>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6"/>
  </rowFields>
  <rowItems count="80">
    <i>
      <x v="64"/>
    </i>
    <i>
      <x v="4"/>
    </i>
    <i>
      <x v="6"/>
    </i>
    <i>
      <x v="63"/>
    </i>
    <i>
      <x v="2"/>
    </i>
    <i>
      <x v="1"/>
    </i>
    <i>
      <x v="9"/>
    </i>
    <i>
      <x v="59"/>
    </i>
    <i>
      <x v="8"/>
    </i>
    <i>
      <x v="15"/>
    </i>
    <i>
      <x v="7"/>
    </i>
    <i>
      <x v="76"/>
    </i>
    <i>
      <x v="60"/>
    </i>
    <i>
      <x v="78"/>
    </i>
    <i>
      <x v="19"/>
    </i>
    <i>
      <x v="10"/>
    </i>
    <i>
      <x v="61"/>
    </i>
    <i>
      <x v="35"/>
    </i>
    <i>
      <x v="65"/>
    </i>
    <i>
      <x v="13"/>
    </i>
    <i>
      <x v="18"/>
    </i>
    <i>
      <x/>
    </i>
    <i>
      <x v="58"/>
    </i>
    <i>
      <x v="3"/>
    </i>
    <i>
      <x v="77"/>
    </i>
    <i>
      <x v="23"/>
    </i>
    <i>
      <x v="69"/>
    </i>
    <i>
      <x v="31"/>
    </i>
    <i>
      <x v="11"/>
    </i>
    <i>
      <x v="26"/>
    </i>
    <i>
      <x v="20"/>
    </i>
    <i>
      <x v="49"/>
    </i>
    <i>
      <x v="42"/>
    </i>
    <i>
      <x v="34"/>
    </i>
    <i>
      <x v="25"/>
    </i>
    <i>
      <x v="37"/>
    </i>
    <i>
      <x v="28"/>
    </i>
    <i>
      <x v="24"/>
    </i>
    <i>
      <x v="40"/>
    </i>
    <i>
      <x v="46"/>
    </i>
    <i>
      <x v="21"/>
    </i>
    <i>
      <x v="22"/>
    </i>
    <i>
      <x v="62"/>
    </i>
    <i>
      <x v="67"/>
    </i>
    <i>
      <x v="71"/>
    </i>
    <i>
      <x v="29"/>
    </i>
    <i>
      <x v="39"/>
    </i>
    <i>
      <x v="32"/>
    </i>
    <i>
      <x v="45"/>
    </i>
    <i>
      <x v="44"/>
    </i>
    <i>
      <x v="27"/>
    </i>
    <i>
      <x v="43"/>
    </i>
    <i>
      <x v="48"/>
    </i>
    <i>
      <x v="30"/>
    </i>
    <i>
      <x v="38"/>
    </i>
    <i>
      <x v="53"/>
    </i>
    <i>
      <x v="17"/>
    </i>
    <i>
      <x v="50"/>
    </i>
    <i>
      <x v="54"/>
    </i>
    <i>
      <x v="72"/>
    </i>
    <i>
      <x v="52"/>
    </i>
    <i>
      <x v="66"/>
    </i>
    <i>
      <x v="57"/>
    </i>
    <i>
      <x v="68"/>
    </i>
    <i>
      <x v="16"/>
    </i>
    <i>
      <x v="79"/>
    </i>
    <i>
      <x v="70"/>
    </i>
    <i>
      <x v="47"/>
    </i>
    <i>
      <x v="36"/>
    </i>
    <i>
      <x v="41"/>
    </i>
    <i>
      <x v="33"/>
    </i>
    <i>
      <x v="73"/>
    </i>
    <i>
      <x v="51"/>
    </i>
    <i>
      <x v="55"/>
    </i>
    <i>
      <x v="80"/>
    </i>
    <i>
      <x v="56"/>
    </i>
    <i>
      <x v="74"/>
    </i>
    <i>
      <x v="75"/>
    </i>
    <i>
      <x v="14"/>
    </i>
    <i t="grand">
      <x/>
    </i>
  </rowItems>
  <colItems count="1">
    <i/>
  </colItems>
  <dataFields count="1">
    <dataField name="Sum of Contract Price" fld="19" baseField="0" baseItem="0" numFmtId="4"/>
  </dataFields>
  <formats count="3">
    <format dxfId="2">
      <pivotArea collapsedLevelsAreSubtotals="1" fieldPosition="0">
        <references count="1">
          <reference field="26" count="1">
            <x v="0"/>
          </reference>
        </references>
      </pivotArea>
    </format>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A7C1E1-1EAF-4687-A503-14A1D5EB14BC}"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0" firstHeaderRow="1" firstDataRow="1" firstDataCol="1"/>
  <pivotFields count="67">
    <pivotField showAll="0"/>
    <pivotField showAll="0"/>
    <pivotField showAll="0"/>
    <pivotField showAll="0"/>
    <pivotField showAll="0"/>
    <pivotField showAll="0"/>
    <pivotField showAll="0"/>
    <pivotField showAll="0"/>
    <pivotField axis="axisRow" showAll="0" sortType="descending">
      <items count="9">
        <item x="2"/>
        <item x="1"/>
        <item x="3"/>
        <item x="5"/>
        <item x="4"/>
        <item x="0"/>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9">
    <i>
      <x/>
    </i>
    <i>
      <x v="1"/>
    </i>
    <i>
      <x v="3"/>
    </i>
    <i>
      <x v="2"/>
    </i>
    <i>
      <x v="5"/>
    </i>
    <i>
      <x v="4"/>
    </i>
    <i>
      <x v="6"/>
    </i>
    <i>
      <x v="7"/>
    </i>
    <i t="grand">
      <x/>
    </i>
  </rowItems>
  <colItems count="1">
    <i/>
  </colItems>
  <dataFields count="1">
    <dataField name="Sum of Contract Price"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 dockstate="right" visibility="0" width="525" row="4">
    <wetp:webextensionref xmlns:r="http://schemas.openxmlformats.org/officeDocument/2006/relationships" r:id="rId3"/>
  </wetp:taskpane>
</wetp:taskpanes>
</file>

<file path=xl/webextensions/webextension1.xml><?xml version="1.0" encoding="utf-8"?>
<we:webextension xmlns:we="http://schemas.microsoft.com/office/webextensions/webextension/2010/11" id="{CA4766D4-1CF5-4871-B507-45299E652012}">
  <we:reference id="wa200005502" version="1.0.0.11" store="en-US" storeType="OMEX"/>
  <we:alternateReferences>
    <we:reference id="wa200005502" version="1.0.0.11" store="wa200005502" storeType="OMEX"/>
  </we:alternateReferences>
  <we:properties>
    <we:property name="docId" value="&quot;Av0kApd-8jfseigTLs2rj&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3F2F455-59B2-4F3B-8AAB-E356C7BCEFF6}">
  <we:reference id="wa200005669" version="2.0.0.0" store="en-IN" storeType="OMEX"/>
  <we:alternateReferences>
    <we:reference id="WA200005669" version="2.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FB60C0FA-96AB-45B8-836F-75F2C6FB18BE}">
  <we:reference id="wa104380955" version="4.1.2.1" store="en-US" storeType="OMEX"/>
  <we:alternateReferences>
    <we:reference id="WA104380955" version="4.1.2.1" store=""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1BAB9-A307-44F9-9457-7888F4D9A28B}">
  <dimension ref="A1:E132"/>
  <sheetViews>
    <sheetView workbookViewId="0">
      <pane ySplit="1" topLeftCell="A50" activePane="bottomLeft" state="frozen"/>
      <selection pane="bottomLeft" activeCell="D54" sqref="D54"/>
    </sheetView>
  </sheetViews>
  <sheetFormatPr defaultColWidth="8.90625" defaultRowHeight="14.5" x14ac:dyDescent="0.35"/>
  <cols>
    <col min="1" max="1" width="21.6328125" style="38" bestFit="1" customWidth="1"/>
    <col min="2" max="2" width="28.08984375" style="39" customWidth="1"/>
    <col min="3" max="3" width="33.1796875" style="39" customWidth="1"/>
    <col min="4" max="4" width="12" style="40" bestFit="1" customWidth="1"/>
    <col min="5" max="5" width="16.6328125" style="41" customWidth="1"/>
    <col min="6" max="16384" width="8.90625" style="22"/>
  </cols>
  <sheetData>
    <row r="1" spans="1:5" s="29" customFormat="1" ht="18.5" x14ac:dyDescent="0.35">
      <c r="A1" s="5" t="s">
        <v>111</v>
      </c>
      <c r="B1" s="8" t="s">
        <v>113</v>
      </c>
      <c r="C1" s="8" t="s">
        <v>112</v>
      </c>
      <c r="D1" s="42" t="s">
        <v>147</v>
      </c>
      <c r="E1" s="43" t="s">
        <v>426</v>
      </c>
    </row>
    <row r="2" spans="1:5" ht="29" x14ac:dyDescent="0.35">
      <c r="A2" s="5" t="s">
        <v>961</v>
      </c>
      <c r="B2" s="8"/>
      <c r="C2" s="8" t="s">
        <v>1038</v>
      </c>
      <c r="D2" s="42">
        <v>9824559999</v>
      </c>
      <c r="E2" s="43"/>
    </row>
    <row r="3" spans="1:5" ht="29" x14ac:dyDescent="0.35">
      <c r="A3" s="5" t="s">
        <v>178</v>
      </c>
      <c r="B3" s="8"/>
      <c r="C3" s="8" t="s">
        <v>214</v>
      </c>
      <c r="D3" s="42">
        <v>8140303377</v>
      </c>
      <c r="E3" s="43"/>
    </row>
    <row r="4" spans="1:5" ht="58" x14ac:dyDescent="0.35">
      <c r="A4" s="5" t="s">
        <v>749</v>
      </c>
      <c r="B4" s="8"/>
      <c r="C4" s="8" t="s">
        <v>824</v>
      </c>
      <c r="D4" s="42">
        <v>9824351508</v>
      </c>
      <c r="E4" s="43" t="s">
        <v>315</v>
      </c>
    </row>
    <row r="5" spans="1:5" ht="29" x14ac:dyDescent="0.35">
      <c r="A5" s="5" t="s">
        <v>313</v>
      </c>
      <c r="B5" s="8"/>
      <c r="C5" s="8" t="s">
        <v>314</v>
      </c>
      <c r="D5" s="42">
        <v>9638310999</v>
      </c>
      <c r="E5" s="43"/>
    </row>
    <row r="6" spans="1:5" ht="43.5" x14ac:dyDescent="0.35">
      <c r="A6" s="5" t="s">
        <v>292</v>
      </c>
      <c r="B6" s="8" t="s">
        <v>292</v>
      </c>
      <c r="C6" s="8" t="s">
        <v>353</v>
      </c>
      <c r="D6" s="42">
        <v>9898775037</v>
      </c>
      <c r="E6" s="43"/>
    </row>
    <row r="7" spans="1:5" ht="29" x14ac:dyDescent="0.35">
      <c r="A7" s="5" t="s">
        <v>71</v>
      </c>
      <c r="B7" s="8"/>
      <c r="C7" s="8" t="s">
        <v>317</v>
      </c>
      <c r="D7" s="42">
        <v>9106563480</v>
      </c>
      <c r="E7" s="43"/>
    </row>
    <row r="8" spans="1:5" ht="29" x14ac:dyDescent="0.35">
      <c r="A8" s="5" t="s">
        <v>395</v>
      </c>
      <c r="B8" s="8" t="s">
        <v>482</v>
      </c>
      <c r="C8" s="8" t="s">
        <v>550</v>
      </c>
      <c r="D8" s="42">
        <v>9586762457</v>
      </c>
      <c r="E8" s="43"/>
    </row>
    <row r="9" spans="1:5" ht="29" x14ac:dyDescent="0.35">
      <c r="A9" s="5" t="s">
        <v>963</v>
      </c>
      <c r="B9" s="8"/>
      <c r="C9" s="8" t="s">
        <v>1037</v>
      </c>
      <c r="D9" s="42">
        <v>9624431801</v>
      </c>
      <c r="E9" s="43"/>
    </row>
    <row r="10" spans="1:5" ht="43.5" x14ac:dyDescent="0.35">
      <c r="A10" s="5" t="s">
        <v>196</v>
      </c>
      <c r="B10" s="8" t="s">
        <v>197</v>
      </c>
      <c r="C10" s="8" t="s">
        <v>461</v>
      </c>
      <c r="D10" s="42"/>
      <c r="E10" s="43"/>
    </row>
    <row r="11" spans="1:5" ht="43.5" x14ac:dyDescent="0.35">
      <c r="A11" s="5" t="s">
        <v>219</v>
      </c>
      <c r="B11" s="8" t="s">
        <v>220</v>
      </c>
      <c r="C11" s="8" t="s">
        <v>462</v>
      </c>
      <c r="D11" s="42">
        <v>9925448406</v>
      </c>
      <c r="E11" s="43"/>
    </row>
    <row r="12" spans="1:5" ht="43.5" x14ac:dyDescent="0.35">
      <c r="A12" s="5" t="s">
        <v>157</v>
      </c>
      <c r="B12" s="8"/>
      <c r="C12" s="8" t="s">
        <v>158</v>
      </c>
      <c r="D12" s="42">
        <v>9428003774</v>
      </c>
      <c r="E12" s="43"/>
    </row>
    <row r="13" spans="1:5" ht="29" x14ac:dyDescent="0.35">
      <c r="A13" s="5" t="s">
        <v>344</v>
      </c>
      <c r="B13" s="8"/>
      <c r="C13" s="8" t="s">
        <v>343</v>
      </c>
      <c r="D13" s="42">
        <v>9824837530</v>
      </c>
      <c r="E13" s="43"/>
    </row>
    <row r="14" spans="1:5" ht="43.5" x14ac:dyDescent="0.35">
      <c r="A14" s="5" t="s">
        <v>76</v>
      </c>
      <c r="B14" s="8" t="s">
        <v>152</v>
      </c>
      <c r="C14" s="8" t="s">
        <v>153</v>
      </c>
      <c r="D14" s="42">
        <v>9825315316</v>
      </c>
      <c r="E14" s="43"/>
    </row>
    <row r="15" spans="1:5" ht="43.5" x14ac:dyDescent="0.35">
      <c r="A15" s="5" t="s">
        <v>15</v>
      </c>
      <c r="B15" s="8" t="s">
        <v>146</v>
      </c>
      <c r="C15" s="8" t="s">
        <v>318</v>
      </c>
      <c r="D15" s="42">
        <v>9925448120</v>
      </c>
      <c r="E15" s="43"/>
    </row>
    <row r="16" spans="1:5" ht="29" x14ac:dyDescent="0.35">
      <c r="A16" s="5" t="s">
        <v>636</v>
      </c>
      <c r="B16" s="8" t="s">
        <v>764</v>
      </c>
      <c r="C16" s="8" t="s">
        <v>765</v>
      </c>
      <c r="D16" s="42">
        <v>9978990613</v>
      </c>
      <c r="E16" s="43"/>
    </row>
    <row r="17" spans="1:5" ht="43.5" x14ac:dyDescent="0.35">
      <c r="A17" s="5" t="s">
        <v>227</v>
      </c>
      <c r="B17" s="8"/>
      <c r="C17" s="8" t="s">
        <v>768</v>
      </c>
      <c r="D17" s="42">
        <v>8980580857</v>
      </c>
      <c r="E17" s="43"/>
    </row>
    <row r="18" spans="1:5" ht="29" x14ac:dyDescent="0.35">
      <c r="A18" s="5" t="s">
        <v>966</v>
      </c>
      <c r="B18" s="8"/>
      <c r="C18" s="8" t="s">
        <v>1042</v>
      </c>
      <c r="D18" s="42">
        <v>8000123928</v>
      </c>
      <c r="E18" s="43"/>
    </row>
    <row r="19" spans="1:5" ht="72.5" x14ac:dyDescent="0.35">
      <c r="A19" s="5" t="s">
        <v>396</v>
      </c>
      <c r="B19" s="8" t="s">
        <v>430</v>
      </c>
      <c r="C19" s="8" t="s">
        <v>429</v>
      </c>
      <c r="D19" s="42">
        <v>9824251035</v>
      </c>
      <c r="E19" s="43" t="s">
        <v>315</v>
      </c>
    </row>
    <row r="20" spans="1:5" ht="43.5" x14ac:dyDescent="0.35">
      <c r="A20" s="5" t="s">
        <v>22</v>
      </c>
      <c r="B20" s="8"/>
      <c r="C20" s="8" t="s">
        <v>319</v>
      </c>
      <c r="D20" s="42">
        <v>9824438828</v>
      </c>
      <c r="E20" s="43"/>
    </row>
    <row r="21" spans="1:5" ht="29" x14ac:dyDescent="0.35">
      <c r="A21" s="5" t="s">
        <v>298</v>
      </c>
      <c r="B21" s="8" t="s">
        <v>149</v>
      </c>
      <c r="C21" s="8" t="s">
        <v>320</v>
      </c>
      <c r="D21" s="42">
        <v>8780286268</v>
      </c>
      <c r="E21" s="43" t="s">
        <v>315</v>
      </c>
    </row>
    <row r="22" spans="1:5" ht="29" x14ac:dyDescent="0.35">
      <c r="A22" s="5" t="s">
        <v>955</v>
      </c>
      <c r="B22" s="8"/>
      <c r="C22" s="8" t="s">
        <v>1035</v>
      </c>
      <c r="D22" s="42">
        <v>9428454545</v>
      </c>
      <c r="E22" s="43"/>
    </row>
    <row r="23" spans="1:5" ht="29" x14ac:dyDescent="0.35">
      <c r="A23" s="5" t="s">
        <v>964</v>
      </c>
      <c r="B23" s="8"/>
      <c r="C23" s="8" t="s">
        <v>1039</v>
      </c>
      <c r="D23" s="42">
        <v>9879945876</v>
      </c>
      <c r="E23" s="43"/>
    </row>
    <row r="24" spans="1:5" ht="43.5" x14ac:dyDescent="0.35">
      <c r="A24" s="5" t="s">
        <v>411</v>
      </c>
      <c r="B24" s="8" t="s">
        <v>552</v>
      </c>
      <c r="C24" s="8" t="s">
        <v>553</v>
      </c>
      <c r="D24" s="42">
        <v>7405745505</v>
      </c>
      <c r="E24" s="43"/>
    </row>
    <row r="25" spans="1:5" ht="43.5" x14ac:dyDescent="0.35">
      <c r="A25" s="5" t="s">
        <v>1068</v>
      </c>
      <c r="B25" s="8"/>
      <c r="C25" s="8" t="s">
        <v>1069</v>
      </c>
      <c r="D25" s="42">
        <v>9409511301</v>
      </c>
      <c r="E25" s="43"/>
    </row>
    <row r="26" spans="1:5" ht="43.5" x14ac:dyDescent="0.35">
      <c r="A26" s="5" t="s">
        <v>180</v>
      </c>
      <c r="B26" s="8" t="s">
        <v>181</v>
      </c>
      <c r="C26" s="8" t="s">
        <v>215</v>
      </c>
      <c r="D26" s="42"/>
      <c r="E26" s="43"/>
    </row>
    <row r="27" spans="1:5" ht="29" x14ac:dyDescent="0.35">
      <c r="A27" s="5" t="s">
        <v>405</v>
      </c>
      <c r="B27" s="8" t="s">
        <v>551</v>
      </c>
      <c r="C27" s="8" t="s">
        <v>946</v>
      </c>
      <c r="D27" s="42">
        <v>9408131313</v>
      </c>
      <c r="E27" s="43"/>
    </row>
    <row r="28" spans="1:5" ht="43.5" x14ac:dyDescent="0.35">
      <c r="A28" s="5" t="s">
        <v>185</v>
      </c>
      <c r="B28" s="8" t="s">
        <v>186</v>
      </c>
      <c r="C28" s="8" t="s">
        <v>217</v>
      </c>
      <c r="D28" s="42"/>
      <c r="E28" s="43"/>
    </row>
    <row r="29" spans="1:5" ht="29" x14ac:dyDescent="0.35">
      <c r="A29" s="5" t="s">
        <v>393</v>
      </c>
      <c r="B29" s="8" t="s">
        <v>159</v>
      </c>
      <c r="C29" s="8" t="s">
        <v>578</v>
      </c>
      <c r="D29" s="42">
        <v>9998577523</v>
      </c>
      <c r="E29" s="43"/>
    </row>
    <row r="30" spans="1:5" ht="43.5" x14ac:dyDescent="0.35">
      <c r="A30" s="5" t="s">
        <v>414</v>
      </c>
      <c r="B30" s="8"/>
      <c r="C30" s="8" t="s">
        <v>424</v>
      </c>
      <c r="D30" s="42">
        <v>9737944545</v>
      </c>
      <c r="E30" s="43"/>
    </row>
    <row r="31" spans="1:5" ht="29" x14ac:dyDescent="0.35">
      <c r="A31" s="5" t="s">
        <v>398</v>
      </c>
      <c r="B31" s="8"/>
      <c r="C31" s="8" t="s">
        <v>579</v>
      </c>
      <c r="D31" s="42">
        <v>7698616111</v>
      </c>
      <c r="E31" s="43"/>
    </row>
    <row r="32" spans="1:5" ht="29" x14ac:dyDescent="0.35">
      <c r="A32" s="5" t="s">
        <v>170</v>
      </c>
      <c r="B32" s="8" t="s">
        <v>171</v>
      </c>
      <c r="C32" s="8" t="s">
        <v>463</v>
      </c>
      <c r="D32" s="42">
        <v>9426844701</v>
      </c>
      <c r="E32" s="43"/>
    </row>
    <row r="33" spans="1:5" ht="43.5" x14ac:dyDescent="0.35">
      <c r="A33" s="5" t="s">
        <v>642</v>
      </c>
      <c r="B33" s="8"/>
      <c r="C33" s="8" t="s">
        <v>769</v>
      </c>
      <c r="D33" s="42">
        <v>9898222122</v>
      </c>
      <c r="E33" s="43"/>
    </row>
    <row r="34" spans="1:5" ht="29" x14ac:dyDescent="0.35">
      <c r="A34" s="5" t="s">
        <v>145</v>
      </c>
      <c r="B34" s="8"/>
      <c r="C34" s="8" t="s">
        <v>209</v>
      </c>
      <c r="D34" s="42">
        <v>7573988808</v>
      </c>
      <c r="E34" s="43" t="s">
        <v>316</v>
      </c>
    </row>
    <row r="35" spans="1:5" ht="43.5" x14ac:dyDescent="0.35">
      <c r="A35" s="5" t="s">
        <v>407</v>
      </c>
      <c r="B35" s="8" t="s">
        <v>569</v>
      </c>
      <c r="C35" s="8" t="s">
        <v>622</v>
      </c>
      <c r="D35" s="42">
        <v>9979476626</v>
      </c>
      <c r="E35" s="43"/>
    </row>
    <row r="36" spans="1:5" ht="29" x14ac:dyDescent="0.35">
      <c r="A36" s="5" t="s">
        <v>408</v>
      </c>
      <c r="B36" s="8"/>
      <c r="C36" s="8" t="s">
        <v>575</v>
      </c>
      <c r="D36" s="42">
        <v>9510343132</v>
      </c>
      <c r="E36" s="43"/>
    </row>
    <row r="37" spans="1:5" ht="43.5" x14ac:dyDescent="0.35">
      <c r="A37" s="5" t="s">
        <v>142</v>
      </c>
      <c r="B37" s="8" t="s">
        <v>143</v>
      </c>
      <c r="C37" s="8" t="s">
        <v>464</v>
      </c>
      <c r="D37" s="42"/>
      <c r="E37" s="43"/>
    </row>
    <row r="38" spans="1:5" ht="29" x14ac:dyDescent="0.35">
      <c r="A38" s="5" t="s">
        <v>194</v>
      </c>
      <c r="B38" s="8" t="s">
        <v>195</v>
      </c>
      <c r="C38" s="8" t="s">
        <v>204</v>
      </c>
      <c r="D38" s="42"/>
      <c r="E38" s="43"/>
    </row>
    <row r="39" spans="1:5" ht="29" x14ac:dyDescent="0.35">
      <c r="A39" s="5" t="s">
        <v>858</v>
      </c>
      <c r="B39" s="8" t="s">
        <v>860</v>
      </c>
      <c r="C39" s="8" t="s">
        <v>859</v>
      </c>
      <c r="D39" s="42">
        <v>9824483166</v>
      </c>
      <c r="E39" s="43"/>
    </row>
    <row r="40" spans="1:5" ht="43.5" x14ac:dyDescent="0.35">
      <c r="A40" s="5" t="s">
        <v>402</v>
      </c>
      <c r="B40" s="8" t="s">
        <v>567</v>
      </c>
      <c r="C40" s="8" t="s">
        <v>566</v>
      </c>
      <c r="D40" s="42">
        <v>9574555050</v>
      </c>
      <c r="E40" s="43"/>
    </row>
    <row r="41" spans="1:5" ht="43.5" x14ac:dyDescent="0.35">
      <c r="A41" s="5" t="s">
        <v>956</v>
      </c>
      <c r="B41" s="8"/>
      <c r="C41" s="8" t="s">
        <v>1034</v>
      </c>
      <c r="D41" s="42">
        <v>7600355044</v>
      </c>
      <c r="E41" s="43"/>
    </row>
    <row r="42" spans="1:5" ht="29" x14ac:dyDescent="0.35">
      <c r="A42" s="5" t="s">
        <v>262</v>
      </c>
      <c r="B42" s="8" t="s">
        <v>341</v>
      </c>
      <c r="C42" s="8" t="s">
        <v>342</v>
      </c>
      <c r="D42" s="42">
        <v>8320411442</v>
      </c>
      <c r="E42" s="43"/>
    </row>
    <row r="43" spans="1:5" ht="29" x14ac:dyDescent="0.35">
      <c r="A43" s="5" t="s">
        <v>168</v>
      </c>
      <c r="B43" s="8" t="s">
        <v>169</v>
      </c>
      <c r="C43" s="8" t="s">
        <v>211</v>
      </c>
      <c r="D43" s="42">
        <v>8140411024</v>
      </c>
      <c r="E43" s="43"/>
    </row>
    <row r="44" spans="1:5" ht="43.5" x14ac:dyDescent="0.35">
      <c r="A44" s="5" t="s">
        <v>403</v>
      </c>
      <c r="B44" s="8" t="s">
        <v>560</v>
      </c>
      <c r="C44" s="8" t="s">
        <v>561</v>
      </c>
      <c r="D44" s="42">
        <v>9624751929</v>
      </c>
      <c r="E44" s="43"/>
    </row>
    <row r="45" spans="1:5" ht="43.5" x14ac:dyDescent="0.35">
      <c r="A45" s="5" t="s">
        <v>643</v>
      </c>
      <c r="B45" s="8"/>
      <c r="C45" s="8" t="s">
        <v>1056</v>
      </c>
      <c r="D45" s="42">
        <v>2782422236</v>
      </c>
      <c r="E45" s="43"/>
    </row>
    <row r="46" spans="1:5" ht="29" x14ac:dyDescent="0.35">
      <c r="A46" s="5" t="s">
        <v>873</v>
      </c>
      <c r="B46" s="8"/>
      <c r="C46" s="8" t="s">
        <v>902</v>
      </c>
      <c r="D46" s="42">
        <v>9537673951</v>
      </c>
      <c r="E46" s="43" t="s">
        <v>315</v>
      </c>
    </row>
    <row r="47" spans="1:5" ht="29" x14ac:dyDescent="0.35">
      <c r="A47" s="5" t="s">
        <v>404</v>
      </c>
      <c r="B47" s="8"/>
      <c r="C47" s="8" t="s">
        <v>428</v>
      </c>
      <c r="D47" s="42">
        <v>9016414291</v>
      </c>
      <c r="E47" s="43"/>
    </row>
    <row r="48" spans="1:5" ht="72.5" x14ac:dyDescent="0.35">
      <c r="A48" s="5" t="s">
        <v>165</v>
      </c>
      <c r="B48" s="8" t="s">
        <v>166</v>
      </c>
      <c r="C48" s="8" t="s">
        <v>453</v>
      </c>
      <c r="D48" s="42">
        <v>9016319324</v>
      </c>
      <c r="E48" s="43" t="s">
        <v>315</v>
      </c>
    </row>
    <row r="49" spans="1:5" ht="43.5" x14ac:dyDescent="0.35">
      <c r="A49" s="5" t="s">
        <v>930</v>
      </c>
      <c r="B49" s="8"/>
      <c r="C49" s="8" t="s">
        <v>934</v>
      </c>
      <c r="D49" s="42">
        <v>9904952806</v>
      </c>
      <c r="E49" s="43"/>
    </row>
    <row r="50" spans="1:5" ht="29" x14ac:dyDescent="0.35">
      <c r="A50" s="5" t="s">
        <v>412</v>
      </c>
      <c r="B50" s="8"/>
      <c r="C50" s="8" t="s">
        <v>572</v>
      </c>
      <c r="D50" s="42">
        <v>9537101694</v>
      </c>
      <c r="E50" s="43" t="s">
        <v>316</v>
      </c>
    </row>
    <row r="51" spans="1:5" ht="29" x14ac:dyDescent="0.35">
      <c r="A51" s="5" t="s">
        <v>192</v>
      </c>
      <c r="B51" s="8"/>
      <c r="C51" s="8" t="s">
        <v>206</v>
      </c>
      <c r="D51" s="42"/>
      <c r="E51" s="43"/>
    </row>
    <row r="52" spans="1:5" ht="43.5" x14ac:dyDescent="0.35">
      <c r="A52" s="5" t="s">
        <v>406</v>
      </c>
      <c r="B52" s="5" t="s">
        <v>406</v>
      </c>
      <c r="C52" s="8" t="s">
        <v>479</v>
      </c>
      <c r="D52" s="42">
        <v>8905890589</v>
      </c>
      <c r="E52" s="43"/>
    </row>
    <row r="53" spans="1:5" ht="43.5" x14ac:dyDescent="0.35">
      <c r="A53" s="5" t="s">
        <v>80</v>
      </c>
      <c r="B53" s="8" t="s">
        <v>167</v>
      </c>
      <c r="C53" s="8" t="s">
        <v>460</v>
      </c>
      <c r="D53" s="42">
        <v>9925209999</v>
      </c>
      <c r="E53" s="43"/>
    </row>
    <row r="54" spans="1:5" ht="29" x14ac:dyDescent="0.35">
      <c r="A54" s="5" t="s">
        <v>1124</v>
      </c>
      <c r="B54" s="8"/>
      <c r="C54" s="8" t="s">
        <v>1125</v>
      </c>
      <c r="D54" s="42">
        <v>8140888999</v>
      </c>
      <c r="E54" s="43"/>
    </row>
    <row r="55" spans="1:5" ht="43.5" x14ac:dyDescent="0.35">
      <c r="A55" s="5" t="s">
        <v>1121</v>
      </c>
      <c r="B55" s="8" t="s">
        <v>167</v>
      </c>
      <c r="C55" s="8" t="s">
        <v>460</v>
      </c>
      <c r="D55" s="42">
        <v>9925209999</v>
      </c>
      <c r="E55" s="43"/>
    </row>
    <row r="56" spans="1:5" ht="29" x14ac:dyDescent="0.35">
      <c r="A56" s="5" t="s">
        <v>150</v>
      </c>
      <c r="B56" s="8" t="s">
        <v>151</v>
      </c>
      <c r="C56" s="8" t="s">
        <v>788</v>
      </c>
      <c r="D56" s="42">
        <v>9537167600</v>
      </c>
      <c r="E56" s="43"/>
    </row>
    <row r="57" spans="1:5" ht="29" x14ac:dyDescent="0.35">
      <c r="A57" s="5" t="s">
        <v>187</v>
      </c>
      <c r="B57" s="8" t="s">
        <v>187</v>
      </c>
      <c r="C57" s="8" t="s">
        <v>465</v>
      </c>
      <c r="D57" s="42"/>
      <c r="E57" s="43"/>
    </row>
    <row r="58" spans="1:5" ht="43.5" x14ac:dyDescent="0.35">
      <c r="A58" s="5" t="s">
        <v>189</v>
      </c>
      <c r="B58" s="8"/>
      <c r="C58" s="8" t="s">
        <v>218</v>
      </c>
      <c r="D58" s="42"/>
      <c r="E58" s="43"/>
    </row>
    <row r="59" spans="1:5" ht="29" x14ac:dyDescent="0.35">
      <c r="A59" s="5" t="s">
        <v>162</v>
      </c>
      <c r="B59" s="8"/>
      <c r="C59" s="8" t="s">
        <v>321</v>
      </c>
      <c r="D59" s="42">
        <v>9825038509</v>
      </c>
      <c r="E59" s="43"/>
    </row>
    <row r="60" spans="1:5" ht="29" x14ac:dyDescent="0.35">
      <c r="A60" s="5" t="s">
        <v>384</v>
      </c>
      <c r="B60" s="8"/>
      <c r="C60" s="8" t="s">
        <v>691</v>
      </c>
      <c r="D60" s="42">
        <v>9979347794</v>
      </c>
      <c r="E60" s="43"/>
    </row>
    <row r="61" spans="1:5" ht="43.5" x14ac:dyDescent="0.35">
      <c r="A61" s="5" t="s">
        <v>867</v>
      </c>
      <c r="B61" s="8"/>
      <c r="C61" s="8" t="s">
        <v>897</v>
      </c>
      <c r="D61" s="42">
        <v>9429640652</v>
      </c>
      <c r="E61" s="43"/>
    </row>
    <row r="62" spans="1:5" ht="29" x14ac:dyDescent="0.35">
      <c r="A62" s="5" t="s">
        <v>294</v>
      </c>
      <c r="B62" s="8"/>
      <c r="C62" s="8" t="s">
        <v>345</v>
      </c>
      <c r="D62" s="42">
        <v>9099381567</v>
      </c>
      <c r="E62" s="43"/>
    </row>
    <row r="63" spans="1:5" ht="43.5" x14ac:dyDescent="0.35">
      <c r="A63" s="5" t="s">
        <v>409</v>
      </c>
      <c r="B63" s="8" t="s">
        <v>555</v>
      </c>
      <c r="C63" s="8" t="s">
        <v>554</v>
      </c>
      <c r="D63" s="42">
        <v>7069196333</v>
      </c>
      <c r="E63" s="43"/>
    </row>
    <row r="64" spans="1:5" ht="43.5" x14ac:dyDescent="0.35">
      <c r="A64" s="5" t="s">
        <v>163</v>
      </c>
      <c r="B64" s="8" t="s">
        <v>163</v>
      </c>
      <c r="C64" s="8" t="s">
        <v>466</v>
      </c>
      <c r="D64" s="42"/>
      <c r="E64" s="43"/>
    </row>
    <row r="65" spans="1:5" ht="43.5" x14ac:dyDescent="0.35">
      <c r="A65" s="5" t="s">
        <v>962</v>
      </c>
      <c r="B65" s="8"/>
      <c r="C65" s="8" t="s">
        <v>1043</v>
      </c>
      <c r="D65" s="42">
        <v>9879668243</v>
      </c>
      <c r="E65" s="43"/>
    </row>
    <row r="66" spans="1:5" x14ac:dyDescent="0.35">
      <c r="A66" s="5" t="s">
        <v>19</v>
      </c>
      <c r="B66" s="8"/>
      <c r="C66" s="8"/>
      <c r="D66" s="42"/>
      <c r="E66" s="43"/>
    </row>
    <row r="67" spans="1:5" ht="29" x14ac:dyDescent="0.35">
      <c r="A67" s="5" t="s">
        <v>602</v>
      </c>
      <c r="B67" s="8" t="s">
        <v>603</v>
      </c>
      <c r="C67" s="8" t="s">
        <v>604</v>
      </c>
      <c r="D67" s="42">
        <v>9712641067</v>
      </c>
      <c r="E67" s="43"/>
    </row>
    <row r="68" spans="1:5" ht="29" x14ac:dyDescent="0.35">
      <c r="A68" s="5" t="s">
        <v>959</v>
      </c>
      <c r="B68" s="8"/>
      <c r="C68" s="8" t="s">
        <v>1040</v>
      </c>
      <c r="D68" s="42">
        <v>9099444525</v>
      </c>
      <c r="E68" s="43"/>
    </row>
    <row r="69" spans="1:5" ht="29" x14ac:dyDescent="0.35">
      <c r="A69" s="5" t="s">
        <v>159</v>
      </c>
      <c r="B69" s="8"/>
      <c r="C69" s="8" t="s">
        <v>322</v>
      </c>
      <c r="D69" s="42">
        <v>9998577523</v>
      </c>
      <c r="E69" s="43"/>
    </row>
    <row r="70" spans="1:5" ht="43.5" x14ac:dyDescent="0.35">
      <c r="A70" s="5" t="s">
        <v>14</v>
      </c>
      <c r="B70" s="8" t="s">
        <v>114</v>
      </c>
      <c r="C70" s="8" t="s">
        <v>208</v>
      </c>
      <c r="D70" s="42">
        <v>9427511001</v>
      </c>
      <c r="E70" s="43"/>
    </row>
    <row r="71" spans="1:5" ht="43.5" x14ac:dyDescent="0.35">
      <c r="A71" s="5" t="s">
        <v>410</v>
      </c>
      <c r="B71" s="8"/>
      <c r="C71" s="8" t="s">
        <v>570</v>
      </c>
      <c r="D71" s="42">
        <v>9427233858</v>
      </c>
      <c r="E71" s="43"/>
    </row>
    <row r="72" spans="1:5" ht="43.5" x14ac:dyDescent="0.35">
      <c r="A72" s="5" t="s">
        <v>957</v>
      </c>
      <c r="B72" s="8"/>
      <c r="C72" s="8" t="s">
        <v>570</v>
      </c>
      <c r="D72" s="42">
        <v>9427233858</v>
      </c>
      <c r="E72" s="43"/>
    </row>
    <row r="73" spans="1:5" ht="43.5" x14ac:dyDescent="0.35">
      <c r="A73" s="5" t="s">
        <v>400</v>
      </c>
      <c r="B73" s="5" t="s">
        <v>559</v>
      </c>
      <c r="C73" s="8" t="s">
        <v>558</v>
      </c>
      <c r="D73" s="42">
        <v>7990934709</v>
      </c>
      <c r="E73" s="43" t="s">
        <v>316</v>
      </c>
    </row>
    <row r="74" spans="1:5" ht="29" x14ac:dyDescent="0.35">
      <c r="A74" s="5" t="s">
        <v>871</v>
      </c>
      <c r="B74" s="8"/>
      <c r="C74" s="8" t="s">
        <v>900</v>
      </c>
      <c r="D74" s="42">
        <v>7990014980</v>
      </c>
      <c r="E74" s="43" t="s">
        <v>315</v>
      </c>
    </row>
    <row r="75" spans="1:5" ht="43.5" x14ac:dyDescent="0.35">
      <c r="A75" s="5" t="s">
        <v>155</v>
      </c>
      <c r="B75" s="8" t="s">
        <v>156</v>
      </c>
      <c r="C75" s="8" t="s">
        <v>857</v>
      </c>
      <c r="D75" s="42">
        <v>9428857071</v>
      </c>
      <c r="E75" s="43" t="s">
        <v>315</v>
      </c>
    </row>
    <row r="76" spans="1:5" ht="58" x14ac:dyDescent="0.35">
      <c r="A76" s="5" t="s">
        <v>70</v>
      </c>
      <c r="B76" s="8"/>
      <c r="C76" s="8" t="s">
        <v>467</v>
      </c>
      <c r="D76" s="42">
        <v>7984290006</v>
      </c>
      <c r="E76" s="43" t="s">
        <v>315</v>
      </c>
    </row>
    <row r="77" spans="1:5" ht="43.5" x14ac:dyDescent="0.35">
      <c r="A77" s="5" t="s">
        <v>79</v>
      </c>
      <c r="B77" s="8"/>
      <c r="C77" s="8" t="s">
        <v>148</v>
      </c>
      <c r="D77" s="42">
        <v>9825220799</v>
      </c>
      <c r="E77" s="43" t="s">
        <v>315</v>
      </c>
    </row>
    <row r="78" spans="1:5" ht="29" x14ac:dyDescent="0.35">
      <c r="A78" s="5" t="s">
        <v>190</v>
      </c>
      <c r="B78" s="8" t="s">
        <v>894</v>
      </c>
      <c r="C78" s="8" t="s">
        <v>895</v>
      </c>
      <c r="D78" s="42">
        <v>7878212124</v>
      </c>
      <c r="E78" s="43" t="s">
        <v>315</v>
      </c>
    </row>
    <row r="79" spans="1:5" ht="29" x14ac:dyDescent="0.35">
      <c r="A79" s="5" t="s">
        <v>190</v>
      </c>
      <c r="B79" s="8"/>
      <c r="C79" s="8" t="s">
        <v>468</v>
      </c>
      <c r="D79" s="42"/>
      <c r="E79" s="43" t="s">
        <v>315</v>
      </c>
    </row>
    <row r="80" spans="1:5" ht="43.5" x14ac:dyDescent="0.35">
      <c r="A80" s="5" t="s">
        <v>638</v>
      </c>
      <c r="B80" s="8"/>
      <c r="C80" s="8" t="s">
        <v>757</v>
      </c>
      <c r="D80" s="42">
        <v>7984929295</v>
      </c>
      <c r="E80" s="43" t="s">
        <v>315</v>
      </c>
    </row>
    <row r="81" spans="1:5" ht="29" x14ac:dyDescent="0.35">
      <c r="A81" s="5" t="s">
        <v>635</v>
      </c>
      <c r="B81" s="8"/>
      <c r="C81" s="8" t="s">
        <v>759</v>
      </c>
      <c r="D81" s="42">
        <v>9825149802</v>
      </c>
      <c r="E81" s="43" t="s">
        <v>315</v>
      </c>
    </row>
    <row r="82" spans="1:5" ht="29" x14ac:dyDescent="0.35">
      <c r="A82" s="5" t="s">
        <v>401</v>
      </c>
      <c r="B82" s="8" t="s">
        <v>600</v>
      </c>
      <c r="C82" s="8" t="s">
        <v>767</v>
      </c>
      <c r="D82" s="42">
        <v>9727220227</v>
      </c>
      <c r="E82" s="43" t="s">
        <v>425</v>
      </c>
    </row>
    <row r="83" spans="1:5" ht="29" x14ac:dyDescent="0.35">
      <c r="A83" s="5" t="s">
        <v>630</v>
      </c>
      <c r="B83" s="8"/>
      <c r="C83" s="8" t="s">
        <v>760</v>
      </c>
      <c r="D83" s="42"/>
      <c r="E83" s="43" t="s">
        <v>316</v>
      </c>
    </row>
    <row r="84" spans="1:5" ht="29" x14ac:dyDescent="0.35">
      <c r="A84" s="5" t="s">
        <v>875</v>
      </c>
      <c r="B84" s="8"/>
      <c r="C84" s="8" t="s">
        <v>901</v>
      </c>
      <c r="D84" s="42">
        <v>9106055314</v>
      </c>
      <c r="E84" s="43" t="s">
        <v>315</v>
      </c>
    </row>
    <row r="85" spans="1:5" ht="43.5" x14ac:dyDescent="0.35">
      <c r="A85" s="5" t="s">
        <v>397</v>
      </c>
      <c r="B85" s="8" t="s">
        <v>577</v>
      </c>
      <c r="C85" s="8" t="s">
        <v>576</v>
      </c>
      <c r="D85" s="42">
        <v>9909950650</v>
      </c>
      <c r="E85" s="43" t="s">
        <v>315</v>
      </c>
    </row>
    <row r="86" spans="1:5" ht="29" x14ac:dyDescent="0.35">
      <c r="A86" s="5" t="s">
        <v>193</v>
      </c>
      <c r="B86" s="8"/>
      <c r="C86" s="8" t="s">
        <v>205</v>
      </c>
      <c r="D86" s="42"/>
      <c r="E86" s="43"/>
    </row>
    <row r="87" spans="1:5" ht="29" x14ac:dyDescent="0.35">
      <c r="A87" s="5" t="s">
        <v>174</v>
      </c>
      <c r="B87" s="8" t="s">
        <v>188</v>
      </c>
      <c r="C87" s="8" t="s">
        <v>213</v>
      </c>
      <c r="D87" s="42">
        <v>9510897273</v>
      </c>
      <c r="E87" s="43"/>
    </row>
    <row r="88" spans="1:5" ht="29" x14ac:dyDescent="0.35">
      <c r="A88" s="5" t="s">
        <v>954</v>
      </c>
      <c r="B88" s="8"/>
      <c r="C88" s="8" t="s">
        <v>1033</v>
      </c>
      <c r="D88" s="42">
        <v>8999898996</v>
      </c>
      <c r="E88" s="43"/>
    </row>
    <row r="89" spans="1:5" ht="43.5" x14ac:dyDescent="0.35">
      <c r="A89" s="5" t="s">
        <v>160</v>
      </c>
      <c r="B89" s="8"/>
      <c r="C89" s="8" t="s">
        <v>161</v>
      </c>
      <c r="D89" s="42"/>
      <c r="E89" s="43"/>
    </row>
    <row r="90" spans="1:5" ht="29" x14ac:dyDescent="0.35">
      <c r="A90" s="5" t="s">
        <v>225</v>
      </c>
      <c r="B90" s="8"/>
      <c r="C90" s="8" t="s">
        <v>333</v>
      </c>
      <c r="D90" s="42">
        <v>7600749191</v>
      </c>
      <c r="E90" s="43"/>
    </row>
    <row r="91" spans="1:5" ht="29" x14ac:dyDescent="0.35">
      <c r="A91" s="5" t="s">
        <v>287</v>
      </c>
      <c r="B91" s="8" t="s">
        <v>287</v>
      </c>
      <c r="C91" s="8" t="s">
        <v>352</v>
      </c>
      <c r="D91" s="42">
        <v>8866209297</v>
      </c>
      <c r="E91" s="43"/>
    </row>
    <row r="92" spans="1:5" ht="58" x14ac:dyDescent="0.35">
      <c r="A92" s="5" t="s">
        <v>1104</v>
      </c>
      <c r="B92" s="8"/>
      <c r="C92" s="8" t="s">
        <v>1115</v>
      </c>
      <c r="D92" s="42">
        <v>9722525712</v>
      </c>
      <c r="E92" s="43"/>
    </row>
    <row r="93" spans="1:5" ht="43.5" x14ac:dyDescent="0.35">
      <c r="A93" s="5" t="s">
        <v>199</v>
      </c>
      <c r="B93" s="8" t="s">
        <v>200</v>
      </c>
      <c r="C93" s="8" t="s">
        <v>203</v>
      </c>
      <c r="D93" s="42"/>
      <c r="E93" s="43"/>
    </row>
    <row r="94" spans="1:5" ht="43.5" x14ac:dyDescent="0.35">
      <c r="A94" s="5" t="s">
        <v>958</v>
      </c>
      <c r="B94" s="8"/>
      <c r="C94" s="8" t="s">
        <v>1041</v>
      </c>
      <c r="D94" s="42">
        <v>9870021313</v>
      </c>
      <c r="E94" s="43" t="s">
        <v>315</v>
      </c>
    </row>
    <row r="95" spans="1:5" ht="43.5" x14ac:dyDescent="0.35">
      <c r="A95" s="5" t="s">
        <v>702</v>
      </c>
      <c r="B95" s="8"/>
      <c r="C95" s="8" t="s">
        <v>571</v>
      </c>
      <c r="D95" s="42"/>
      <c r="E95" s="43" t="s">
        <v>315</v>
      </c>
    </row>
    <row r="96" spans="1:5" ht="43.5" x14ac:dyDescent="0.35">
      <c r="A96" s="5" t="s">
        <v>201</v>
      </c>
      <c r="B96" s="8" t="s">
        <v>221</v>
      </c>
      <c r="C96" s="8" t="s">
        <v>202</v>
      </c>
      <c r="D96" s="42"/>
      <c r="E96" s="43" t="s">
        <v>316</v>
      </c>
    </row>
    <row r="97" spans="1:5" ht="43.5" x14ac:dyDescent="0.35">
      <c r="A97" s="5" t="s">
        <v>175</v>
      </c>
      <c r="B97" s="8" t="s">
        <v>176</v>
      </c>
      <c r="C97" s="8" t="s">
        <v>469</v>
      </c>
      <c r="D97" s="42"/>
      <c r="E97" s="43" t="s">
        <v>315</v>
      </c>
    </row>
    <row r="98" spans="1:5" ht="29" x14ac:dyDescent="0.35">
      <c r="A98" s="5" t="s">
        <v>191</v>
      </c>
      <c r="B98" s="8"/>
      <c r="C98" s="8" t="s">
        <v>207</v>
      </c>
      <c r="D98" s="42"/>
      <c r="E98" s="43" t="s">
        <v>315</v>
      </c>
    </row>
    <row r="99" spans="1:5" ht="29" x14ac:dyDescent="0.35">
      <c r="A99" s="5" t="s">
        <v>279</v>
      </c>
      <c r="B99" s="8" t="s">
        <v>348</v>
      </c>
      <c r="C99" s="8" t="s">
        <v>347</v>
      </c>
      <c r="D99" s="42">
        <v>9828109453</v>
      </c>
      <c r="E99" s="43" t="s">
        <v>315</v>
      </c>
    </row>
    <row r="100" spans="1:5" ht="43.5" x14ac:dyDescent="0.35">
      <c r="A100" s="5" t="s">
        <v>18</v>
      </c>
      <c r="B100" s="8"/>
      <c r="C100" s="8" t="s">
        <v>323</v>
      </c>
      <c r="D100" s="42">
        <v>9925888787</v>
      </c>
      <c r="E100" s="43" t="s">
        <v>315</v>
      </c>
    </row>
    <row r="101" spans="1:5" ht="29" x14ac:dyDescent="0.35">
      <c r="A101" s="5" t="s">
        <v>633</v>
      </c>
      <c r="B101" s="8" t="s">
        <v>762</v>
      </c>
      <c r="C101" s="8" t="s">
        <v>763</v>
      </c>
      <c r="D101" s="42">
        <v>7405505555</v>
      </c>
      <c r="E101" s="43" t="s">
        <v>315</v>
      </c>
    </row>
    <row r="102" spans="1:5" ht="29" x14ac:dyDescent="0.35">
      <c r="A102" s="5" t="s">
        <v>637</v>
      </c>
      <c r="B102" s="8" t="s">
        <v>758</v>
      </c>
      <c r="C102" s="8" t="s">
        <v>810</v>
      </c>
      <c r="D102" s="42">
        <v>9426959999</v>
      </c>
      <c r="E102" s="43"/>
    </row>
    <row r="103" spans="1:5" ht="29" x14ac:dyDescent="0.35">
      <c r="A103" s="5" t="s">
        <v>870</v>
      </c>
      <c r="B103" s="8" t="s">
        <v>898</v>
      </c>
      <c r="C103" s="8" t="s">
        <v>899</v>
      </c>
      <c r="D103" s="42">
        <v>9773408044</v>
      </c>
      <c r="E103" s="43"/>
    </row>
    <row r="104" spans="1:5" ht="58" x14ac:dyDescent="0.35">
      <c r="A104" s="5" t="s">
        <v>1058</v>
      </c>
      <c r="B104" s="8"/>
      <c r="C104" s="8" t="s">
        <v>1059</v>
      </c>
      <c r="D104" s="42">
        <v>9825133885</v>
      </c>
      <c r="E104" s="43"/>
    </row>
    <row r="105" spans="1:5" ht="29" x14ac:dyDescent="0.35">
      <c r="A105" s="5" t="s">
        <v>629</v>
      </c>
      <c r="B105" s="8"/>
      <c r="C105" s="8" t="s">
        <v>761</v>
      </c>
      <c r="D105" s="42">
        <v>9825325757</v>
      </c>
      <c r="E105" s="43"/>
    </row>
    <row r="106" spans="1:5" ht="43.5" x14ac:dyDescent="0.35">
      <c r="A106" s="5" t="s">
        <v>750</v>
      </c>
      <c r="B106" s="8"/>
      <c r="C106" s="8" t="s">
        <v>786</v>
      </c>
      <c r="D106" s="42">
        <v>9924545558</v>
      </c>
      <c r="E106" s="43" t="s">
        <v>315</v>
      </c>
    </row>
    <row r="107" spans="1:5" ht="43.5" x14ac:dyDescent="0.35">
      <c r="A107" s="5" t="s">
        <v>164</v>
      </c>
      <c r="B107" s="8"/>
      <c r="C107" s="8" t="s">
        <v>210</v>
      </c>
      <c r="D107" s="42">
        <v>9722223237</v>
      </c>
      <c r="E107" s="43"/>
    </row>
    <row r="108" spans="1:5" ht="43.5" x14ac:dyDescent="0.35">
      <c r="A108" s="5" t="s">
        <v>751</v>
      </c>
      <c r="B108" s="8"/>
      <c r="C108" s="8" t="s">
        <v>833</v>
      </c>
      <c r="D108" s="42">
        <v>9913252525</v>
      </c>
      <c r="E108" s="43"/>
    </row>
    <row r="109" spans="1:5" ht="29" x14ac:dyDescent="0.35">
      <c r="A109" s="5" t="s">
        <v>392</v>
      </c>
      <c r="B109" s="8" t="s">
        <v>563</v>
      </c>
      <c r="C109" s="8" t="s">
        <v>562</v>
      </c>
      <c r="D109" s="42">
        <v>9825445121</v>
      </c>
      <c r="E109" s="43"/>
    </row>
    <row r="110" spans="1:5" ht="58" x14ac:dyDescent="0.35">
      <c r="A110" s="5" t="s">
        <v>172</v>
      </c>
      <c r="B110" s="8"/>
      <c r="C110" s="8" t="s">
        <v>324</v>
      </c>
      <c r="D110" s="42">
        <v>9712887296</v>
      </c>
      <c r="E110" s="43"/>
    </row>
    <row r="111" spans="1:5" ht="43.5" x14ac:dyDescent="0.35">
      <c r="A111" s="5" t="s">
        <v>63</v>
      </c>
      <c r="B111" s="8"/>
      <c r="C111" s="8" t="s">
        <v>325</v>
      </c>
      <c r="D111" s="42">
        <v>9426450843</v>
      </c>
      <c r="E111" s="43" t="s">
        <v>568</v>
      </c>
    </row>
    <row r="112" spans="1:5" ht="43.5" x14ac:dyDescent="0.35">
      <c r="A112" s="5" t="s">
        <v>960</v>
      </c>
      <c r="B112" s="8"/>
      <c r="C112" s="8" t="s">
        <v>1030</v>
      </c>
      <c r="D112" s="42">
        <v>7069881399</v>
      </c>
      <c r="E112" s="43" t="s">
        <v>316</v>
      </c>
    </row>
    <row r="113" spans="1:5" ht="29" x14ac:dyDescent="0.35">
      <c r="A113" s="5" t="s">
        <v>183</v>
      </c>
      <c r="B113" s="8" t="s">
        <v>184</v>
      </c>
      <c r="C113" s="8" t="s">
        <v>216</v>
      </c>
      <c r="D113" s="42">
        <v>9328564566</v>
      </c>
      <c r="E113" s="43" t="s">
        <v>315</v>
      </c>
    </row>
    <row r="114" spans="1:5" ht="43.5" x14ac:dyDescent="0.35">
      <c r="A114" s="5" t="s">
        <v>5</v>
      </c>
      <c r="B114" s="8" t="s">
        <v>144</v>
      </c>
      <c r="C114" s="8" t="s">
        <v>326</v>
      </c>
      <c r="D114" s="42">
        <v>9377666263</v>
      </c>
      <c r="E114" s="43"/>
    </row>
    <row r="115" spans="1:5" ht="43.5" x14ac:dyDescent="0.35">
      <c r="A115" s="5" t="s">
        <v>382</v>
      </c>
      <c r="B115" s="8"/>
      <c r="C115" s="8" t="s">
        <v>717</v>
      </c>
      <c r="D115" s="42">
        <v>9409511301</v>
      </c>
      <c r="E115" s="43" t="s">
        <v>315</v>
      </c>
    </row>
    <row r="116" spans="1:5" ht="43.5" x14ac:dyDescent="0.35">
      <c r="A116" s="5" t="s">
        <v>753</v>
      </c>
      <c r="B116" s="8"/>
      <c r="C116" s="8" t="s">
        <v>785</v>
      </c>
      <c r="D116" s="42"/>
      <c r="E116" s="43" t="s">
        <v>315</v>
      </c>
    </row>
    <row r="117" spans="1:5" ht="29" x14ac:dyDescent="0.35">
      <c r="A117" s="5" t="s">
        <v>399</v>
      </c>
      <c r="B117" s="8" t="s">
        <v>556</v>
      </c>
      <c r="C117" s="8" t="s">
        <v>557</v>
      </c>
      <c r="D117" s="42">
        <v>9727987777</v>
      </c>
      <c r="E117" s="43" t="s">
        <v>315</v>
      </c>
    </row>
    <row r="118" spans="1:5" ht="43.5" x14ac:dyDescent="0.35">
      <c r="A118" s="5" t="s">
        <v>415</v>
      </c>
      <c r="B118" s="8" t="s">
        <v>422</v>
      </c>
      <c r="C118" s="8" t="s">
        <v>423</v>
      </c>
      <c r="D118" s="42">
        <v>9662631888</v>
      </c>
      <c r="E118" s="43" t="s">
        <v>315</v>
      </c>
    </row>
    <row r="119" spans="1:5" ht="43.5" x14ac:dyDescent="0.35">
      <c r="A119" s="5" t="s">
        <v>281</v>
      </c>
      <c r="B119" s="8" t="s">
        <v>350</v>
      </c>
      <c r="C119" s="8" t="s">
        <v>349</v>
      </c>
      <c r="D119" s="42">
        <v>9824226646</v>
      </c>
      <c r="E119" s="43"/>
    </row>
    <row r="120" spans="1:5" ht="29" x14ac:dyDescent="0.35">
      <c r="A120" s="5" t="s">
        <v>311</v>
      </c>
      <c r="B120" s="8"/>
      <c r="C120" s="8" t="s">
        <v>312</v>
      </c>
      <c r="D120" s="42">
        <v>9825209897</v>
      </c>
      <c r="E120" s="43"/>
    </row>
    <row r="121" spans="1:5" ht="43.5" x14ac:dyDescent="0.35">
      <c r="A121" s="5" t="s">
        <v>16</v>
      </c>
      <c r="B121" s="8" t="s">
        <v>198</v>
      </c>
      <c r="C121" s="8" t="s">
        <v>470</v>
      </c>
      <c r="D121" s="42">
        <v>9824489393</v>
      </c>
      <c r="E121" s="43"/>
    </row>
    <row r="122" spans="1:5" ht="29" x14ac:dyDescent="0.35">
      <c r="A122" s="5" t="s">
        <v>618</v>
      </c>
      <c r="B122" s="8"/>
      <c r="C122" s="8" t="s">
        <v>621</v>
      </c>
      <c r="D122" s="42">
        <v>9723355852</v>
      </c>
      <c r="E122" s="43" t="s">
        <v>315</v>
      </c>
    </row>
    <row r="123" spans="1:5" ht="43.5" x14ac:dyDescent="0.35">
      <c r="A123" s="5" t="s">
        <v>17</v>
      </c>
      <c r="B123" s="8" t="s">
        <v>346</v>
      </c>
      <c r="C123" s="8" t="s">
        <v>140</v>
      </c>
      <c r="D123" s="42">
        <v>6352432868</v>
      </c>
      <c r="E123" s="43"/>
    </row>
    <row r="124" spans="1:5" ht="29" x14ac:dyDescent="0.35">
      <c r="A124" s="5" t="s">
        <v>182</v>
      </c>
      <c r="B124" s="8"/>
      <c r="C124" s="8" t="s">
        <v>327</v>
      </c>
      <c r="D124" s="42">
        <v>9427110611</v>
      </c>
      <c r="E124" s="43"/>
    </row>
    <row r="125" spans="1:5" ht="43.5" x14ac:dyDescent="0.35">
      <c r="A125" s="5" t="s">
        <v>394</v>
      </c>
      <c r="B125" s="8" t="s">
        <v>564</v>
      </c>
      <c r="C125" s="8" t="s">
        <v>427</v>
      </c>
      <c r="D125" s="42">
        <v>9067752267</v>
      </c>
      <c r="E125" s="43" t="s">
        <v>315</v>
      </c>
    </row>
    <row r="126" spans="1:5" ht="29" x14ac:dyDescent="0.35">
      <c r="A126" s="5" t="s">
        <v>173</v>
      </c>
      <c r="B126" s="8" t="s">
        <v>565</v>
      </c>
      <c r="C126" s="8" t="s">
        <v>212</v>
      </c>
      <c r="D126" s="42">
        <v>8200557028</v>
      </c>
      <c r="E126" s="43" t="s">
        <v>316</v>
      </c>
    </row>
    <row r="127" spans="1:5" ht="43.5" x14ac:dyDescent="0.35">
      <c r="A127" s="5" t="s">
        <v>1103</v>
      </c>
      <c r="B127" s="8"/>
      <c r="C127" s="8" t="s">
        <v>1119</v>
      </c>
      <c r="D127" s="42">
        <v>8780135063</v>
      </c>
      <c r="E127" s="43"/>
    </row>
    <row r="128" spans="1:5" ht="43.5" x14ac:dyDescent="0.35">
      <c r="A128" s="5" t="s">
        <v>226</v>
      </c>
      <c r="B128" s="8" t="s">
        <v>154</v>
      </c>
      <c r="C128" s="8" t="s">
        <v>328</v>
      </c>
      <c r="D128" s="42">
        <v>9375779757</v>
      </c>
      <c r="E128" s="43" t="s">
        <v>315</v>
      </c>
    </row>
    <row r="129" spans="1:5" ht="43.5" x14ac:dyDescent="0.35">
      <c r="A129" s="5" t="s">
        <v>238</v>
      </c>
      <c r="B129" s="8"/>
      <c r="C129" s="8" t="s">
        <v>329</v>
      </c>
      <c r="D129" s="42">
        <v>7777978777</v>
      </c>
      <c r="E129" s="43"/>
    </row>
    <row r="130" spans="1:5" ht="29" x14ac:dyDescent="0.35">
      <c r="A130" s="5" t="s">
        <v>81</v>
      </c>
      <c r="B130" s="8"/>
      <c r="C130" s="8" t="s">
        <v>330</v>
      </c>
      <c r="D130" s="42">
        <v>8849179437</v>
      </c>
      <c r="E130" s="43"/>
    </row>
    <row r="131" spans="1:5" ht="29" x14ac:dyDescent="0.35">
      <c r="A131" s="5" t="s">
        <v>179</v>
      </c>
      <c r="B131" s="8"/>
      <c r="C131" s="8" t="s">
        <v>471</v>
      </c>
      <c r="D131" s="42">
        <v>9825755273</v>
      </c>
      <c r="E131" s="43"/>
    </row>
    <row r="132" spans="1:5" ht="29" x14ac:dyDescent="0.35">
      <c r="A132" s="5" t="s">
        <v>177</v>
      </c>
      <c r="B132" s="8"/>
      <c r="C132" s="8" t="s">
        <v>472</v>
      </c>
      <c r="D132" s="42"/>
      <c r="E132" s="43"/>
    </row>
  </sheetData>
  <autoFilter ref="A1:D1" xr:uid="{3241BAB9-A307-44F9-9457-7888F4D9A28B}">
    <sortState xmlns:xlrd2="http://schemas.microsoft.com/office/spreadsheetml/2017/richdata2" ref="A2:D128">
      <sortCondition ref="A1"/>
    </sortState>
  </autoFilter>
  <sortState xmlns:xlrd2="http://schemas.microsoft.com/office/spreadsheetml/2017/richdata2" ref="A2:E85">
    <sortCondition ref="A2:A85"/>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627A7-C3E0-4ABD-8411-C9A63B3AA281}">
  <sheetPr codeName="Sheet3">
    <pageSetUpPr fitToPage="1"/>
  </sheetPr>
  <dimension ref="A1:BU657"/>
  <sheetViews>
    <sheetView tabSelected="1" zoomScale="85" zoomScaleNormal="85" workbookViewId="0">
      <pane xSplit="7" ySplit="1" topLeftCell="H412" activePane="bottomRight" state="frozen"/>
      <selection pane="topRight" activeCell="H1" sqref="H1"/>
      <selection pane="bottomLeft" activeCell="A2" sqref="A2"/>
      <selection pane="bottomRight" activeCell="N414" sqref="N414"/>
    </sheetView>
  </sheetViews>
  <sheetFormatPr defaultColWidth="9.08984375" defaultRowHeight="14.5" x14ac:dyDescent="0.35"/>
  <cols>
    <col min="1" max="1" width="5.54296875" style="2" customWidth="1"/>
    <col min="2" max="2" width="6.81640625" style="2" customWidth="1"/>
    <col min="3" max="3" width="8.08984375" style="2" customWidth="1"/>
    <col min="4" max="4" width="7.1796875" style="2" customWidth="1"/>
    <col min="5" max="5" width="7.90625" style="2" customWidth="1"/>
    <col min="6" max="6" width="41.08984375" style="3" customWidth="1"/>
    <col min="7" max="7" width="32" style="3" customWidth="1"/>
    <col min="8" max="8" width="11.54296875" style="2" customWidth="1"/>
    <col min="9" max="9" width="13" style="2" customWidth="1"/>
    <col min="10" max="10" width="8.6328125" style="2" customWidth="1"/>
    <col min="11" max="11" width="10.453125" style="2" customWidth="1"/>
    <col min="12" max="12" width="12.08984375" style="5" customWidth="1"/>
    <col min="13" max="13" width="12.08984375" style="2" customWidth="1"/>
    <col min="14" max="14" width="12.36328125" style="7" customWidth="1"/>
    <col min="15" max="15" width="16.36328125" style="7" customWidth="1"/>
    <col min="16" max="16" width="13.54296875" style="7" customWidth="1"/>
    <col min="17" max="17" width="12.90625" style="2" customWidth="1"/>
    <col min="18" max="18" width="17.36328125" style="9" customWidth="1"/>
    <col min="19" max="19" width="14.6328125" style="23" customWidth="1"/>
    <col min="20" max="20" width="18" style="9" customWidth="1"/>
    <col min="21" max="21" width="12.453125" style="2" customWidth="1"/>
    <col min="22" max="22" width="18.453125" style="2" customWidth="1"/>
    <col min="23" max="23" width="36.08984375" style="3" customWidth="1"/>
    <col min="24" max="24" width="13.453125" style="23" customWidth="1"/>
    <col min="25" max="25" width="13.453125" style="9" customWidth="1"/>
    <col min="26" max="26" width="16.81640625" style="23" customWidth="1"/>
    <col min="27" max="27" width="25" style="5" customWidth="1"/>
    <col min="28" max="28" width="18.90625" style="3" customWidth="1"/>
    <col min="29" max="29" width="29.08984375" style="3" customWidth="1"/>
    <col min="30" max="30" width="12.6328125" style="3" customWidth="1"/>
    <col min="31" max="31" width="12.36328125" style="3" customWidth="1"/>
    <col min="32" max="34" width="21.54296875" style="2" customWidth="1"/>
    <col min="35" max="35" width="25.08984375" style="3" customWidth="1"/>
    <col min="36" max="36" width="18.453125" style="3" customWidth="1"/>
    <col min="37" max="37" width="13.54296875" style="7" customWidth="1"/>
    <col min="38" max="38" width="16" style="2" customWidth="1"/>
    <col min="39" max="41" width="12.90625" style="4" customWidth="1"/>
    <col min="42" max="42" width="13.08984375" style="4" customWidth="1"/>
    <col min="43" max="43" width="12.08984375" style="4" customWidth="1"/>
    <col min="44" max="44" width="12.08984375" style="2" customWidth="1"/>
    <col min="45" max="45" width="13.54296875" style="2" customWidth="1"/>
    <col min="46" max="46" width="13.36328125" style="7" customWidth="1"/>
    <col min="47" max="47" width="11.54296875" style="2" customWidth="1"/>
    <col min="48" max="48" width="11.1796875" style="2" customWidth="1"/>
    <col min="49" max="51" width="11.08984375" style="2" customWidth="1"/>
    <col min="52" max="52" width="20.54296875" style="4" customWidth="1"/>
    <col min="53" max="53" width="11.08984375" style="4" customWidth="1"/>
    <col min="54" max="54" width="16.54296875" style="2" customWidth="1"/>
    <col min="55" max="55" width="17.36328125" style="2" customWidth="1"/>
    <col min="56" max="56" width="12.36328125" style="2" customWidth="1"/>
    <col min="57" max="57" width="19.54296875" style="13" customWidth="1"/>
    <col min="58" max="58" width="11.08984375" style="4" customWidth="1"/>
    <col min="59" max="59" width="15.54296875" style="2" customWidth="1"/>
    <col min="60" max="60" width="13.36328125" style="2" customWidth="1"/>
    <col min="61" max="61" width="11.08984375" style="2" customWidth="1"/>
    <col min="62" max="62" width="12.1796875" style="19" customWidth="1"/>
    <col min="63" max="63" width="9.08984375" style="5" hidden="1" customWidth="1"/>
    <col min="64" max="64" width="13.36328125" style="7" hidden="1" customWidth="1"/>
    <col min="65" max="65" width="13" style="2" hidden="1" customWidth="1"/>
    <col min="66" max="66" width="13.36328125" style="2" hidden="1" customWidth="1"/>
    <col min="67" max="67" width="9.08984375" style="2" hidden="1" customWidth="1"/>
    <col min="68" max="68" width="13.36328125" style="2" hidden="1" customWidth="1"/>
    <col min="69" max="69" width="21.453125" style="2" hidden="1" customWidth="1"/>
    <col min="70" max="71" width="9.08984375" style="2" hidden="1" customWidth="1"/>
    <col min="72" max="72" width="15.7265625" style="36" bestFit="1" customWidth="1"/>
    <col min="73" max="73" width="11.81640625" style="2" customWidth="1"/>
    <col min="74" max="85" width="9.08984375" style="2" customWidth="1"/>
    <col min="86" max="16384" width="9.08984375" style="2"/>
  </cols>
  <sheetData>
    <row r="1" spans="1:73" s="19" customFormat="1" ht="101.5" x14ac:dyDescent="0.35">
      <c r="A1" s="19" t="s">
        <v>26</v>
      </c>
      <c r="B1" s="19" t="s">
        <v>334</v>
      </c>
      <c r="C1" s="19" t="s">
        <v>27</v>
      </c>
      <c r="D1" s="19" t="s">
        <v>28</v>
      </c>
      <c r="E1" s="19" t="s">
        <v>29</v>
      </c>
      <c r="F1" s="19" t="s">
        <v>68</v>
      </c>
      <c r="G1" s="19" t="s">
        <v>25</v>
      </c>
      <c r="H1" s="19" t="s">
        <v>61</v>
      </c>
      <c r="I1" s="19" t="s">
        <v>7</v>
      </c>
      <c r="J1" s="19" t="s">
        <v>20</v>
      </c>
      <c r="K1" s="19" t="s">
        <v>416</v>
      </c>
      <c r="L1" s="19" t="s">
        <v>6</v>
      </c>
      <c r="M1" s="19" t="s">
        <v>230</v>
      </c>
      <c r="N1" s="19" t="s">
        <v>91</v>
      </c>
      <c r="O1" s="19" t="s">
        <v>31</v>
      </c>
      <c r="P1" s="19" t="s">
        <v>32</v>
      </c>
      <c r="Q1" s="19" t="s">
        <v>23</v>
      </c>
      <c r="R1" s="19" t="s">
        <v>8</v>
      </c>
      <c r="S1" s="19" t="s">
        <v>117</v>
      </c>
      <c r="T1" s="19" t="s">
        <v>9</v>
      </c>
      <c r="U1" s="19" t="s">
        <v>116</v>
      </c>
      <c r="V1" s="19" t="s">
        <v>118</v>
      </c>
      <c r="W1" s="19" t="s">
        <v>36</v>
      </c>
      <c r="X1" s="19" t="s">
        <v>304</v>
      </c>
      <c r="Y1" s="19" t="s">
        <v>370</v>
      </c>
      <c r="Z1" s="19" t="s">
        <v>371</v>
      </c>
      <c r="AA1" s="19" t="s">
        <v>33</v>
      </c>
      <c r="AB1" s="19" t="s">
        <v>35</v>
      </c>
      <c r="AC1" s="19" t="s">
        <v>34</v>
      </c>
      <c r="AD1" s="19" t="s">
        <v>331</v>
      </c>
      <c r="AE1" s="19" t="s">
        <v>92</v>
      </c>
      <c r="AF1" s="19" t="s">
        <v>30</v>
      </c>
      <c r="AG1" s="19" t="s">
        <v>936</v>
      </c>
      <c r="AH1" s="19" t="s">
        <v>937</v>
      </c>
      <c r="AI1" s="19" t="s">
        <v>42</v>
      </c>
      <c r="AJ1" s="19" t="s">
        <v>43</v>
      </c>
      <c r="AK1" s="7" t="s">
        <v>44</v>
      </c>
      <c r="AL1" s="19" t="s">
        <v>24</v>
      </c>
      <c r="AM1" s="19" t="s">
        <v>37</v>
      </c>
      <c r="AN1" s="19" t="s">
        <v>41</v>
      </c>
      <c r="AO1" s="19" t="s">
        <v>38</v>
      </c>
      <c r="AP1" s="19" t="s">
        <v>39</v>
      </c>
      <c r="AQ1" s="19" t="s">
        <v>40</v>
      </c>
      <c r="AR1" s="19" t="s">
        <v>47</v>
      </c>
      <c r="AS1" s="19" t="s">
        <v>48</v>
      </c>
      <c r="AT1" s="7" t="s">
        <v>49</v>
      </c>
      <c r="AU1" s="19" t="s">
        <v>77</v>
      </c>
      <c r="AV1" s="19" t="s">
        <v>10</v>
      </c>
      <c r="AW1" s="19" t="s">
        <v>50</v>
      </c>
      <c r="AX1" s="19" t="s">
        <v>51</v>
      </c>
      <c r="AY1" s="19" t="s">
        <v>52</v>
      </c>
      <c r="AZ1" s="19" t="s">
        <v>53</v>
      </c>
      <c r="BA1" s="19" t="s">
        <v>54</v>
      </c>
      <c r="BB1" s="19" t="s">
        <v>57</v>
      </c>
      <c r="BC1" s="19" t="s">
        <v>60</v>
      </c>
      <c r="BD1" s="19" t="s">
        <v>55</v>
      </c>
      <c r="BE1" s="19" t="s">
        <v>364</v>
      </c>
      <c r="BF1" s="19" t="s">
        <v>58</v>
      </c>
      <c r="BG1" s="19" t="s">
        <v>59</v>
      </c>
      <c r="BH1" s="19" t="s">
        <v>56</v>
      </c>
      <c r="BI1" s="19" t="s">
        <v>45</v>
      </c>
      <c r="BJ1" s="19" t="s">
        <v>46</v>
      </c>
      <c r="BK1" s="19" t="s">
        <v>72</v>
      </c>
      <c r="BL1" s="7" t="s">
        <v>73</v>
      </c>
      <c r="BM1" s="19" t="s">
        <v>74</v>
      </c>
      <c r="BN1" s="19" t="s">
        <v>75</v>
      </c>
      <c r="BO1" s="19" t="s">
        <v>138</v>
      </c>
      <c r="BP1" s="19" t="s">
        <v>139</v>
      </c>
      <c r="BQ1" s="19" t="s">
        <v>0</v>
      </c>
      <c r="BT1" s="19" t="s">
        <v>354</v>
      </c>
      <c r="BU1" s="19" t="s">
        <v>1047</v>
      </c>
    </row>
    <row r="2" spans="1:73" ht="58" x14ac:dyDescent="0.35">
      <c r="A2" s="5">
        <v>1</v>
      </c>
      <c r="B2" s="5" t="s">
        <v>716</v>
      </c>
      <c r="C2" s="5" t="s">
        <v>78</v>
      </c>
      <c r="D2" s="5">
        <v>1</v>
      </c>
      <c r="E2" s="5">
        <v>1</v>
      </c>
      <c r="F2" s="8" t="s">
        <v>82</v>
      </c>
      <c r="G2" s="8"/>
      <c r="H2" s="5" t="s">
        <v>11</v>
      </c>
      <c r="I2" s="5" t="s">
        <v>11</v>
      </c>
      <c r="J2" s="5" t="s">
        <v>21</v>
      </c>
      <c r="K2" s="5"/>
      <c r="L2" s="5">
        <v>172043</v>
      </c>
      <c r="M2" s="5">
        <v>1</v>
      </c>
      <c r="N2" s="7">
        <v>45750</v>
      </c>
      <c r="O2" s="7">
        <v>45762</v>
      </c>
      <c r="P2" s="7">
        <v>45763</v>
      </c>
      <c r="Q2" s="7">
        <f t="shared" ref="Q2:Q65" si="0">O2+120</f>
        <v>45882</v>
      </c>
      <c r="R2" s="9">
        <v>97007994.859999999</v>
      </c>
      <c r="S2" s="33"/>
      <c r="T2" s="9">
        <v>81486715.680000007</v>
      </c>
      <c r="U2" s="10">
        <v>-16</v>
      </c>
      <c r="V2" s="10" t="str">
        <f t="shared" ref="V2:V65" si="1">IF(U2&lt;0,"Below",IF(U2&gt;0,"Above","Equals"))</f>
        <v>Below</v>
      </c>
      <c r="W2" s="11" t="str" cm="1">
        <f t="array" ref="W2">NumberToWords(T2)</f>
        <v>Eight Crore Fourteen Lakh Eighty Six Thousand Seven Hundred Fifteen Rupees and Sixty Eight Paise Only</v>
      </c>
      <c r="X2" s="10" t="str">
        <f t="shared" ref="X2:X65" si="2">IF(T2&lt;5000000,"Division",IF(T2&lt;=20000000,"Circle","Government"))</f>
        <v>Government</v>
      </c>
      <c r="Z2" s="9">
        <f t="shared" ref="Z2:Z65" si="3">T2+Y2</f>
        <v>81486715.680000007</v>
      </c>
      <c r="AA2" s="5" t="s">
        <v>80</v>
      </c>
      <c r="AB2" s="8" t="str">
        <f>_xlfn.XLOOKUP(AA2, 'Agency List'!A$2:A$145, 'Agency List'!B$2:B$145, "Not Found")</f>
        <v>BHADRESHSINH BHAGWATSING GOHIL</v>
      </c>
      <c r="AC2" s="8" t="str">
        <f>_xlfn.XLOOKUP(AA2, 'Agency List'!A$2:A$145, 'Agency List'!C$2:C$145, "Not Found")</f>
        <v>A/8, AKSHARDEEP COMPLEX, OPP. DEEPAK MEMORIAL HALL, SANSKAR MANDAL, BHAVNAGAR-364002</v>
      </c>
      <c r="AD2" s="8">
        <f>_xlfn.XLOOKUP(AA2, 'Agency List'!A$2:A$145, 'Agency List'!D$2:D$145, "Not Found")</f>
        <v>9925209999</v>
      </c>
      <c r="AE2" s="7">
        <v>45821</v>
      </c>
      <c r="AF2" s="5" t="s">
        <v>940</v>
      </c>
      <c r="AG2" s="5" t="str">
        <f t="shared" ref="AG2:AG65" si="4">IF(AND(
   AF2&lt;&gt;"5054 MMGSY NORMAL",
   AF2&lt;&gt;"3054 MMGSY NORMAL",
   AF2&lt;&gt;"5054 MMGSY SCSP",
   AF2&lt;&gt;"5054 Suvidhapath"
),
   IF(T2&gt;2500000,"Karobari","Bandhkam"),
   "NA"
)</f>
        <v>Karobari</v>
      </c>
      <c r="AH2" s="57">
        <v>45962</v>
      </c>
      <c r="AI2" s="32" t="s">
        <v>231</v>
      </c>
      <c r="AJ2" s="8" t="s">
        <v>454</v>
      </c>
      <c r="AK2" s="7">
        <v>45840</v>
      </c>
      <c r="AL2" s="16">
        <v>12</v>
      </c>
      <c r="AM2" s="12">
        <f t="shared" ref="AM2:AM65" si="5">CEILING(T2*5/100, 1000)</f>
        <v>4075000</v>
      </c>
      <c r="AN2" s="7">
        <f t="shared" ref="AN2:AN65" si="6">AR2+60</f>
        <v>47575</v>
      </c>
      <c r="AO2" s="12">
        <f t="shared" ref="AO2:AO65" si="7">CEILING(((AM2+AP2)*4.9/100),100)</f>
        <v>256800</v>
      </c>
      <c r="AP2" s="12">
        <f t="shared" ref="AP2:AP65" si="8">IF(U2&lt;-20,(CEILING(((R2*90/100)-T2)*30/100, 1000)),IF(U2&lt;-10,(CEILING(((R2*90/100)-T2)*20/100, 1000)),0))</f>
        <v>1165000</v>
      </c>
      <c r="AQ2" s="15">
        <f t="shared" ref="AQ2:AQ65" si="9">BH2+AL2*30+35</f>
        <v>46440</v>
      </c>
      <c r="AR2" s="7">
        <f t="shared" ref="AR2:AR65" si="10" xml:space="preserve">   IF(R2&gt;10000000,
      BH2 + AL2*30 + 36*30 + 30,
      BH2 + AL2*30 + 12*30 + 30
   )</f>
        <v>47515</v>
      </c>
      <c r="AS2" s="5">
        <v>1027</v>
      </c>
      <c r="AT2" s="7">
        <v>45863</v>
      </c>
      <c r="AU2" s="5" t="s">
        <v>78</v>
      </c>
      <c r="AV2" s="17">
        <v>287</v>
      </c>
      <c r="AW2" s="37">
        <v>46045</v>
      </c>
      <c r="AX2" s="5" t="s">
        <v>355</v>
      </c>
      <c r="AY2" s="5" t="s">
        <v>369</v>
      </c>
      <c r="AZ2" s="13">
        <v>44723002374</v>
      </c>
      <c r="BA2" s="12">
        <v>4075000</v>
      </c>
      <c r="BB2" s="7">
        <v>46000</v>
      </c>
      <c r="BC2" s="5" t="s">
        <v>355</v>
      </c>
      <c r="BD2" s="5" t="s">
        <v>369</v>
      </c>
      <c r="BE2" s="13">
        <v>44723553103</v>
      </c>
      <c r="BF2" s="12">
        <v>1165000</v>
      </c>
      <c r="BG2" s="7">
        <v>46000</v>
      </c>
      <c r="BH2" s="19">
        <v>46045</v>
      </c>
      <c r="BI2" s="5">
        <v>85</v>
      </c>
      <c r="BJ2" s="19">
        <v>46045</v>
      </c>
      <c r="BM2" s="18"/>
      <c r="BN2" s="18"/>
      <c r="BO2" s="18"/>
      <c r="BP2" s="18"/>
      <c r="BQ2" s="5"/>
      <c r="BR2" s="18"/>
      <c r="BS2" s="18"/>
      <c r="BT2" s="35">
        <f t="shared" ref="BT2:BT43" si="11">EDATE(BH2,AL2)-1</f>
        <v>46409</v>
      </c>
      <c r="BU2" s="2" t="s">
        <v>1048</v>
      </c>
    </row>
    <row r="3" spans="1:73" ht="43.5" x14ac:dyDescent="0.35">
      <c r="A3" s="5">
        <v>2</v>
      </c>
      <c r="B3" s="5"/>
      <c r="C3" s="5" t="s">
        <v>78</v>
      </c>
      <c r="D3" s="5">
        <v>1</v>
      </c>
      <c r="E3" s="5">
        <v>2</v>
      </c>
      <c r="F3" s="8" t="s">
        <v>93</v>
      </c>
      <c r="G3" s="8"/>
      <c r="H3" s="5" t="s">
        <v>12</v>
      </c>
      <c r="I3" s="5" t="s">
        <v>12</v>
      </c>
      <c r="J3" s="5" t="s">
        <v>21</v>
      </c>
      <c r="K3" s="5"/>
      <c r="L3" s="5">
        <v>172425</v>
      </c>
      <c r="M3" s="5">
        <v>1</v>
      </c>
      <c r="N3" s="7">
        <v>45750</v>
      </c>
      <c r="O3" s="7">
        <v>45762</v>
      </c>
      <c r="P3" s="7">
        <v>45763</v>
      </c>
      <c r="Q3" s="7">
        <f t="shared" si="0"/>
        <v>45882</v>
      </c>
      <c r="R3" s="9">
        <v>227072204.88999999</v>
      </c>
      <c r="S3" s="33" t="s">
        <v>233</v>
      </c>
      <c r="T3" s="9">
        <v>198665472.06</v>
      </c>
      <c r="U3" s="10">
        <v>-12.51</v>
      </c>
      <c r="V3" s="10" t="str">
        <f t="shared" si="1"/>
        <v>Below</v>
      </c>
      <c r="W3" s="11" t="str" cm="1">
        <f t="array" ref="W3">NumberToWords(T3)</f>
        <v>Nineteen Crore Eighty Six Lakh Sixty Five Thousand Four Hundred Seventy Two Rupees and Six Paise Only</v>
      </c>
      <c r="X3" s="10" t="str">
        <f t="shared" si="2"/>
        <v>Government</v>
      </c>
      <c r="Z3" s="9">
        <f t="shared" si="3"/>
        <v>198665472.06</v>
      </c>
      <c r="AA3" s="5" t="s">
        <v>14</v>
      </c>
      <c r="AB3" s="8" t="str">
        <f>_xlfn.XLOOKUP(AA3, 'Agency List'!A$2:A$145, 'Agency List'!B$2:B$145, "Not Found")</f>
        <v>VANRAJSINH BOGHUBHA SARVAIYA</v>
      </c>
      <c r="AC3" s="8" t="str">
        <f>_xlfn.XLOOKUP(AA3, 'Agency List'!A$2:A$145, 'Agency List'!C$2:C$145, "Not Found")</f>
        <v>314, Third Floor, Surabhi Mall, Waghawadi Road, BHAVNAGAR-364001</v>
      </c>
      <c r="AD3" s="8">
        <f>_xlfn.XLOOKUP(AA3, 'Agency List'!A$2:A$145, 'Agency List'!D$2:D$145, "Not Found")</f>
        <v>9427511001</v>
      </c>
      <c r="AE3" s="7">
        <v>45817</v>
      </c>
      <c r="AF3" s="5" t="s">
        <v>821</v>
      </c>
      <c r="AG3" s="5" t="str">
        <f t="shared" si="4"/>
        <v>NA</v>
      </c>
      <c r="AH3" s="5"/>
      <c r="AI3" s="8"/>
      <c r="AJ3" s="8"/>
      <c r="AK3" s="7" t="s">
        <v>816</v>
      </c>
      <c r="AL3" s="16"/>
      <c r="AM3" s="12">
        <f t="shared" si="5"/>
        <v>9934000</v>
      </c>
      <c r="AN3" s="7">
        <f t="shared" si="6"/>
        <v>1170</v>
      </c>
      <c r="AO3" s="12">
        <f t="shared" si="7"/>
        <v>542700</v>
      </c>
      <c r="AP3" s="12">
        <f t="shared" si="8"/>
        <v>1140000</v>
      </c>
      <c r="AQ3" s="15">
        <f t="shared" si="9"/>
        <v>35</v>
      </c>
      <c r="AR3" s="7">
        <f t="shared" si="10"/>
        <v>1110</v>
      </c>
      <c r="AS3" s="5"/>
      <c r="AT3" s="7" t="s">
        <v>816</v>
      </c>
      <c r="AU3" s="5"/>
      <c r="AV3" s="17"/>
      <c r="AW3" s="17"/>
      <c r="AX3" s="5"/>
      <c r="AY3" s="5"/>
      <c r="AZ3" s="13"/>
      <c r="BA3" s="12"/>
      <c r="BB3" s="7"/>
      <c r="BC3" s="14"/>
      <c r="BD3" s="14"/>
      <c r="BF3" s="12"/>
      <c r="BG3" s="14"/>
      <c r="BH3" s="19"/>
      <c r="BI3" s="5"/>
      <c r="BM3" s="18"/>
      <c r="BN3" s="18"/>
      <c r="BO3" s="18"/>
      <c r="BP3" s="18"/>
      <c r="BQ3" s="5"/>
      <c r="BR3" s="18"/>
      <c r="BS3" s="18"/>
      <c r="BT3" s="35">
        <f t="shared" si="11"/>
        <v>-1</v>
      </c>
      <c r="BU3" s="2" t="s">
        <v>1049</v>
      </c>
    </row>
    <row r="4" spans="1:73" ht="58" x14ac:dyDescent="0.35">
      <c r="A4" s="5">
        <v>3</v>
      </c>
      <c r="B4" s="5"/>
      <c r="C4" s="5" t="s">
        <v>78</v>
      </c>
      <c r="D4" s="5">
        <v>1</v>
      </c>
      <c r="E4" s="5">
        <v>3</v>
      </c>
      <c r="F4" s="8" t="s">
        <v>121</v>
      </c>
      <c r="G4" s="6" t="s">
        <v>789</v>
      </c>
      <c r="H4" s="5" t="s">
        <v>1</v>
      </c>
      <c r="I4" s="5" t="str" cm="1">
        <f t="array" ref="I4">_xlfn.IFS(
  H4="Mahuva", "Mahuva",
  H4="Jesar", "Mahuva",
  H4="Palitana", "Palitana",
  H4="Gariyadhar", "Palitana",
  H4="Talaja", "Talaja",
  H4="Vallabhipur", "Vallabhipur",
  H4="Umrala", "Vallabhipur",
  H4="Shihor", "Shihor",
  H4="Ghogha", "Bhavnagar",
  H4="Bhavnagar", "Bhavnagar"
)</f>
        <v>Bhavnagar</v>
      </c>
      <c r="J4" s="5" t="s">
        <v>21</v>
      </c>
      <c r="K4" s="5"/>
      <c r="L4" s="5">
        <v>171465</v>
      </c>
      <c r="M4" s="5">
        <v>2</v>
      </c>
      <c r="N4" s="7">
        <v>45750</v>
      </c>
      <c r="O4" s="7">
        <v>45762</v>
      </c>
      <c r="P4" s="7">
        <v>45763</v>
      </c>
      <c r="Q4" s="7">
        <f t="shared" si="0"/>
        <v>45882</v>
      </c>
      <c r="R4" s="9">
        <v>24276082.690000001</v>
      </c>
      <c r="S4" s="9"/>
      <c r="T4" s="9">
        <v>25004365.170000002</v>
      </c>
      <c r="U4" s="10">
        <v>3</v>
      </c>
      <c r="V4" s="10" t="str">
        <f t="shared" si="1"/>
        <v>Above</v>
      </c>
      <c r="W4" s="11" t="str" cm="1">
        <f t="array" ref="W4">NumberToWords(T4)</f>
        <v>Two Crore Fifty Lakh Four Thousand Three Hundred Sixty Five Rupees and Seventeen Paise Only</v>
      </c>
      <c r="X4" s="10" t="str">
        <f t="shared" si="2"/>
        <v>Government</v>
      </c>
      <c r="Z4" s="9">
        <f t="shared" si="3"/>
        <v>25004365.170000002</v>
      </c>
      <c r="AA4" s="5" t="s">
        <v>80</v>
      </c>
      <c r="AB4" s="8" t="str">
        <f>_xlfn.XLOOKUP(AA4, 'Agency List'!A$2:A$145, 'Agency List'!B$2:B$145, "Not Found")</f>
        <v>BHADRESHSINH BHAGWATSING GOHIL</v>
      </c>
      <c r="AC4" s="8" t="str">
        <f>_xlfn.XLOOKUP(AA4, 'Agency List'!A$2:A$145, 'Agency List'!C$2:C$145, "Not Found")</f>
        <v>A/8, AKSHARDEEP COMPLEX, OPP. DEEPAK MEMORIAL HALL, SANSKAR MANDAL, BHAVNAGAR-364002</v>
      </c>
      <c r="AD4" s="8">
        <f>_xlfn.XLOOKUP(AA4, 'Agency List'!A$2:A$145, 'Agency List'!D$2:D$145, "Not Found")</f>
        <v>9925209999</v>
      </c>
      <c r="AE4" s="7">
        <v>45777</v>
      </c>
      <c r="AF4" s="5" t="s">
        <v>942</v>
      </c>
      <c r="AG4" s="5" t="str">
        <f t="shared" si="4"/>
        <v>NA</v>
      </c>
      <c r="AH4" s="5"/>
      <c r="AI4" s="32" t="s">
        <v>231</v>
      </c>
      <c r="AJ4" s="8" t="s">
        <v>240</v>
      </c>
      <c r="AK4" s="7">
        <v>45798</v>
      </c>
      <c r="AL4" s="16">
        <v>9</v>
      </c>
      <c r="AM4" s="12">
        <f t="shared" si="5"/>
        <v>1251000</v>
      </c>
      <c r="AN4" s="7">
        <f t="shared" si="6"/>
        <v>47385</v>
      </c>
      <c r="AO4" s="12">
        <f t="shared" si="7"/>
        <v>61300</v>
      </c>
      <c r="AP4" s="12">
        <f t="shared" si="8"/>
        <v>0</v>
      </c>
      <c r="AQ4" s="15">
        <f t="shared" si="9"/>
        <v>46250</v>
      </c>
      <c r="AR4" s="7">
        <f t="shared" si="10"/>
        <v>47325</v>
      </c>
      <c r="AS4" s="5">
        <v>771</v>
      </c>
      <c r="AT4" s="7">
        <v>45804</v>
      </c>
      <c r="AU4" s="5" t="s">
        <v>78</v>
      </c>
      <c r="AV4" s="17">
        <v>68</v>
      </c>
      <c r="AW4" s="37">
        <v>45871</v>
      </c>
      <c r="AX4" s="5" t="s">
        <v>359</v>
      </c>
      <c r="AY4" s="5" t="s">
        <v>458</v>
      </c>
      <c r="AZ4" s="13" t="s">
        <v>477</v>
      </c>
      <c r="BA4" s="12">
        <v>1251000</v>
      </c>
      <c r="BB4" s="7">
        <v>45859</v>
      </c>
      <c r="BC4" s="14"/>
      <c r="BD4" s="14"/>
      <c r="BF4" s="12"/>
      <c r="BG4" s="14"/>
      <c r="BH4" s="19">
        <v>45945</v>
      </c>
      <c r="BI4" s="5">
        <v>1060</v>
      </c>
      <c r="BJ4" s="19">
        <v>45871</v>
      </c>
      <c r="BM4" s="18"/>
      <c r="BN4" s="18"/>
      <c r="BO4" s="18"/>
      <c r="BP4" s="18"/>
      <c r="BQ4" s="5"/>
      <c r="BR4" s="18"/>
      <c r="BS4" s="18"/>
      <c r="BT4" s="35">
        <f t="shared" si="11"/>
        <v>46217</v>
      </c>
      <c r="BU4" s="2" t="s">
        <v>233</v>
      </c>
    </row>
    <row r="5" spans="1:73" ht="43.5" x14ac:dyDescent="0.35">
      <c r="A5" s="5">
        <v>4</v>
      </c>
      <c r="B5" s="5"/>
      <c r="C5" s="5" t="s">
        <v>78</v>
      </c>
      <c r="D5" s="5">
        <v>1</v>
      </c>
      <c r="E5" s="5">
        <v>4</v>
      </c>
      <c r="F5" s="8" t="s">
        <v>122</v>
      </c>
      <c r="G5" s="8"/>
      <c r="H5" s="5" t="s">
        <v>257</v>
      </c>
      <c r="I5" s="5" t="str" cm="1">
        <f t="array" ref="I5">_xlfn.IFS(
  H5="Mahuva", "Mahuva",
  H5="Jesar", "Mahuva",
  H5="Palitana", "Palitana",
  H5="Gariyadhar", "Palitana",
  H5="Talaja", "Talaja",
  H5="Vallabhipur", "Vallabhipur",
  H5="Umrala", "Vallabhipur",
  H5="Shihor", "Shihor",
  H5="Ghogha", "Bhavnagar",
  H5="Bhavnagar", "Bhavnagar"
)</f>
        <v>Palitana</v>
      </c>
      <c r="J5" s="5" t="s">
        <v>21</v>
      </c>
      <c r="K5" s="5"/>
      <c r="L5" s="5">
        <v>171505</v>
      </c>
      <c r="M5" s="5">
        <v>2</v>
      </c>
      <c r="N5" s="7">
        <v>45750</v>
      </c>
      <c r="O5" s="7">
        <v>45762</v>
      </c>
      <c r="P5" s="7">
        <v>45763</v>
      </c>
      <c r="Q5" s="7">
        <f t="shared" si="0"/>
        <v>45882</v>
      </c>
      <c r="R5" s="9">
        <v>5689274.8799999999</v>
      </c>
      <c r="S5" s="9"/>
      <c r="T5" s="9">
        <v>6232600.6299999999</v>
      </c>
      <c r="U5" s="10">
        <v>9.5500000000000007</v>
      </c>
      <c r="V5" s="10" t="str">
        <f t="shared" si="1"/>
        <v>Above</v>
      </c>
      <c r="W5" s="11" t="str" cm="1">
        <f t="array" ref="W5">NumberToWords(T5)</f>
        <v>Sixty Two Lakh Thirty Two Thousand Six Hundred Rupees and Sixty Three Paise Only</v>
      </c>
      <c r="X5" s="10" t="str">
        <f t="shared" si="2"/>
        <v>Circle</v>
      </c>
      <c r="Z5" s="9">
        <f t="shared" si="3"/>
        <v>6232600.6299999999</v>
      </c>
      <c r="AA5" s="5" t="s">
        <v>81</v>
      </c>
      <c r="AB5" s="8">
        <f>_xlfn.XLOOKUP(AA5, 'Agency List'!A$2:A$145, 'Agency List'!B$2:B$145, "Not Found")</f>
        <v>0</v>
      </c>
      <c r="AC5" s="8" t="str">
        <f>_xlfn.XLOOKUP(AA5, 'Agency List'!A$2:A$145, 'Agency List'!C$2:C$145, "Not Found")</f>
        <v>AT JALALPUR, TA. GADHADA, DIST. BOTAD - 364740</v>
      </c>
      <c r="AD5" s="8">
        <f>_xlfn.XLOOKUP(AA5, 'Agency List'!A$2:A$145, 'Agency List'!D$2:D$145, "Not Found")</f>
        <v>8849179437</v>
      </c>
      <c r="AE5" s="7">
        <v>45777</v>
      </c>
      <c r="AF5" s="5" t="s">
        <v>939</v>
      </c>
      <c r="AG5" s="5" t="str">
        <f t="shared" si="4"/>
        <v>Karobari</v>
      </c>
      <c r="AH5" s="57">
        <v>45809</v>
      </c>
      <c r="AI5" s="8" t="s">
        <v>69</v>
      </c>
      <c r="AJ5" s="20" t="s">
        <v>137</v>
      </c>
      <c r="AK5" s="7">
        <v>45791</v>
      </c>
      <c r="AL5" s="16">
        <v>4</v>
      </c>
      <c r="AM5" s="12">
        <f t="shared" si="5"/>
        <v>312000</v>
      </c>
      <c r="AN5" s="7">
        <f t="shared" si="6"/>
        <v>46409</v>
      </c>
      <c r="AO5" s="12">
        <f t="shared" si="7"/>
        <v>15300</v>
      </c>
      <c r="AP5" s="12">
        <f t="shared" si="8"/>
        <v>0</v>
      </c>
      <c r="AQ5" s="15">
        <f t="shared" si="9"/>
        <v>45994</v>
      </c>
      <c r="AR5" s="7">
        <f t="shared" si="10"/>
        <v>46349</v>
      </c>
      <c r="AS5" s="5">
        <v>891</v>
      </c>
      <c r="AT5" s="7">
        <v>45832</v>
      </c>
      <c r="AU5" s="5"/>
      <c r="AV5" s="17"/>
      <c r="AW5" s="17"/>
      <c r="AX5" s="5"/>
      <c r="AY5" s="5"/>
      <c r="AZ5" s="13"/>
      <c r="BA5" s="12"/>
      <c r="BB5" s="7"/>
      <c r="BC5" s="14"/>
      <c r="BD5" s="14"/>
      <c r="BF5" s="12"/>
      <c r="BG5" s="14"/>
      <c r="BH5" s="19">
        <v>45839</v>
      </c>
      <c r="BI5" s="5"/>
      <c r="BK5" s="5">
        <v>1757</v>
      </c>
      <c r="BL5" s="7">
        <v>46011</v>
      </c>
      <c r="BM5" s="18"/>
      <c r="BN5" s="18"/>
      <c r="BO5" s="18"/>
      <c r="BP5" s="18"/>
      <c r="BQ5" s="5"/>
      <c r="BR5" s="18"/>
      <c r="BS5" s="18"/>
      <c r="BT5" s="35">
        <f t="shared" si="11"/>
        <v>45961</v>
      </c>
      <c r="BU5" s="2" t="s">
        <v>1050</v>
      </c>
    </row>
    <row r="6" spans="1:73" ht="72.5" x14ac:dyDescent="0.35">
      <c r="A6" s="5">
        <v>5</v>
      </c>
      <c r="B6" s="5"/>
      <c r="C6" s="5" t="s">
        <v>78</v>
      </c>
      <c r="D6" s="5">
        <v>1</v>
      </c>
      <c r="E6" s="5">
        <v>5</v>
      </c>
      <c r="F6" s="8" t="s">
        <v>123</v>
      </c>
      <c r="G6" s="8" t="s">
        <v>83</v>
      </c>
      <c r="H6" s="5" t="s">
        <v>4</v>
      </c>
      <c r="I6" s="5" t="str" cm="1">
        <f t="array" ref="I6">_xlfn.IFS(
  H6="Mahuva", "Mahuva",
  H6="Jesar", "Mahuva",
  H6="Palitana", "Palitana",
  H6="Gariyadhar", "Palitana",
  H6="Talaja", "Talaja",
  H6="Vallabhipur", "Vallabhipur",
  H6="Umrala", "Vallabhipur",
  H6="Shihor", "Shihor",
  H6="Ghogha", "Bhavnagar",
  H6="Bhavnagar", "Bhavnagar"
)</f>
        <v>Talaja</v>
      </c>
      <c r="J6" s="5" t="s">
        <v>21</v>
      </c>
      <c r="K6" s="5"/>
      <c r="L6" s="5">
        <v>171514</v>
      </c>
      <c r="M6" s="5">
        <v>1</v>
      </c>
      <c r="N6" s="7">
        <v>45750</v>
      </c>
      <c r="O6" s="7">
        <v>45762</v>
      </c>
      <c r="P6" s="7">
        <v>45763</v>
      </c>
      <c r="Q6" s="7">
        <f t="shared" si="0"/>
        <v>45882</v>
      </c>
      <c r="R6" s="9">
        <v>25215998.109999999</v>
      </c>
      <c r="S6" s="9"/>
      <c r="T6" s="9">
        <v>23198718.260000002</v>
      </c>
      <c r="U6" s="10">
        <v>-8</v>
      </c>
      <c r="V6" s="10" t="str">
        <f t="shared" si="1"/>
        <v>Below</v>
      </c>
      <c r="W6" s="11" t="str" cm="1">
        <f t="array" ref="W6">NumberToWords(T6)</f>
        <v>Two Crore Thirty One Lakh Ninety Eight Thousand Seven Hundred Eighteen Rupees and Twenty Six Paise Only</v>
      </c>
      <c r="X6" s="10" t="str">
        <f t="shared" si="2"/>
        <v>Government</v>
      </c>
      <c r="Z6" s="9">
        <f t="shared" si="3"/>
        <v>23198718.260000002</v>
      </c>
      <c r="AA6" s="5" t="s">
        <v>80</v>
      </c>
      <c r="AB6" s="8" t="str">
        <f>_xlfn.XLOOKUP(AA6, 'Agency List'!A$2:A$145, 'Agency List'!B$2:B$145, "Not Found")</f>
        <v>BHADRESHSINH BHAGWATSING GOHIL</v>
      </c>
      <c r="AC6" s="8" t="str">
        <f>_xlfn.XLOOKUP(AA6, 'Agency List'!A$2:A$145, 'Agency List'!C$2:C$145, "Not Found")</f>
        <v>A/8, AKSHARDEEP COMPLEX, OPP. DEEPAK MEMORIAL HALL, SANSKAR MANDAL, BHAVNAGAR-364002</v>
      </c>
      <c r="AD6" s="8">
        <f>_xlfn.XLOOKUP(AA6, 'Agency List'!A$2:A$145, 'Agency List'!D$2:D$145, "Not Found")</f>
        <v>9925209999</v>
      </c>
      <c r="AE6" s="7">
        <v>45777</v>
      </c>
      <c r="AF6" s="5" t="s">
        <v>942</v>
      </c>
      <c r="AG6" s="5" t="str">
        <f t="shared" si="4"/>
        <v>NA</v>
      </c>
      <c r="AH6" s="5"/>
      <c r="AI6" s="32" t="s">
        <v>231</v>
      </c>
      <c r="AJ6" s="8" t="s">
        <v>239</v>
      </c>
      <c r="AK6" s="7">
        <v>45794</v>
      </c>
      <c r="AL6" s="16">
        <v>9</v>
      </c>
      <c r="AM6" s="12">
        <f t="shared" si="5"/>
        <v>1160000</v>
      </c>
      <c r="AN6" s="7">
        <f t="shared" si="6"/>
        <v>47385</v>
      </c>
      <c r="AO6" s="12">
        <f t="shared" si="7"/>
        <v>56900</v>
      </c>
      <c r="AP6" s="12">
        <f t="shared" si="8"/>
        <v>0</v>
      </c>
      <c r="AQ6" s="15">
        <f t="shared" si="9"/>
        <v>46250</v>
      </c>
      <c r="AR6" s="7">
        <f t="shared" si="10"/>
        <v>47325</v>
      </c>
      <c r="AS6" s="5">
        <v>370</v>
      </c>
      <c r="AT6" s="7">
        <v>45804</v>
      </c>
      <c r="AU6" s="5" t="s">
        <v>78</v>
      </c>
      <c r="AV6" s="17">
        <v>70</v>
      </c>
      <c r="AW6" s="37">
        <v>45877</v>
      </c>
      <c r="AX6" s="5" t="s">
        <v>359</v>
      </c>
      <c r="AY6" s="5" t="s">
        <v>458</v>
      </c>
      <c r="AZ6" s="13" t="s">
        <v>581</v>
      </c>
      <c r="BA6" s="12">
        <v>1160000</v>
      </c>
      <c r="BB6" s="7">
        <v>45859</v>
      </c>
      <c r="BC6" s="14"/>
      <c r="BD6" s="14"/>
      <c r="BF6" s="12"/>
      <c r="BG6" s="14"/>
      <c r="BH6" s="19">
        <v>45945</v>
      </c>
      <c r="BI6" s="5">
        <v>1048</v>
      </c>
      <c r="BJ6" s="19">
        <v>45877</v>
      </c>
      <c r="BM6" s="18"/>
      <c r="BN6" s="18"/>
      <c r="BO6" s="18"/>
      <c r="BP6" s="18"/>
      <c r="BQ6" s="5"/>
      <c r="BR6" s="18"/>
      <c r="BS6" s="18"/>
      <c r="BT6" s="35">
        <f t="shared" si="11"/>
        <v>46217</v>
      </c>
      <c r="BU6" s="2" t="s">
        <v>233</v>
      </c>
    </row>
    <row r="7" spans="1:73" ht="43.5" x14ac:dyDescent="0.35">
      <c r="A7" s="5">
        <v>6</v>
      </c>
      <c r="B7" s="5"/>
      <c r="C7" s="5" t="s">
        <v>78</v>
      </c>
      <c r="D7" s="5">
        <v>1</v>
      </c>
      <c r="E7" s="5">
        <v>6</v>
      </c>
      <c r="F7" s="8" t="s">
        <v>103</v>
      </c>
      <c r="G7" s="8"/>
      <c r="H7" s="5" t="s">
        <v>13</v>
      </c>
      <c r="I7" s="5" t="str" cm="1">
        <f t="array" ref="I7">_xlfn.IFS(
  H7="Mahuva", "Mahuva",
  H7="Jesar", "Mahuva",
  H7="Palitana", "Palitana",
  H7="Gariyadhar", "Palitana",
  H7="Talaja", "Talaja",
  H7="Vallabhipur", "Vallabhipur",
  H7="Umrala", "Vallabhipur",
  H7="Shihor", "Shihor",
  H7="Ghogha", "Bhavnagar",
  H7="Bhavnagar", "Bhavnagar"
)</f>
        <v>Shihor</v>
      </c>
      <c r="J7" s="5" t="s">
        <v>21</v>
      </c>
      <c r="K7" s="5"/>
      <c r="L7" s="5">
        <v>171520</v>
      </c>
      <c r="M7" s="5">
        <v>1</v>
      </c>
      <c r="N7" s="7">
        <v>45750</v>
      </c>
      <c r="O7" s="7">
        <v>45762</v>
      </c>
      <c r="P7" s="7">
        <v>45763</v>
      </c>
      <c r="Q7" s="7">
        <f t="shared" si="0"/>
        <v>45882</v>
      </c>
      <c r="S7" s="33" t="s">
        <v>233</v>
      </c>
      <c r="U7" s="10"/>
      <c r="V7" s="10" t="str">
        <f t="shared" si="1"/>
        <v>Equals</v>
      </c>
      <c r="W7" s="11" t="str" cm="1">
        <f t="array" ref="W7">NumberToWords(T7)</f>
        <v>Zero Rupees Only</v>
      </c>
      <c r="X7" s="10" t="str">
        <f t="shared" si="2"/>
        <v>Division</v>
      </c>
      <c r="Z7" s="9">
        <f t="shared" si="3"/>
        <v>0</v>
      </c>
      <c r="AB7" s="8">
        <f>_xlfn.XLOOKUP(AA7, 'Agency List'!A$2:A$145, 'Agency List'!B$2:B$145, "Not Found")</f>
        <v>0</v>
      </c>
      <c r="AC7" s="8">
        <f>_xlfn.XLOOKUP(AA7, 'Agency List'!A$2:A$145, 'Agency List'!C$2:C$145, "Not Found")</f>
        <v>0</v>
      </c>
      <c r="AD7" s="8">
        <f>_xlfn.XLOOKUP(AA7, 'Agency List'!A$2:A$145, 'Agency List'!D$2:D$145, "Not Found")</f>
        <v>0</v>
      </c>
      <c r="AE7" s="7"/>
      <c r="AF7" s="5"/>
      <c r="AG7" s="5" t="str">
        <f t="shared" si="4"/>
        <v>Bandhkam</v>
      </c>
      <c r="AH7" s="5"/>
      <c r="AI7" s="8"/>
      <c r="AJ7" s="8"/>
      <c r="AL7" s="16"/>
      <c r="AM7" s="12">
        <f t="shared" si="5"/>
        <v>0</v>
      </c>
      <c r="AN7" s="7">
        <f t="shared" si="6"/>
        <v>450</v>
      </c>
      <c r="AO7" s="12">
        <f t="shared" si="7"/>
        <v>0</v>
      </c>
      <c r="AP7" s="12">
        <f t="shared" si="8"/>
        <v>0</v>
      </c>
      <c r="AQ7" s="15">
        <f t="shared" si="9"/>
        <v>35</v>
      </c>
      <c r="AR7" s="7">
        <f t="shared" si="10"/>
        <v>390</v>
      </c>
      <c r="AS7" s="5"/>
      <c r="AU7" s="5"/>
      <c r="AV7" s="17"/>
      <c r="AW7" s="17"/>
      <c r="AX7" s="5"/>
      <c r="AY7" s="5"/>
      <c r="AZ7" s="13"/>
      <c r="BA7" s="12"/>
      <c r="BB7" s="7"/>
      <c r="BC7" s="14"/>
      <c r="BD7" s="14"/>
      <c r="BF7" s="12"/>
      <c r="BG7" s="14"/>
      <c r="BH7" s="19"/>
      <c r="BI7" s="5"/>
      <c r="BM7" s="18"/>
      <c r="BN7" s="18"/>
      <c r="BO7" s="18"/>
      <c r="BP7" s="18"/>
      <c r="BQ7" s="5"/>
      <c r="BR7" s="18"/>
      <c r="BS7" s="18"/>
      <c r="BT7" s="35">
        <f t="shared" si="11"/>
        <v>-1</v>
      </c>
      <c r="BU7" s="2" t="s">
        <v>1049</v>
      </c>
    </row>
    <row r="8" spans="1:73" ht="58" x14ac:dyDescent="0.35">
      <c r="A8" s="5">
        <v>7</v>
      </c>
      <c r="B8" s="5"/>
      <c r="C8" s="5" t="s">
        <v>78</v>
      </c>
      <c r="D8" s="5">
        <v>1</v>
      </c>
      <c r="E8" s="5">
        <v>7</v>
      </c>
      <c r="F8" s="8" t="s">
        <v>124</v>
      </c>
      <c r="G8" s="8"/>
      <c r="H8" s="5" t="s">
        <v>13</v>
      </c>
      <c r="I8" s="5" t="str" cm="1">
        <f t="array" ref="I8">_xlfn.IFS(
  H8="Mahuva", "Mahuva",
  H8="Jesar", "Mahuva",
  H8="Palitana", "Palitana",
  H8="Gariyadhar", "Palitana",
  H8="Talaja", "Talaja",
  H8="Vallabhipur", "Vallabhipur",
  H8="Umrala", "Vallabhipur",
  H8="Shihor", "Shihor",
  H8="Ghogha", "Bhavnagar",
  H8="Bhavnagar", "Bhavnagar"
)</f>
        <v>Shihor</v>
      </c>
      <c r="J8" s="5" t="s">
        <v>21</v>
      </c>
      <c r="K8" s="5"/>
      <c r="L8" s="5">
        <v>171523</v>
      </c>
      <c r="M8" s="5">
        <v>1</v>
      </c>
      <c r="N8" s="7">
        <v>45750</v>
      </c>
      <c r="O8" s="7">
        <v>45762</v>
      </c>
      <c r="P8" s="7">
        <v>45763</v>
      </c>
      <c r="Q8" s="7">
        <f t="shared" si="0"/>
        <v>45882</v>
      </c>
      <c r="R8" s="9">
        <v>22712488.68</v>
      </c>
      <c r="S8" s="9"/>
      <c r="T8" s="9">
        <v>20668364.699999999</v>
      </c>
      <c r="U8" s="10">
        <v>-9</v>
      </c>
      <c r="V8" s="10" t="str">
        <f t="shared" si="1"/>
        <v>Below</v>
      </c>
      <c r="W8" s="11" t="str" cm="1">
        <f t="array" ref="W8">NumberToWords(T8)</f>
        <v>Two Crore Six Lakh Sixty Eight Thousand Three Hundred Sixty Four Rupees and Seven Paise Only</v>
      </c>
      <c r="X8" s="10" t="str">
        <f t="shared" si="2"/>
        <v>Government</v>
      </c>
      <c r="Z8" s="9">
        <f t="shared" si="3"/>
        <v>20668364.699999999</v>
      </c>
      <c r="AA8" s="5" t="s">
        <v>80</v>
      </c>
      <c r="AB8" s="8" t="str">
        <f>_xlfn.XLOOKUP(AA8, 'Agency List'!A$2:A$145, 'Agency List'!B$2:B$145, "Not Found")</f>
        <v>BHADRESHSINH BHAGWATSING GOHIL</v>
      </c>
      <c r="AC8" s="8" t="str">
        <f>_xlfn.XLOOKUP(AA8, 'Agency List'!A$2:A$145, 'Agency List'!C$2:C$145, "Not Found")</f>
        <v>A/8, AKSHARDEEP COMPLEX, OPP. DEEPAK MEMORIAL HALL, SANSKAR MANDAL, BHAVNAGAR-364002</v>
      </c>
      <c r="AD8" s="8">
        <f>_xlfn.XLOOKUP(AA8, 'Agency List'!A$2:A$145, 'Agency List'!D$2:D$145, "Not Found")</f>
        <v>9925209999</v>
      </c>
      <c r="AE8" s="7">
        <v>45777</v>
      </c>
      <c r="AF8" s="5" t="s">
        <v>938</v>
      </c>
      <c r="AG8" s="5" t="str">
        <f t="shared" si="4"/>
        <v>NA</v>
      </c>
      <c r="AH8" s="5"/>
      <c r="AI8" s="32" t="s">
        <v>231</v>
      </c>
      <c r="AJ8" s="8" t="s">
        <v>235</v>
      </c>
      <c r="AK8" s="7">
        <v>45798</v>
      </c>
      <c r="AL8" s="16">
        <v>8</v>
      </c>
      <c r="AM8" s="12">
        <f t="shared" si="5"/>
        <v>1034000</v>
      </c>
      <c r="AN8" s="7">
        <f t="shared" si="6"/>
        <v>47355</v>
      </c>
      <c r="AO8" s="12">
        <f t="shared" si="7"/>
        <v>50700</v>
      </c>
      <c r="AP8" s="12">
        <f t="shared" si="8"/>
        <v>0</v>
      </c>
      <c r="AQ8" s="15">
        <f t="shared" si="9"/>
        <v>46220</v>
      </c>
      <c r="AR8" s="7">
        <f t="shared" si="10"/>
        <v>47295</v>
      </c>
      <c r="AS8" s="5">
        <v>735</v>
      </c>
      <c r="AT8" s="7">
        <v>45798</v>
      </c>
      <c r="AU8" s="5" t="s">
        <v>78</v>
      </c>
      <c r="AV8" s="17">
        <v>73</v>
      </c>
      <c r="AW8" s="37">
        <v>45877</v>
      </c>
      <c r="AX8" s="5" t="s">
        <v>359</v>
      </c>
      <c r="AY8" s="5" t="s">
        <v>458</v>
      </c>
      <c r="AZ8" s="13" t="s">
        <v>595</v>
      </c>
      <c r="BA8" s="12">
        <v>1034000</v>
      </c>
      <c r="BB8" s="7">
        <v>45859</v>
      </c>
      <c r="BC8" s="14"/>
      <c r="BD8" s="14"/>
      <c r="BF8" s="12"/>
      <c r="BG8" s="14"/>
      <c r="BH8" s="19">
        <v>45945</v>
      </c>
      <c r="BI8" s="5">
        <v>1051</v>
      </c>
      <c r="BJ8" s="19">
        <v>45877</v>
      </c>
      <c r="BM8" s="18"/>
      <c r="BN8" s="18"/>
      <c r="BO8" s="18"/>
      <c r="BP8" s="18"/>
      <c r="BQ8" s="5"/>
      <c r="BR8" s="18"/>
      <c r="BS8" s="18"/>
      <c r="BT8" s="35">
        <f t="shared" si="11"/>
        <v>46187</v>
      </c>
      <c r="BU8" s="2" t="s">
        <v>233</v>
      </c>
    </row>
    <row r="9" spans="1:73" ht="104.4" customHeight="1" x14ac:dyDescent="0.35">
      <c r="A9" s="5">
        <v>8</v>
      </c>
      <c r="B9" s="5"/>
      <c r="C9" s="5" t="s">
        <v>78</v>
      </c>
      <c r="D9" s="5">
        <v>1</v>
      </c>
      <c r="E9" s="5">
        <v>8</v>
      </c>
      <c r="F9" s="8" t="s">
        <v>125</v>
      </c>
      <c r="G9" s="6" t="s">
        <v>64</v>
      </c>
      <c r="H9" s="5" t="s">
        <v>11</v>
      </c>
      <c r="I9" s="5" t="str" cm="1">
        <f t="array" ref="I9">_xlfn.IFS(
  H9="Mahuva", "Mahuva",
  H9="Jesar", "Mahuva",
  H9="Palitana", "Palitana",
  H9="Gariyadhar", "Palitana",
  H9="Talaja", "Talaja",
  H9="Vallabhipur", "Vallabhipur",
  H9="Umrala", "Vallabhipur",
  H9="Shihor", "Shihor",
  H9="Ghogha", "Bhavnagar",
  H9="Bhavnagar", "Bhavnagar"
)</f>
        <v>Vallabhipur</v>
      </c>
      <c r="J9" s="5" t="s">
        <v>21</v>
      </c>
      <c r="K9" s="5"/>
      <c r="L9" s="5">
        <v>171531</v>
      </c>
      <c r="M9" s="5">
        <v>1</v>
      </c>
      <c r="N9" s="7">
        <v>45750</v>
      </c>
      <c r="O9" s="7">
        <v>45762</v>
      </c>
      <c r="P9" s="7">
        <v>45763</v>
      </c>
      <c r="Q9" s="7">
        <f t="shared" si="0"/>
        <v>45882</v>
      </c>
      <c r="R9" s="9">
        <v>21183260.989999998</v>
      </c>
      <c r="S9" s="9"/>
      <c r="T9" s="9">
        <v>19700432.719999999</v>
      </c>
      <c r="U9" s="10">
        <v>-7</v>
      </c>
      <c r="V9" s="10" t="str">
        <f t="shared" si="1"/>
        <v>Below</v>
      </c>
      <c r="W9" s="11" t="str" cm="1">
        <f t="array" ref="W9">NumberToWords(T9)</f>
        <v>One Crore Ninety Seven Lakh Four Hundred Thirty Two Rupees and Seventy Two Paise Only</v>
      </c>
      <c r="X9" s="10" t="str">
        <f t="shared" si="2"/>
        <v>Circle</v>
      </c>
      <c r="Z9" s="9">
        <f t="shared" si="3"/>
        <v>19700432.719999999</v>
      </c>
      <c r="AA9" s="5" t="s">
        <v>80</v>
      </c>
      <c r="AB9" s="8" t="str">
        <f>_xlfn.XLOOKUP(AA9, 'Agency List'!A$2:A$145, 'Agency List'!B$2:B$145, "Not Found")</f>
        <v>BHADRESHSINH BHAGWATSING GOHIL</v>
      </c>
      <c r="AC9" s="8" t="str">
        <f>_xlfn.XLOOKUP(AA9, 'Agency List'!A$2:A$145, 'Agency List'!C$2:C$145, "Not Found")</f>
        <v>A/8, AKSHARDEEP COMPLEX, OPP. DEEPAK MEMORIAL HALL, SANSKAR MANDAL, BHAVNAGAR-364002</v>
      </c>
      <c r="AD9" s="8">
        <f>_xlfn.XLOOKUP(AA9, 'Agency List'!A$2:A$145, 'Agency List'!D$2:D$145, "Not Found")</f>
        <v>9925209999</v>
      </c>
      <c r="AE9" s="7">
        <v>45777</v>
      </c>
      <c r="AF9" s="5" t="s">
        <v>942</v>
      </c>
      <c r="AG9" s="5" t="str">
        <f t="shared" si="4"/>
        <v>NA</v>
      </c>
      <c r="AH9" s="5"/>
      <c r="AI9" s="32" t="s">
        <v>231</v>
      </c>
      <c r="AJ9" s="8" t="s">
        <v>236</v>
      </c>
      <c r="AK9" s="7">
        <v>45798</v>
      </c>
      <c r="AL9" s="16">
        <v>8</v>
      </c>
      <c r="AM9" s="12">
        <f t="shared" si="5"/>
        <v>986000</v>
      </c>
      <c r="AN9" s="7">
        <f t="shared" si="6"/>
        <v>47355</v>
      </c>
      <c r="AO9" s="12">
        <f t="shared" si="7"/>
        <v>48400</v>
      </c>
      <c r="AP9" s="12">
        <f t="shared" si="8"/>
        <v>0</v>
      </c>
      <c r="AQ9" s="15">
        <f t="shared" si="9"/>
        <v>46220</v>
      </c>
      <c r="AR9" s="7">
        <f t="shared" si="10"/>
        <v>47295</v>
      </c>
      <c r="AS9" s="5">
        <v>736</v>
      </c>
      <c r="AT9" s="7">
        <v>45798</v>
      </c>
      <c r="AU9" s="5" t="s">
        <v>78</v>
      </c>
      <c r="AV9" s="17">
        <v>67</v>
      </c>
      <c r="AW9" s="37">
        <v>45871</v>
      </c>
      <c r="AX9" s="5" t="s">
        <v>359</v>
      </c>
      <c r="AY9" s="5" t="s">
        <v>458</v>
      </c>
      <c r="AZ9" s="13" t="s">
        <v>476</v>
      </c>
      <c r="BA9" s="12">
        <v>986000</v>
      </c>
      <c r="BB9" s="7">
        <v>45859</v>
      </c>
      <c r="BC9" s="14"/>
      <c r="BD9" s="14"/>
      <c r="BF9" s="12"/>
      <c r="BG9" s="14"/>
      <c r="BH9" s="19">
        <v>45945</v>
      </c>
      <c r="BI9" s="5">
        <v>1059</v>
      </c>
      <c r="BJ9" s="19">
        <v>45871</v>
      </c>
      <c r="BM9" s="18"/>
      <c r="BN9" s="18"/>
      <c r="BO9" s="18"/>
      <c r="BP9" s="18"/>
      <c r="BQ9" s="5"/>
      <c r="BR9" s="18"/>
      <c r="BS9" s="18"/>
      <c r="BT9" s="35">
        <f t="shared" si="11"/>
        <v>46187</v>
      </c>
      <c r="BU9" s="2" t="s">
        <v>233</v>
      </c>
    </row>
    <row r="10" spans="1:73" ht="58" x14ac:dyDescent="0.35">
      <c r="A10" s="5">
        <v>9</v>
      </c>
      <c r="B10" s="5"/>
      <c r="C10" s="5" t="s">
        <v>78</v>
      </c>
      <c r="D10" s="5">
        <v>1</v>
      </c>
      <c r="E10" s="5">
        <v>9</v>
      </c>
      <c r="F10" s="8" t="s">
        <v>126</v>
      </c>
      <c r="G10" s="8" t="s">
        <v>455</v>
      </c>
      <c r="H10" s="5" t="s">
        <v>12</v>
      </c>
      <c r="I10" s="5" t="str" cm="1">
        <f t="array" ref="I10">_xlfn.IFS(
  H10="Mahuva", "Mahuva",
  H10="Jesar", "Mahuva",
  H10="Palitana", "Palitana",
  H10="Gariyadhar", "Palitana",
  H10="Talaja", "Talaja",
  H10="Vallabhipur", "Vallabhipur",
  H10="Umrala", "Vallabhipur",
  H10="Shihor", "Shihor",
  H10="Ghogha", "Bhavnagar",
  H10="Bhavnagar", "Bhavnagar"
)</f>
        <v>Mahuva</v>
      </c>
      <c r="J10" s="5" t="s">
        <v>21</v>
      </c>
      <c r="K10" s="5"/>
      <c r="L10" s="5">
        <v>171582</v>
      </c>
      <c r="M10" s="5">
        <v>1</v>
      </c>
      <c r="N10" s="7">
        <v>45750</v>
      </c>
      <c r="O10" s="7">
        <v>45762</v>
      </c>
      <c r="P10" s="7">
        <v>45763</v>
      </c>
      <c r="Q10" s="7">
        <f t="shared" si="0"/>
        <v>45882</v>
      </c>
      <c r="R10" s="9">
        <v>19007984.359999999</v>
      </c>
      <c r="S10" s="9"/>
      <c r="T10" s="9">
        <v>17487345.609999999</v>
      </c>
      <c r="U10" s="10">
        <v>-8</v>
      </c>
      <c r="V10" s="10" t="str">
        <f t="shared" si="1"/>
        <v>Below</v>
      </c>
      <c r="W10" s="11" t="str" cm="1">
        <f t="array" ref="W10">NumberToWords(T10)</f>
        <v>One Crore Seventy Four Lakh Eighty Seven Thousand Three Hundred Forty Five Rupees and Sixty One Paise Only</v>
      </c>
      <c r="X10" s="10" t="str">
        <f t="shared" si="2"/>
        <v>Circle</v>
      </c>
      <c r="Z10" s="9">
        <f t="shared" si="3"/>
        <v>17487345.609999999</v>
      </c>
      <c r="AA10" s="5" t="s">
        <v>80</v>
      </c>
      <c r="AB10" s="8" t="str">
        <f>_xlfn.XLOOKUP(AA10, 'Agency List'!A$2:A$145, 'Agency List'!B$2:B$145, "Not Found")</f>
        <v>BHADRESHSINH BHAGWATSING GOHIL</v>
      </c>
      <c r="AC10" s="8" t="str">
        <f>_xlfn.XLOOKUP(AA10, 'Agency List'!A$2:A$145, 'Agency List'!C$2:C$145, "Not Found")</f>
        <v>A/8, AKSHARDEEP COMPLEX, OPP. DEEPAK MEMORIAL HALL, SANSKAR MANDAL, BHAVNAGAR-364002</v>
      </c>
      <c r="AD10" s="8">
        <f>_xlfn.XLOOKUP(AA10, 'Agency List'!A$2:A$145, 'Agency List'!D$2:D$145, "Not Found")</f>
        <v>9925209999</v>
      </c>
      <c r="AE10" s="7">
        <v>45777</v>
      </c>
      <c r="AF10" s="5" t="s">
        <v>821</v>
      </c>
      <c r="AG10" s="5" t="str">
        <f t="shared" si="4"/>
        <v>NA</v>
      </c>
      <c r="AH10" s="5"/>
      <c r="AI10" s="8" t="s">
        <v>69</v>
      </c>
      <c r="AJ10" s="20" t="s">
        <v>307</v>
      </c>
      <c r="AK10" s="7">
        <v>45791</v>
      </c>
      <c r="AL10" s="16">
        <v>8</v>
      </c>
      <c r="AM10" s="12">
        <f t="shared" si="5"/>
        <v>875000</v>
      </c>
      <c r="AN10" s="7">
        <f t="shared" si="6"/>
        <v>47355</v>
      </c>
      <c r="AO10" s="12">
        <f t="shared" si="7"/>
        <v>42900</v>
      </c>
      <c r="AP10" s="12">
        <f t="shared" si="8"/>
        <v>0</v>
      </c>
      <c r="AQ10" s="15">
        <f t="shared" si="9"/>
        <v>46220</v>
      </c>
      <c r="AR10" s="7">
        <f t="shared" si="10"/>
        <v>47295</v>
      </c>
      <c r="AS10" s="5">
        <v>856</v>
      </c>
      <c r="AT10" s="7">
        <v>45826</v>
      </c>
      <c r="AU10" s="5" t="s">
        <v>78</v>
      </c>
      <c r="AV10" s="17">
        <v>64</v>
      </c>
      <c r="AW10" s="37">
        <v>45871</v>
      </c>
      <c r="AX10" s="5" t="s">
        <v>359</v>
      </c>
      <c r="AY10" s="5" t="s">
        <v>458</v>
      </c>
      <c r="AZ10" s="13" t="s">
        <v>459</v>
      </c>
      <c r="BA10" s="12">
        <v>875000</v>
      </c>
      <c r="BB10" s="7">
        <v>45859</v>
      </c>
      <c r="BC10" s="14"/>
      <c r="BD10" s="14"/>
      <c r="BF10" s="12"/>
      <c r="BG10" s="14"/>
      <c r="BH10" s="19">
        <v>45945</v>
      </c>
      <c r="BI10" s="5">
        <v>1056</v>
      </c>
      <c r="BJ10" s="19">
        <v>45871</v>
      </c>
      <c r="BM10" s="18"/>
      <c r="BN10" s="18"/>
      <c r="BO10" s="18"/>
      <c r="BP10" s="18"/>
      <c r="BQ10" s="5"/>
      <c r="BR10" s="18"/>
      <c r="BS10" s="18"/>
      <c r="BT10" s="35">
        <f t="shared" si="11"/>
        <v>46187</v>
      </c>
      <c r="BU10" s="2" t="s">
        <v>233</v>
      </c>
    </row>
    <row r="11" spans="1:73" ht="67.25" customHeight="1" x14ac:dyDescent="0.35">
      <c r="A11" s="5">
        <v>10</v>
      </c>
      <c r="B11" s="5"/>
      <c r="C11" s="5" t="s">
        <v>78</v>
      </c>
      <c r="D11" s="5">
        <v>1</v>
      </c>
      <c r="E11" s="5">
        <v>10</v>
      </c>
      <c r="F11" s="8" t="s">
        <v>127</v>
      </c>
      <c r="G11" s="8" t="s">
        <v>84</v>
      </c>
      <c r="H11" s="5" t="s">
        <v>12</v>
      </c>
      <c r="I11" s="5" t="str" cm="1">
        <f t="array" ref="I11">_xlfn.IFS(
  H11="Mahuva", "Mahuva",
  H11="Jesar", "Mahuva",
  H11="Palitana", "Palitana",
  H11="Gariyadhar", "Palitana",
  H11="Talaja", "Talaja",
  H11="Vallabhipur", "Vallabhipur",
  H11="Umrala", "Vallabhipur",
  H11="Shihor", "Shihor",
  H11="Ghogha", "Bhavnagar",
  H11="Bhavnagar", "Bhavnagar"
)</f>
        <v>Mahuva</v>
      </c>
      <c r="J11" s="5" t="s">
        <v>21</v>
      </c>
      <c r="K11" s="5"/>
      <c r="L11" s="5">
        <v>171587</v>
      </c>
      <c r="M11" s="5">
        <v>1</v>
      </c>
      <c r="N11" s="7">
        <v>45750</v>
      </c>
      <c r="O11" s="7">
        <v>45762</v>
      </c>
      <c r="P11" s="7">
        <v>45763</v>
      </c>
      <c r="Q11" s="7">
        <f t="shared" si="0"/>
        <v>45882</v>
      </c>
      <c r="R11" s="9">
        <v>19285670.34</v>
      </c>
      <c r="S11" s="9"/>
      <c r="T11" s="9">
        <v>22012664.129999999</v>
      </c>
      <c r="U11" s="10">
        <v>14.14</v>
      </c>
      <c r="V11" s="10" t="str">
        <f t="shared" si="1"/>
        <v>Above</v>
      </c>
      <c r="W11" s="11" t="str" cm="1">
        <f t="array" ref="W11">NumberToWords(T11)</f>
        <v>Two Crore Twenty Lakh Twelve Thousand Six Hundred Sixty Four Rupees and Thirteen Paise Only</v>
      </c>
      <c r="X11" s="10" t="str">
        <f t="shared" si="2"/>
        <v>Government</v>
      </c>
      <c r="Z11" s="9">
        <f t="shared" si="3"/>
        <v>22012664.129999999</v>
      </c>
      <c r="AA11" s="5" t="s">
        <v>238</v>
      </c>
      <c r="AB11" s="8">
        <f>_xlfn.XLOOKUP(AA11, 'Agency List'!A$2:A$145, 'Agency List'!B$2:B$145, "Not Found")</f>
        <v>0</v>
      </c>
      <c r="AC11" s="8" t="str">
        <f>_xlfn.XLOOKUP(AA11, 'Agency List'!A$2:A$145, 'Agency List'!C$2:C$145, "Not Found")</f>
        <v>2/A, New York Corner, Behind Kiran Motors, Opp. Rajpath Club, Bodakdev, Ahmedabad - 380054</v>
      </c>
      <c r="AD11" s="8">
        <f>_xlfn.XLOOKUP(AA11, 'Agency List'!A$2:A$145, 'Agency List'!D$2:D$145, "Not Found")</f>
        <v>7777978777</v>
      </c>
      <c r="AE11" s="7">
        <v>45777</v>
      </c>
      <c r="AF11" s="5" t="s">
        <v>938</v>
      </c>
      <c r="AG11" s="5" t="str">
        <f t="shared" si="4"/>
        <v>NA</v>
      </c>
      <c r="AH11" s="5"/>
      <c r="AI11" s="32" t="s">
        <v>231</v>
      </c>
      <c r="AJ11" s="8" t="s">
        <v>305</v>
      </c>
      <c r="AK11" s="7">
        <v>45826</v>
      </c>
      <c r="AL11" s="16">
        <v>8</v>
      </c>
      <c r="AM11" s="12">
        <f t="shared" si="5"/>
        <v>1101000</v>
      </c>
      <c r="AN11" s="7">
        <f t="shared" si="6"/>
        <v>47355</v>
      </c>
      <c r="AO11" s="12">
        <f t="shared" si="7"/>
        <v>54000</v>
      </c>
      <c r="AP11" s="12">
        <f t="shared" si="8"/>
        <v>0</v>
      </c>
      <c r="AQ11" s="15">
        <f t="shared" si="9"/>
        <v>46220</v>
      </c>
      <c r="AR11" s="7">
        <f t="shared" si="10"/>
        <v>47295</v>
      </c>
      <c r="AS11" s="5">
        <v>881</v>
      </c>
      <c r="AT11" s="7">
        <v>45829</v>
      </c>
      <c r="AU11" s="5" t="s">
        <v>78</v>
      </c>
      <c r="AV11" s="17">
        <v>75</v>
      </c>
      <c r="AW11" s="37">
        <v>45877</v>
      </c>
      <c r="AX11" s="5" t="s">
        <v>359</v>
      </c>
      <c r="AY11" s="5" t="s">
        <v>598</v>
      </c>
      <c r="AZ11" s="13" t="s">
        <v>599</v>
      </c>
      <c r="BA11" s="12">
        <v>1101000</v>
      </c>
      <c r="BB11" s="7">
        <v>45847</v>
      </c>
      <c r="BC11" s="14"/>
      <c r="BD11" s="14"/>
      <c r="BF11" s="12"/>
      <c r="BG11" s="14"/>
      <c r="BH11" s="19">
        <v>45945</v>
      </c>
      <c r="BI11" s="5">
        <v>1053</v>
      </c>
      <c r="BJ11" s="19">
        <v>45877</v>
      </c>
      <c r="BM11" s="18"/>
      <c r="BN11" s="18"/>
      <c r="BO11" s="18"/>
      <c r="BP11" s="18"/>
      <c r="BQ11" s="5"/>
      <c r="BR11" s="18"/>
      <c r="BS11" s="18"/>
      <c r="BT11" s="35">
        <f t="shared" si="11"/>
        <v>46187</v>
      </c>
      <c r="BU11" s="2" t="s">
        <v>233</v>
      </c>
    </row>
    <row r="12" spans="1:73" ht="43.5" x14ac:dyDescent="0.35">
      <c r="A12" s="5">
        <v>11</v>
      </c>
      <c r="B12" s="5"/>
      <c r="C12" s="5" t="s">
        <v>78</v>
      </c>
      <c r="D12" s="5">
        <v>1</v>
      </c>
      <c r="E12" s="5">
        <v>11</v>
      </c>
      <c r="F12" s="8" t="s">
        <v>128</v>
      </c>
      <c r="G12" s="8"/>
      <c r="H12" s="5" t="s">
        <v>12</v>
      </c>
      <c r="I12" s="5" t="str" cm="1">
        <f t="array" ref="I12">_xlfn.IFS(
  H12="Mahuva", "Mahuva",
  H12="Jesar", "Mahuva",
  H12="Palitana", "Palitana",
  H12="Gariyadhar", "Palitana",
  H12="Talaja", "Talaja",
  H12="Vallabhipur", "Vallabhipur",
  H12="Umrala", "Vallabhipur",
  H12="Shihor", "Shihor",
  H12="Ghogha", "Bhavnagar",
  H12="Bhavnagar", "Bhavnagar"
)</f>
        <v>Mahuva</v>
      </c>
      <c r="J12" s="5" t="s">
        <v>21</v>
      </c>
      <c r="K12" s="5"/>
      <c r="L12" s="5">
        <v>171609</v>
      </c>
      <c r="M12" s="5">
        <v>1</v>
      </c>
      <c r="N12" s="7">
        <v>45750</v>
      </c>
      <c r="O12" s="7">
        <v>45762</v>
      </c>
      <c r="P12" s="7">
        <v>45763</v>
      </c>
      <c r="Q12" s="7">
        <f t="shared" si="0"/>
        <v>45882</v>
      </c>
      <c r="R12" s="9">
        <v>24637886.640000001</v>
      </c>
      <c r="S12" s="9"/>
      <c r="T12" s="9">
        <v>27126313.190000001</v>
      </c>
      <c r="U12" s="10">
        <v>10.1</v>
      </c>
      <c r="V12" s="10" t="str">
        <f t="shared" si="1"/>
        <v>Above</v>
      </c>
      <c r="W12" s="11" t="str" cm="1">
        <f t="array" ref="W12">NumberToWords(T12)</f>
        <v>Two Crore Seventy One Lakh Twenty Six Thousand Three Hundred Thirteen Rupees and Nineteen Paise Only</v>
      </c>
      <c r="X12" s="10" t="str">
        <f t="shared" si="2"/>
        <v>Government</v>
      </c>
      <c r="Z12" s="9">
        <f t="shared" si="3"/>
        <v>27126313.190000001</v>
      </c>
      <c r="AA12" s="5" t="s">
        <v>238</v>
      </c>
      <c r="AB12" s="8">
        <f>_xlfn.XLOOKUP(AA12, 'Agency List'!A$2:A$145, 'Agency List'!B$2:B$145, "Not Found")</f>
        <v>0</v>
      </c>
      <c r="AC12" s="8" t="str">
        <f>_xlfn.XLOOKUP(AA12, 'Agency List'!A$2:A$145, 'Agency List'!C$2:C$145, "Not Found")</f>
        <v>2/A, New York Corner, Behind Kiran Motors, Opp. Rajpath Club, Bodakdev, Ahmedabad - 380054</v>
      </c>
      <c r="AD12" s="8">
        <f>_xlfn.XLOOKUP(AA12, 'Agency List'!A$2:A$145, 'Agency List'!D$2:D$145, "Not Found")</f>
        <v>7777978777</v>
      </c>
      <c r="AE12" s="7">
        <v>45777</v>
      </c>
      <c r="AF12" s="5" t="s">
        <v>942</v>
      </c>
      <c r="AG12" s="5" t="str">
        <f t="shared" si="4"/>
        <v>NA</v>
      </c>
      <c r="AH12" s="5"/>
      <c r="AI12" s="32" t="s">
        <v>231</v>
      </c>
      <c r="AJ12" s="8" t="s">
        <v>237</v>
      </c>
      <c r="AK12" s="7">
        <v>45798</v>
      </c>
      <c r="AL12" s="16">
        <v>8</v>
      </c>
      <c r="AM12" s="12">
        <f t="shared" si="5"/>
        <v>1357000</v>
      </c>
      <c r="AN12" s="7">
        <f t="shared" si="6"/>
        <v>47355</v>
      </c>
      <c r="AO12" s="12">
        <f t="shared" si="7"/>
        <v>66500</v>
      </c>
      <c r="AP12" s="12">
        <f t="shared" si="8"/>
        <v>0</v>
      </c>
      <c r="AQ12" s="15">
        <f t="shared" si="9"/>
        <v>46220</v>
      </c>
      <c r="AR12" s="7">
        <f t="shared" si="10"/>
        <v>47295</v>
      </c>
      <c r="AS12" s="5">
        <v>737</v>
      </c>
      <c r="AT12" s="7">
        <v>45798</v>
      </c>
      <c r="AU12" s="5" t="s">
        <v>78</v>
      </c>
      <c r="AV12" s="17">
        <v>57</v>
      </c>
      <c r="AW12" s="37">
        <v>45857</v>
      </c>
      <c r="AX12" s="5" t="s">
        <v>359</v>
      </c>
      <c r="AY12" s="5" t="s">
        <v>361</v>
      </c>
      <c r="AZ12" s="13" t="s">
        <v>360</v>
      </c>
      <c r="BA12" s="12">
        <v>1357000</v>
      </c>
      <c r="BB12" s="7">
        <v>45824</v>
      </c>
      <c r="BC12" s="14"/>
      <c r="BD12" s="14"/>
      <c r="BF12" s="12"/>
      <c r="BG12" s="14"/>
      <c r="BH12" s="19">
        <v>45945</v>
      </c>
      <c r="BI12" s="5">
        <v>993</v>
      </c>
      <c r="BJ12" s="19">
        <v>45857</v>
      </c>
      <c r="BM12" s="18"/>
      <c r="BN12" s="18"/>
      <c r="BO12" s="18"/>
      <c r="BP12" s="18"/>
      <c r="BQ12" s="5"/>
      <c r="BR12" s="18"/>
      <c r="BS12" s="18"/>
      <c r="BT12" s="35">
        <f t="shared" si="11"/>
        <v>46187</v>
      </c>
      <c r="BU12" s="2" t="s">
        <v>233</v>
      </c>
    </row>
    <row r="13" spans="1:73" ht="43.5" x14ac:dyDescent="0.35">
      <c r="A13" s="5">
        <v>12</v>
      </c>
      <c r="B13" s="5"/>
      <c r="C13" s="5" t="s">
        <v>78</v>
      </c>
      <c r="D13" s="5">
        <v>1</v>
      </c>
      <c r="E13" s="5">
        <v>12</v>
      </c>
      <c r="F13" s="8" t="s">
        <v>129</v>
      </c>
      <c r="G13" s="8"/>
      <c r="H13" s="5" t="s">
        <v>1</v>
      </c>
      <c r="I13" s="5" t="str" cm="1">
        <f t="array" ref="I13">_xlfn.IFS(
  H13="Mahuva", "Mahuva",
  H13="Jesar", "Mahuva",
  H13="Palitana", "Palitana",
  H13="Gariyadhar", "Palitana",
  H13="Talaja", "Talaja",
  H13="Vallabhipur", "Vallabhipur",
  H13="Umrala", "Vallabhipur",
  H13="Shihor", "Shihor",
  H13="Ghogha", "Bhavnagar",
  H13="Bhavnagar", "Bhavnagar"
)</f>
        <v>Bhavnagar</v>
      </c>
      <c r="J13" s="5" t="s">
        <v>21</v>
      </c>
      <c r="K13" s="5"/>
      <c r="L13" s="5">
        <v>171614</v>
      </c>
      <c r="M13" s="5">
        <v>1</v>
      </c>
      <c r="N13" s="7">
        <v>45750</v>
      </c>
      <c r="O13" s="7">
        <v>45762</v>
      </c>
      <c r="P13" s="7">
        <v>45763</v>
      </c>
      <c r="Q13" s="7">
        <f t="shared" si="0"/>
        <v>45882</v>
      </c>
      <c r="R13" s="9">
        <v>34424113.649999999</v>
      </c>
      <c r="S13" s="9"/>
      <c r="T13" s="9">
        <v>28513493.34</v>
      </c>
      <c r="U13" s="10">
        <v>-17.170000000000002</v>
      </c>
      <c r="V13" s="10" t="str">
        <f t="shared" si="1"/>
        <v>Below</v>
      </c>
      <c r="W13" s="11" t="str" cm="1">
        <f t="array" ref="W13">NumberToWords(T13)</f>
        <v>Two Crore Eighty Five Lakh Thirteen Thousand Four Hundred Ninety Three Rupees and Thirty Four Paise Only</v>
      </c>
      <c r="X13" s="10" t="str">
        <f t="shared" si="2"/>
        <v>Government</v>
      </c>
      <c r="Z13" s="9">
        <f t="shared" si="3"/>
        <v>28513493.34</v>
      </c>
      <c r="AA13" s="5" t="s">
        <v>18</v>
      </c>
      <c r="AB13" s="8">
        <f>_xlfn.XLOOKUP(AA13, 'Agency List'!A$2:A$145, 'Agency List'!B$2:B$145, "Not Found")</f>
        <v>0</v>
      </c>
      <c r="AC13" s="8" t="str">
        <f>_xlfn.XLOOKUP(AA13, 'Agency List'!A$2:A$145, 'Agency List'!C$2:C$145, "Not Found")</f>
        <v>Shop No. 131/B, First Floor, Shiva Belssing-2, Opp. BMC Office, Bhavnagar</v>
      </c>
      <c r="AD13" s="8">
        <f>_xlfn.XLOOKUP(AA13, 'Agency List'!A$2:A$145, 'Agency List'!D$2:D$145, "Not Found")</f>
        <v>9925888787</v>
      </c>
      <c r="AE13" s="7">
        <v>45792</v>
      </c>
      <c r="AF13" s="5" t="s">
        <v>821</v>
      </c>
      <c r="AG13" s="5" t="str">
        <f t="shared" si="4"/>
        <v>NA</v>
      </c>
      <c r="AH13" s="5"/>
      <c r="AI13" s="32" t="s">
        <v>231</v>
      </c>
      <c r="AJ13" s="8" t="s">
        <v>242</v>
      </c>
      <c r="AK13" s="7">
        <v>45807</v>
      </c>
      <c r="AL13" s="16">
        <v>10</v>
      </c>
      <c r="AM13" s="12">
        <f t="shared" si="5"/>
        <v>1426000</v>
      </c>
      <c r="AN13" s="7">
        <f t="shared" si="6"/>
        <v>47474</v>
      </c>
      <c r="AO13" s="12">
        <f t="shared" si="7"/>
        <v>94100</v>
      </c>
      <c r="AP13" s="12">
        <f t="shared" si="8"/>
        <v>494000</v>
      </c>
      <c r="AQ13" s="15">
        <f t="shared" si="9"/>
        <v>46339</v>
      </c>
      <c r="AR13" s="7">
        <f t="shared" si="10"/>
        <v>47414</v>
      </c>
      <c r="AS13" s="5">
        <v>882</v>
      </c>
      <c r="AT13" s="7">
        <v>45829</v>
      </c>
      <c r="AU13" s="5" t="s">
        <v>78</v>
      </c>
      <c r="AV13" s="17">
        <v>239</v>
      </c>
      <c r="AW13" s="37">
        <v>46004</v>
      </c>
      <c r="AX13" s="5" t="s">
        <v>359</v>
      </c>
      <c r="AY13" s="5" t="s">
        <v>609</v>
      </c>
      <c r="AZ13" s="13" t="s">
        <v>923</v>
      </c>
      <c r="BA13" s="12">
        <v>1426000</v>
      </c>
      <c r="BB13" s="7">
        <v>45971</v>
      </c>
      <c r="BC13" s="5" t="s">
        <v>359</v>
      </c>
      <c r="BD13" s="5" t="s">
        <v>609</v>
      </c>
      <c r="BE13" s="13" t="s">
        <v>924</v>
      </c>
      <c r="BF13" s="12">
        <v>494000</v>
      </c>
      <c r="BG13" s="7">
        <v>45971</v>
      </c>
      <c r="BH13" s="19">
        <v>46004</v>
      </c>
      <c r="BI13" s="5">
        <v>1705</v>
      </c>
      <c r="BJ13" s="19">
        <v>46004</v>
      </c>
      <c r="BM13" s="18"/>
      <c r="BN13" s="18"/>
      <c r="BO13" s="18"/>
      <c r="BP13" s="18"/>
      <c r="BQ13" s="5"/>
      <c r="BR13" s="18"/>
      <c r="BS13" s="18"/>
      <c r="BT13" s="35">
        <f t="shared" si="11"/>
        <v>46307</v>
      </c>
      <c r="BU13" s="2" t="s">
        <v>233</v>
      </c>
    </row>
    <row r="14" spans="1:73" ht="43.5" x14ac:dyDescent="0.35">
      <c r="A14" s="5">
        <v>13</v>
      </c>
      <c r="B14" s="5"/>
      <c r="C14" s="5" t="s">
        <v>78</v>
      </c>
      <c r="D14" s="5">
        <v>1</v>
      </c>
      <c r="E14" s="5">
        <v>13</v>
      </c>
      <c r="F14" s="8" t="s">
        <v>130</v>
      </c>
      <c r="G14" s="8" t="s">
        <v>85</v>
      </c>
      <c r="H14" s="5" t="s">
        <v>12</v>
      </c>
      <c r="I14" s="5" t="str" cm="1">
        <f t="array" ref="I14">_xlfn.IFS(
  H14="Mahuva", "Mahuva",
  H14="Jesar", "Mahuva",
  H14="Palitana", "Palitana",
  H14="Gariyadhar", "Palitana",
  H14="Talaja", "Talaja",
  H14="Vallabhipur", "Vallabhipur",
  H14="Umrala", "Vallabhipur",
  H14="Shihor", "Shihor",
  H14="Ghogha", "Bhavnagar",
  H14="Bhavnagar", "Bhavnagar"
)</f>
        <v>Mahuva</v>
      </c>
      <c r="J14" s="5" t="s">
        <v>21</v>
      </c>
      <c r="K14" s="5"/>
      <c r="L14" s="5">
        <v>171617</v>
      </c>
      <c r="M14" s="5">
        <v>1</v>
      </c>
      <c r="N14" s="7">
        <v>45750</v>
      </c>
      <c r="O14" s="7">
        <v>45762</v>
      </c>
      <c r="P14" s="7">
        <v>45763</v>
      </c>
      <c r="Q14" s="7">
        <f t="shared" si="0"/>
        <v>45882</v>
      </c>
      <c r="R14" s="9">
        <v>23364615.09</v>
      </c>
      <c r="S14" s="9"/>
      <c r="T14" s="9">
        <v>23362278.629999999</v>
      </c>
      <c r="U14" s="10">
        <v>-0.01</v>
      </c>
      <c r="V14" s="10" t="str">
        <f t="shared" si="1"/>
        <v>Below</v>
      </c>
      <c r="W14" s="11" t="str" cm="1">
        <f t="array" ref="W14">NumberToWords(T14)</f>
        <v>Two Crore Thirty Three Lakh Sixty Two Thousand Two Hundred Seventy Eight Rupees and Sixty Three Paise Only</v>
      </c>
      <c r="X14" s="10" t="str">
        <f t="shared" si="2"/>
        <v>Government</v>
      </c>
      <c r="Z14" s="9">
        <f t="shared" si="3"/>
        <v>23362278.629999999</v>
      </c>
      <c r="AA14" s="5" t="s">
        <v>15</v>
      </c>
      <c r="AB14" s="8" t="str">
        <f>_xlfn.XLOOKUP(AA14, 'Agency List'!A$2:A$145, 'Agency List'!B$2:B$145, "Not Found")</f>
        <v>CHATURBHAI MOHANBHAI VAGHELA</v>
      </c>
      <c r="AC14" s="8" t="str">
        <f>_xlfn.XLOOKUP(AA14, 'Agency List'!A$2:A$145, 'Agency List'!C$2:C$145, "Not Found")</f>
        <v>MOTI PANIYALI, Via. Po. SHETRUNJI, Ta. PALITANA, Dist. BHAVNAGAR-364270</v>
      </c>
      <c r="AD14" s="8">
        <f>_xlfn.XLOOKUP(AA14, 'Agency List'!A$2:A$145, 'Agency List'!D$2:D$145, "Not Found")</f>
        <v>9925448120</v>
      </c>
      <c r="AE14" s="7">
        <v>45777</v>
      </c>
      <c r="AF14" s="5" t="s">
        <v>942</v>
      </c>
      <c r="AG14" s="5" t="str">
        <f t="shared" si="4"/>
        <v>NA</v>
      </c>
      <c r="AH14" s="5"/>
      <c r="AI14" s="32" t="s">
        <v>231</v>
      </c>
      <c r="AJ14" s="8" t="s">
        <v>340</v>
      </c>
      <c r="AK14" s="7">
        <v>45804</v>
      </c>
      <c r="AL14" s="16">
        <v>8</v>
      </c>
      <c r="AM14" s="12">
        <f t="shared" si="5"/>
        <v>1169000</v>
      </c>
      <c r="AN14" s="7">
        <f t="shared" si="6"/>
        <v>47355</v>
      </c>
      <c r="AO14" s="12">
        <f t="shared" si="7"/>
        <v>57300</v>
      </c>
      <c r="AP14" s="12">
        <f t="shared" si="8"/>
        <v>0</v>
      </c>
      <c r="AQ14" s="15">
        <f t="shared" si="9"/>
        <v>46220</v>
      </c>
      <c r="AR14" s="7">
        <f t="shared" si="10"/>
        <v>47295</v>
      </c>
      <c r="AS14" s="5">
        <v>883</v>
      </c>
      <c r="AT14" s="7">
        <v>45829</v>
      </c>
      <c r="AU14" s="5"/>
      <c r="AV14" s="17"/>
      <c r="AW14" s="17"/>
      <c r="AX14" s="5"/>
      <c r="AY14" s="5"/>
      <c r="AZ14" s="13"/>
      <c r="BA14" s="12"/>
      <c r="BB14" s="7"/>
      <c r="BC14" s="14"/>
      <c r="BD14" s="14"/>
      <c r="BF14" s="12"/>
      <c r="BG14" s="14"/>
      <c r="BH14" s="19">
        <v>45945</v>
      </c>
      <c r="BI14" s="5"/>
      <c r="BK14" s="5">
        <v>1772</v>
      </c>
      <c r="BL14" s="7">
        <v>46011</v>
      </c>
      <c r="BM14" s="18"/>
      <c r="BN14" s="18"/>
      <c r="BO14" s="18"/>
      <c r="BP14" s="18"/>
      <c r="BQ14" s="5"/>
      <c r="BR14" s="18"/>
      <c r="BS14" s="18"/>
      <c r="BT14" s="35">
        <f t="shared" si="11"/>
        <v>46187</v>
      </c>
      <c r="BU14" s="2" t="s">
        <v>1050</v>
      </c>
    </row>
    <row r="15" spans="1:73" ht="43.5" x14ac:dyDescent="0.35">
      <c r="A15" s="5">
        <v>14</v>
      </c>
      <c r="B15" s="5"/>
      <c r="C15" s="5" t="s">
        <v>78</v>
      </c>
      <c r="D15" s="5">
        <v>1</v>
      </c>
      <c r="E15" s="5">
        <v>14</v>
      </c>
      <c r="F15" s="8" t="s">
        <v>131</v>
      </c>
      <c r="G15" s="8"/>
      <c r="H15" s="5" t="s">
        <v>12</v>
      </c>
      <c r="I15" s="5" t="str" cm="1">
        <f t="array" ref="I15">_xlfn.IFS(
  H15="Mahuva", "Mahuva",
  H15="Jesar", "Mahuva",
  H15="Palitana", "Palitana",
  H15="Gariyadhar", "Palitana",
  H15="Talaja", "Talaja",
  H15="Vallabhipur", "Vallabhipur",
  H15="Umrala", "Vallabhipur",
  H15="Shihor", "Shihor",
  H15="Ghogha", "Bhavnagar",
  H15="Bhavnagar", "Bhavnagar"
)</f>
        <v>Mahuva</v>
      </c>
      <c r="J15" s="5" t="s">
        <v>21</v>
      </c>
      <c r="K15" s="5"/>
      <c r="L15" s="5">
        <v>171618</v>
      </c>
      <c r="M15" s="5">
        <v>1</v>
      </c>
      <c r="N15" s="7">
        <v>45750</v>
      </c>
      <c r="O15" s="7">
        <v>45762</v>
      </c>
      <c r="P15" s="7">
        <v>45763</v>
      </c>
      <c r="Q15" s="7">
        <f t="shared" si="0"/>
        <v>45882</v>
      </c>
      <c r="R15" s="9">
        <v>26862658.760000002</v>
      </c>
      <c r="S15" s="9"/>
      <c r="T15" s="9">
        <v>30142589.390000001</v>
      </c>
      <c r="U15" s="10">
        <v>12.21</v>
      </c>
      <c r="V15" s="10" t="str">
        <f t="shared" si="1"/>
        <v>Above</v>
      </c>
      <c r="W15" s="11" t="str" cm="1">
        <f t="array" ref="W15">NumberToWords(T15)</f>
        <v>Three Crore One Lakh Forty Two Thousand Five Hundred Eighty Nine Rupees and Thirty Nine Paise Only</v>
      </c>
      <c r="X15" s="10" t="str">
        <f t="shared" si="2"/>
        <v>Government</v>
      </c>
      <c r="Z15" s="9">
        <f t="shared" si="3"/>
        <v>30142589.390000001</v>
      </c>
      <c r="AA15" s="5" t="s">
        <v>238</v>
      </c>
      <c r="AB15" s="8">
        <f>_xlfn.XLOOKUP(AA15, 'Agency List'!A$2:A$145, 'Agency List'!B$2:B$145, "Not Found")</f>
        <v>0</v>
      </c>
      <c r="AC15" s="8" t="str">
        <f>_xlfn.XLOOKUP(AA15, 'Agency List'!A$2:A$145, 'Agency List'!C$2:C$145, "Not Found")</f>
        <v>2/A, New York Corner, Behind Kiran Motors, Opp. Rajpath Club, Bodakdev, Ahmedabad - 380054</v>
      </c>
      <c r="AD15" s="8">
        <f>_xlfn.XLOOKUP(AA15, 'Agency List'!A$2:A$145, 'Agency List'!D$2:D$145, "Not Found")</f>
        <v>7777978777</v>
      </c>
      <c r="AE15" s="7">
        <v>45777</v>
      </c>
      <c r="AF15" s="5" t="s">
        <v>942</v>
      </c>
      <c r="AG15" s="5" t="str">
        <f t="shared" si="4"/>
        <v>NA</v>
      </c>
      <c r="AH15" s="5"/>
      <c r="AI15" s="32" t="s">
        <v>231</v>
      </c>
      <c r="AJ15" s="8" t="s">
        <v>241</v>
      </c>
      <c r="AK15" s="7">
        <v>45804</v>
      </c>
      <c r="AL15" s="16">
        <v>6</v>
      </c>
      <c r="AM15" s="12">
        <f t="shared" si="5"/>
        <v>1508000</v>
      </c>
      <c r="AN15" s="7">
        <f t="shared" si="6"/>
        <v>47295</v>
      </c>
      <c r="AO15" s="12">
        <f t="shared" si="7"/>
        <v>73900</v>
      </c>
      <c r="AP15" s="12">
        <f t="shared" si="8"/>
        <v>0</v>
      </c>
      <c r="AQ15" s="15">
        <f t="shared" si="9"/>
        <v>46160</v>
      </c>
      <c r="AR15" s="7">
        <f t="shared" si="10"/>
        <v>47235</v>
      </c>
      <c r="AS15" s="5">
        <v>772</v>
      </c>
      <c r="AT15" s="7">
        <v>45804</v>
      </c>
      <c r="AU15" s="5" t="s">
        <v>78</v>
      </c>
      <c r="AV15" s="17">
        <v>58</v>
      </c>
      <c r="AW15" s="37">
        <v>45857</v>
      </c>
      <c r="AX15" s="5" t="s">
        <v>359</v>
      </c>
      <c r="AY15" s="5" t="s">
        <v>361</v>
      </c>
      <c r="AZ15" s="13" t="s">
        <v>362</v>
      </c>
      <c r="BA15" s="12">
        <v>1508000</v>
      </c>
      <c r="BB15" s="7">
        <v>45824</v>
      </c>
      <c r="BC15" s="14"/>
      <c r="BD15" s="14"/>
      <c r="BF15" s="12"/>
      <c r="BG15" s="14"/>
      <c r="BH15" s="19">
        <v>45945</v>
      </c>
      <c r="BI15" s="5">
        <v>994</v>
      </c>
      <c r="BJ15" s="19">
        <v>45857</v>
      </c>
      <c r="BM15" s="18"/>
      <c r="BN15" s="18"/>
      <c r="BO15" s="18"/>
      <c r="BP15" s="18"/>
      <c r="BQ15" s="5"/>
      <c r="BR15" s="18"/>
      <c r="BS15" s="18"/>
      <c r="BT15" s="35">
        <f t="shared" si="11"/>
        <v>46126</v>
      </c>
      <c r="BU15" s="2" t="s">
        <v>233</v>
      </c>
    </row>
    <row r="16" spans="1:73" ht="58" x14ac:dyDescent="0.35">
      <c r="A16" s="5">
        <v>15</v>
      </c>
      <c r="B16" s="5"/>
      <c r="C16" s="5" t="s">
        <v>78</v>
      </c>
      <c r="D16" s="5">
        <v>1</v>
      </c>
      <c r="E16" s="5">
        <v>15</v>
      </c>
      <c r="F16" s="8" t="s">
        <v>132</v>
      </c>
      <c r="G16" s="8" t="s">
        <v>86</v>
      </c>
      <c r="H16" s="5" t="s">
        <v>1</v>
      </c>
      <c r="I16" s="5" t="str" cm="1">
        <f t="array" ref="I16">_xlfn.IFS(
  H16="Mahuva", "Mahuva",
  H16="Jesar", "Mahuva",
  H16="Palitana", "Palitana",
  H16="Gariyadhar", "Palitana",
  H16="Talaja", "Talaja",
  H16="Vallabhipur", "Vallabhipur",
  H16="Umrala", "Vallabhipur",
  H16="Shihor", "Shihor",
  H16="Ghogha", "Bhavnagar",
  H16="Bhavnagar", "Bhavnagar"
)</f>
        <v>Bhavnagar</v>
      </c>
      <c r="J16" s="5" t="s">
        <v>21</v>
      </c>
      <c r="K16" s="5"/>
      <c r="L16" s="5">
        <v>171621</v>
      </c>
      <c r="M16" s="5">
        <v>1</v>
      </c>
      <c r="N16" s="7">
        <v>45750</v>
      </c>
      <c r="O16" s="7">
        <v>45762</v>
      </c>
      <c r="P16" s="7">
        <v>45763</v>
      </c>
      <c r="Q16" s="7">
        <f t="shared" si="0"/>
        <v>45882</v>
      </c>
      <c r="R16" s="9">
        <v>11020839.960000001</v>
      </c>
      <c r="S16" s="9"/>
      <c r="T16" s="9">
        <v>11020839.960000001</v>
      </c>
      <c r="U16" s="10">
        <v>0</v>
      </c>
      <c r="V16" s="10" t="str">
        <f t="shared" si="1"/>
        <v>Equals</v>
      </c>
      <c r="W16" s="11" t="str" cm="1">
        <f t="array" ref="W16">NumberToWords(T16)</f>
        <v>One Crore Ten Lakh Twenty Thousand Eight Hundred Thirty Nine Rupees and Ninety Six Paise Only</v>
      </c>
      <c r="X16" s="10" t="str">
        <f t="shared" si="2"/>
        <v>Circle</v>
      </c>
      <c r="Z16" s="9">
        <f t="shared" si="3"/>
        <v>11020839.960000001</v>
      </c>
      <c r="AA16" s="5" t="s">
        <v>80</v>
      </c>
      <c r="AB16" s="8" t="str">
        <f>_xlfn.XLOOKUP(AA16, 'Agency List'!A$2:A$145, 'Agency List'!B$2:B$145, "Not Found")</f>
        <v>BHADRESHSINH BHAGWATSING GOHIL</v>
      </c>
      <c r="AC16" s="8" t="str">
        <f>_xlfn.XLOOKUP(AA16, 'Agency List'!A$2:A$145, 'Agency List'!C$2:C$145, "Not Found")</f>
        <v>A/8, AKSHARDEEP COMPLEX, OPP. DEEPAK MEMORIAL HALL, SANSKAR MANDAL, BHAVNAGAR-364002</v>
      </c>
      <c r="AD16" s="8">
        <f>_xlfn.XLOOKUP(AA16, 'Agency List'!A$2:A$145, 'Agency List'!D$2:D$145, "Not Found")</f>
        <v>9925209999</v>
      </c>
      <c r="AE16" s="7">
        <v>45777</v>
      </c>
      <c r="AF16" s="5" t="s">
        <v>942</v>
      </c>
      <c r="AG16" s="5" t="str">
        <f t="shared" si="4"/>
        <v>NA</v>
      </c>
      <c r="AH16" s="5"/>
      <c r="AI16" s="8" t="s">
        <v>69</v>
      </c>
      <c r="AJ16" s="20" t="s">
        <v>308</v>
      </c>
      <c r="AK16" s="7">
        <v>45791</v>
      </c>
      <c r="AL16" s="16">
        <v>8</v>
      </c>
      <c r="AM16" s="12">
        <f t="shared" si="5"/>
        <v>552000</v>
      </c>
      <c r="AN16" s="7">
        <f t="shared" si="6"/>
        <v>47355</v>
      </c>
      <c r="AO16" s="12">
        <f t="shared" si="7"/>
        <v>27100</v>
      </c>
      <c r="AP16" s="12">
        <f t="shared" si="8"/>
        <v>0</v>
      </c>
      <c r="AQ16" s="15">
        <f t="shared" si="9"/>
        <v>46220</v>
      </c>
      <c r="AR16" s="7">
        <f t="shared" si="10"/>
        <v>47295</v>
      </c>
      <c r="AS16" s="5">
        <v>857</v>
      </c>
      <c r="AT16" s="7">
        <v>45826</v>
      </c>
      <c r="AU16" s="5" t="s">
        <v>78</v>
      </c>
      <c r="AV16" s="17">
        <v>69</v>
      </c>
      <c r="AW16" s="37">
        <v>45871</v>
      </c>
      <c r="AX16" s="5" t="s">
        <v>359</v>
      </c>
      <c r="AY16" s="5" t="s">
        <v>458</v>
      </c>
      <c r="AZ16" s="13" t="s">
        <v>478</v>
      </c>
      <c r="BA16" s="12">
        <v>552000</v>
      </c>
      <c r="BB16" s="7">
        <v>45859</v>
      </c>
      <c r="BC16" s="14"/>
      <c r="BD16" s="14"/>
      <c r="BF16" s="12"/>
      <c r="BG16" s="14"/>
      <c r="BH16" s="19">
        <v>45945</v>
      </c>
      <c r="BI16" s="5">
        <v>1061</v>
      </c>
      <c r="BJ16" s="19">
        <v>45871</v>
      </c>
      <c r="BM16" s="18"/>
      <c r="BN16" s="18"/>
      <c r="BO16" s="18"/>
      <c r="BP16" s="18"/>
      <c r="BQ16" s="5"/>
      <c r="BR16" s="18"/>
      <c r="BS16" s="18"/>
      <c r="BT16" s="35">
        <f t="shared" si="11"/>
        <v>46187</v>
      </c>
      <c r="BU16" s="2" t="s">
        <v>1048</v>
      </c>
    </row>
    <row r="17" spans="1:73" ht="43.5" x14ac:dyDescent="0.35">
      <c r="A17" s="5">
        <v>16</v>
      </c>
      <c r="B17" s="5"/>
      <c r="C17" s="5" t="s">
        <v>78</v>
      </c>
      <c r="D17" s="5">
        <v>1</v>
      </c>
      <c r="E17" s="5">
        <v>16</v>
      </c>
      <c r="F17" s="8" t="s">
        <v>133</v>
      </c>
      <c r="G17" s="8" t="s">
        <v>87</v>
      </c>
      <c r="H17" s="5" t="s">
        <v>3</v>
      </c>
      <c r="I17" s="5" t="str" cm="1">
        <f t="array" ref="I17">_xlfn.IFS(
  H17="Mahuva", "Mahuva",
  H17="Jesar", "Mahuva",
  H17="Palitana", "Palitana",
  H17="Gariyadhar", "Palitana",
  H17="Talaja", "Talaja",
  H17="Vallabhipur", "Vallabhipur",
  H17="Umrala", "Vallabhipur",
  H17="Shihor", "Shihor",
  H17="Ghogha", "Bhavnagar",
  H17="Bhavnagar", "Bhavnagar"
)</f>
        <v>Palitana</v>
      </c>
      <c r="J17" s="5" t="s">
        <v>21</v>
      </c>
      <c r="K17" s="5"/>
      <c r="L17" s="5">
        <v>171624</v>
      </c>
      <c r="M17" s="5">
        <v>1</v>
      </c>
      <c r="N17" s="7">
        <v>45750</v>
      </c>
      <c r="O17" s="7">
        <v>45762</v>
      </c>
      <c r="P17" s="7">
        <v>45763</v>
      </c>
      <c r="Q17" s="7">
        <f t="shared" si="0"/>
        <v>45882</v>
      </c>
      <c r="R17" s="9">
        <v>24743989.260000002</v>
      </c>
      <c r="S17" s="9"/>
      <c r="T17" s="9">
        <v>23259349.899999999</v>
      </c>
      <c r="U17" s="10">
        <v>-6</v>
      </c>
      <c r="V17" s="10" t="str">
        <f t="shared" si="1"/>
        <v>Below</v>
      </c>
      <c r="W17" s="11" t="str" cm="1">
        <f t="array" ref="W17">NumberToWords(T17)</f>
        <v>Two Crore Thirty Two Lakh Fifty Nine Thousand Three Hundred Forty Nine Rupees and Nine Paise Only</v>
      </c>
      <c r="X17" s="10" t="str">
        <f t="shared" si="2"/>
        <v>Government</v>
      </c>
      <c r="Z17" s="9">
        <f t="shared" si="3"/>
        <v>23259349.899999999</v>
      </c>
      <c r="AA17" s="5" t="s">
        <v>14</v>
      </c>
      <c r="AB17" s="8" t="str">
        <f>_xlfn.XLOOKUP(AA17, 'Agency List'!A$2:A$145, 'Agency List'!B$2:B$145, "Not Found")</f>
        <v>VANRAJSINH BOGHUBHA SARVAIYA</v>
      </c>
      <c r="AC17" s="8" t="str">
        <f>_xlfn.XLOOKUP(AA17, 'Agency List'!A$2:A$145, 'Agency List'!C$2:C$145, "Not Found")</f>
        <v>314, Third Floor, Surabhi Mall, Waghawadi Road, BHAVNAGAR-364001</v>
      </c>
      <c r="AD17" s="8">
        <f>_xlfn.XLOOKUP(AA17, 'Agency List'!A$2:A$145, 'Agency List'!D$2:D$145, "Not Found")</f>
        <v>9427511001</v>
      </c>
      <c r="AE17" s="7">
        <v>45777</v>
      </c>
      <c r="AF17" s="5" t="s">
        <v>939</v>
      </c>
      <c r="AG17" s="5" t="str">
        <f t="shared" si="4"/>
        <v>Karobari</v>
      </c>
      <c r="AH17" s="57">
        <v>45809</v>
      </c>
      <c r="AI17" s="32" t="s">
        <v>231</v>
      </c>
      <c r="AJ17" s="8" t="s">
        <v>232</v>
      </c>
      <c r="AK17" s="7">
        <v>45797</v>
      </c>
      <c r="AL17" s="16">
        <v>8</v>
      </c>
      <c r="AM17" s="12">
        <f t="shared" si="5"/>
        <v>1163000</v>
      </c>
      <c r="AN17" s="7">
        <f t="shared" si="6"/>
        <v>47391</v>
      </c>
      <c r="AO17" s="12">
        <f t="shared" si="7"/>
        <v>57000</v>
      </c>
      <c r="AP17" s="12">
        <f t="shared" si="8"/>
        <v>0</v>
      </c>
      <c r="AQ17" s="15">
        <f t="shared" si="9"/>
        <v>46256</v>
      </c>
      <c r="AR17" s="7">
        <f t="shared" si="10"/>
        <v>47331</v>
      </c>
      <c r="AS17" s="5">
        <v>892</v>
      </c>
      <c r="AT17" s="7">
        <v>45826</v>
      </c>
      <c r="AU17" s="5" t="s">
        <v>78</v>
      </c>
      <c r="AV17" s="17">
        <v>215</v>
      </c>
      <c r="AW17" s="37">
        <v>45981</v>
      </c>
      <c r="AX17" s="5" t="s">
        <v>359</v>
      </c>
      <c r="AY17" s="5" t="s">
        <v>369</v>
      </c>
      <c r="AZ17" s="13" t="s">
        <v>878</v>
      </c>
      <c r="BA17" s="12">
        <v>1163000</v>
      </c>
      <c r="BB17" s="7">
        <v>45912</v>
      </c>
      <c r="BC17" s="14"/>
      <c r="BD17" s="14"/>
      <c r="BF17" s="12"/>
      <c r="BG17" s="14"/>
      <c r="BH17" s="19">
        <v>45981</v>
      </c>
      <c r="BI17" s="5">
        <v>1547</v>
      </c>
      <c r="BJ17" s="19">
        <v>45981</v>
      </c>
      <c r="BM17" s="18"/>
      <c r="BN17" s="18"/>
      <c r="BO17" s="18"/>
      <c r="BP17" s="18"/>
      <c r="BQ17" s="5"/>
      <c r="BR17" s="18"/>
      <c r="BS17" s="18"/>
      <c r="BT17" s="35">
        <f t="shared" si="11"/>
        <v>46222</v>
      </c>
      <c r="BU17" s="2" t="s">
        <v>233</v>
      </c>
    </row>
    <row r="18" spans="1:73" ht="43.5" x14ac:dyDescent="0.35">
      <c r="A18" s="5">
        <v>17</v>
      </c>
      <c r="B18" s="5"/>
      <c r="C18" s="5" t="s">
        <v>78</v>
      </c>
      <c r="D18" s="5">
        <v>1</v>
      </c>
      <c r="E18" s="5">
        <v>17</v>
      </c>
      <c r="F18" s="8" t="s">
        <v>366</v>
      </c>
      <c r="G18" s="8"/>
      <c r="H18" s="5" t="s">
        <v>12</v>
      </c>
      <c r="I18" s="5" t="str" cm="1">
        <f t="array" ref="I18">_xlfn.IFS(
  H18="Mahuva", "Mahuva",
  H18="Jesar", "Mahuva",
  H18="Palitana", "Palitana",
  H18="Gariyadhar", "Palitana",
  H18="Talaja", "Talaja",
  H18="Vallabhipur", "Vallabhipur",
  H18="Umrala", "Vallabhipur",
  H18="Shihor", "Shihor",
  H18="Ghogha", "Bhavnagar",
  H18="Bhavnagar", "Bhavnagar"
)</f>
        <v>Mahuva</v>
      </c>
      <c r="J18" s="5" t="s">
        <v>21</v>
      </c>
      <c r="K18" s="5"/>
      <c r="L18" s="5">
        <v>171483</v>
      </c>
      <c r="M18" s="5">
        <v>1</v>
      </c>
      <c r="N18" s="7">
        <v>45750</v>
      </c>
      <c r="O18" s="7">
        <v>45762</v>
      </c>
      <c r="P18" s="7">
        <v>45763</v>
      </c>
      <c r="Q18" s="7">
        <f t="shared" si="0"/>
        <v>45882</v>
      </c>
      <c r="R18" s="9">
        <v>29379827.5</v>
      </c>
      <c r="S18" s="9"/>
      <c r="T18" s="9">
        <v>30848818.879999999</v>
      </c>
      <c r="U18" s="10">
        <v>5</v>
      </c>
      <c r="V18" s="10" t="str">
        <f t="shared" si="1"/>
        <v>Above</v>
      </c>
      <c r="W18" s="11" t="str" cm="1">
        <f t="array" ref="W18">NumberToWords(T18)</f>
        <v>Three Crore Eight Lakh Forty Eight Thousand Eight Hundred Eighteen Rupees and Eighty Eight Paise Only</v>
      </c>
      <c r="X18" s="10" t="str">
        <f t="shared" si="2"/>
        <v>Government</v>
      </c>
      <c r="Z18" s="9">
        <f t="shared" si="3"/>
        <v>30848818.879999999</v>
      </c>
      <c r="AA18" s="5" t="s">
        <v>14</v>
      </c>
      <c r="AB18" s="8" t="str">
        <f>_xlfn.XLOOKUP(AA18, 'Agency List'!A$2:A$145, 'Agency List'!B$2:B$145, "Not Found")</f>
        <v>VANRAJSINH BOGHUBHA SARVAIYA</v>
      </c>
      <c r="AC18" s="8" t="str">
        <f>_xlfn.XLOOKUP(AA18, 'Agency List'!A$2:A$145, 'Agency List'!C$2:C$145, "Not Found")</f>
        <v>314, Third Floor, Surabhi Mall, Waghawadi Road, BHAVNAGAR-364001</v>
      </c>
      <c r="AD18" s="8">
        <f>_xlfn.XLOOKUP(AA18, 'Agency List'!A$2:A$145, 'Agency List'!D$2:D$145, "Not Found")</f>
        <v>9427511001</v>
      </c>
      <c r="AE18" s="7">
        <v>45777</v>
      </c>
      <c r="AF18" s="5" t="s">
        <v>943</v>
      </c>
      <c r="AG18" s="5" t="str">
        <f t="shared" si="4"/>
        <v>NA</v>
      </c>
      <c r="AH18" s="5"/>
      <c r="AI18" s="32" t="s">
        <v>231</v>
      </c>
      <c r="AJ18" s="8" t="s">
        <v>234</v>
      </c>
      <c r="AK18" s="7">
        <v>45797</v>
      </c>
      <c r="AL18" s="16">
        <v>6</v>
      </c>
      <c r="AM18" s="12">
        <f t="shared" si="5"/>
        <v>1543000</v>
      </c>
      <c r="AN18" s="7">
        <f t="shared" si="6"/>
        <v>47295</v>
      </c>
      <c r="AO18" s="12">
        <f t="shared" si="7"/>
        <v>75700</v>
      </c>
      <c r="AP18" s="12">
        <f t="shared" si="8"/>
        <v>0</v>
      </c>
      <c r="AQ18" s="15">
        <f t="shared" si="9"/>
        <v>46160</v>
      </c>
      <c r="AR18" s="7">
        <f t="shared" si="10"/>
        <v>47235</v>
      </c>
      <c r="AS18" s="5">
        <v>734</v>
      </c>
      <c r="AT18" s="7">
        <v>45798</v>
      </c>
      <c r="AU18" s="5" t="s">
        <v>78</v>
      </c>
      <c r="AV18" s="17">
        <v>61</v>
      </c>
      <c r="AW18" s="37">
        <v>45857</v>
      </c>
      <c r="AX18" s="5" t="s">
        <v>359</v>
      </c>
      <c r="AY18" s="5" t="s">
        <v>363</v>
      </c>
      <c r="AZ18" s="13" t="s">
        <v>365</v>
      </c>
      <c r="BA18" s="12">
        <v>1543000</v>
      </c>
      <c r="BB18" s="7">
        <v>45831</v>
      </c>
      <c r="BC18" s="14"/>
      <c r="BD18" s="14"/>
      <c r="BF18" s="12"/>
      <c r="BG18" s="14"/>
      <c r="BH18" s="19">
        <v>45945</v>
      </c>
      <c r="BI18" s="5">
        <v>997</v>
      </c>
      <c r="BJ18" s="19">
        <v>45857</v>
      </c>
      <c r="BM18" s="18"/>
      <c r="BN18" s="18"/>
      <c r="BO18" s="18"/>
      <c r="BP18" s="18"/>
      <c r="BQ18" s="5"/>
      <c r="BR18" s="18"/>
      <c r="BS18" s="18"/>
      <c r="BT18" s="35">
        <f t="shared" si="11"/>
        <v>46126</v>
      </c>
      <c r="BU18" s="2" t="s">
        <v>233</v>
      </c>
    </row>
    <row r="19" spans="1:73" ht="168" customHeight="1" x14ac:dyDescent="0.35">
      <c r="A19" s="5">
        <v>18</v>
      </c>
      <c r="B19" s="5"/>
      <c r="C19" s="5" t="s">
        <v>78</v>
      </c>
      <c r="D19" s="5">
        <v>1</v>
      </c>
      <c r="E19" s="5">
        <v>18</v>
      </c>
      <c r="F19" s="8" t="s">
        <v>67</v>
      </c>
      <c r="G19" s="6" t="s">
        <v>90</v>
      </c>
      <c r="H19" s="5" t="s">
        <v>11</v>
      </c>
      <c r="I19" s="5" t="str" cm="1">
        <f t="array" ref="I19">_xlfn.IFS(
  H19="Mahuva", "Mahuva",
  H19="Jesar", "Mahuva",
  H19="Palitana", "Palitana",
  H19="Gariyadhar", "Palitana",
  H19="Talaja", "Talaja",
  H19="Vallabhipur", "Vallabhipur",
  H19="Umrala", "Vallabhipur",
  H19="Shihor", "Shihor",
  H19="Ghogha", "Bhavnagar",
  H19="Bhavnagar", "Bhavnagar"
)</f>
        <v>Vallabhipur</v>
      </c>
      <c r="J19" s="5" t="s">
        <v>21</v>
      </c>
      <c r="K19" s="5"/>
      <c r="L19" s="5">
        <v>171618</v>
      </c>
      <c r="M19" s="5">
        <v>1</v>
      </c>
      <c r="N19" s="7">
        <v>45750</v>
      </c>
      <c r="O19" s="7">
        <v>45762</v>
      </c>
      <c r="P19" s="7">
        <v>45763</v>
      </c>
      <c r="Q19" s="7">
        <f t="shared" si="0"/>
        <v>45882</v>
      </c>
      <c r="S19" s="33" t="s">
        <v>233</v>
      </c>
      <c r="U19" s="10"/>
      <c r="V19" s="10" t="str">
        <f t="shared" si="1"/>
        <v>Equals</v>
      </c>
      <c r="W19" s="11" t="str" cm="1">
        <f t="array" ref="W19">NumberToWords(T19)</f>
        <v>Zero Rupees Only</v>
      </c>
      <c r="X19" s="10" t="str">
        <f t="shared" si="2"/>
        <v>Division</v>
      </c>
      <c r="Z19" s="9">
        <f t="shared" si="3"/>
        <v>0</v>
      </c>
      <c r="AB19" s="8">
        <f>_xlfn.XLOOKUP(AA19, 'Agency List'!A$2:A$145, 'Agency List'!B$2:B$145, "Not Found")</f>
        <v>0</v>
      </c>
      <c r="AC19" s="8">
        <f>_xlfn.XLOOKUP(AA19, 'Agency List'!A$2:A$145, 'Agency List'!C$2:C$145, "Not Found")</f>
        <v>0</v>
      </c>
      <c r="AD19" s="8">
        <f>_xlfn.XLOOKUP(AA19, 'Agency List'!A$2:A$145, 'Agency List'!D$2:D$145, "Not Found")</f>
        <v>0</v>
      </c>
      <c r="AE19" s="7"/>
      <c r="AF19" s="5"/>
      <c r="AG19" s="5" t="str">
        <f t="shared" si="4"/>
        <v>Bandhkam</v>
      </c>
      <c r="AH19" s="5"/>
      <c r="AI19" s="8"/>
      <c r="AJ19" s="8"/>
      <c r="AL19" s="16"/>
      <c r="AM19" s="12">
        <f t="shared" si="5"/>
        <v>0</v>
      </c>
      <c r="AN19" s="7">
        <f t="shared" si="6"/>
        <v>450</v>
      </c>
      <c r="AO19" s="12">
        <f t="shared" si="7"/>
        <v>0</v>
      </c>
      <c r="AP19" s="12">
        <f t="shared" si="8"/>
        <v>0</v>
      </c>
      <c r="AQ19" s="15">
        <f t="shared" si="9"/>
        <v>35</v>
      </c>
      <c r="AR19" s="7">
        <f t="shared" si="10"/>
        <v>390</v>
      </c>
      <c r="AS19" s="5"/>
      <c r="AU19" s="5"/>
      <c r="AV19" s="17"/>
      <c r="AW19" s="17"/>
      <c r="AX19" s="5"/>
      <c r="AY19" s="5"/>
      <c r="AZ19" s="13"/>
      <c r="BA19" s="12"/>
      <c r="BB19" s="7"/>
      <c r="BC19" s="14"/>
      <c r="BD19" s="14"/>
      <c r="BF19" s="12"/>
      <c r="BG19" s="14"/>
      <c r="BH19" s="19"/>
      <c r="BI19" s="5"/>
      <c r="BM19" s="18"/>
      <c r="BN19" s="18"/>
      <c r="BO19" s="18"/>
      <c r="BP19" s="18"/>
      <c r="BQ19" s="5"/>
      <c r="BR19" s="18"/>
      <c r="BS19" s="18"/>
      <c r="BT19" s="35">
        <f t="shared" si="11"/>
        <v>-1</v>
      </c>
      <c r="BU19" s="2" t="s">
        <v>1049</v>
      </c>
    </row>
    <row r="20" spans="1:73" ht="75.5" customHeight="1" x14ac:dyDescent="0.35">
      <c r="A20" s="5">
        <v>19</v>
      </c>
      <c r="B20" s="5"/>
      <c r="C20" s="5" t="s">
        <v>78</v>
      </c>
      <c r="D20" s="5">
        <v>1</v>
      </c>
      <c r="E20" s="5">
        <v>19</v>
      </c>
      <c r="F20" s="8" t="s">
        <v>134</v>
      </c>
      <c r="G20" s="6" t="s">
        <v>65</v>
      </c>
      <c r="H20" s="5" t="s">
        <v>2</v>
      </c>
      <c r="I20" s="5" t="str" cm="1">
        <f t="array" ref="I20">_xlfn.IFS(
  H20="Mahuva", "Mahuva",
  H20="Jesar", "Mahuva",
  H20="Palitana", "Palitana",
  H20="Gariyadhar", "Palitana",
  H20="Talaja", "Talaja",
  H20="Vallabhipur", "Vallabhipur",
  H20="Umrala", "Vallabhipur",
  H20="Shihor", "Shihor",
  H20="Ghogha", "Bhavnagar",
  H20="Bhavnagar", "Bhavnagar"
)</f>
        <v>Vallabhipur</v>
      </c>
      <c r="J20" s="5" t="s">
        <v>21</v>
      </c>
      <c r="K20" s="5"/>
      <c r="L20" s="5">
        <v>171638</v>
      </c>
      <c r="M20" s="5">
        <v>1</v>
      </c>
      <c r="N20" s="7">
        <v>45750</v>
      </c>
      <c r="O20" s="7">
        <v>45762</v>
      </c>
      <c r="P20" s="7">
        <v>45763</v>
      </c>
      <c r="Q20" s="7">
        <f t="shared" si="0"/>
        <v>45882</v>
      </c>
      <c r="R20" s="9">
        <v>12145304.619999999</v>
      </c>
      <c r="S20" s="9"/>
      <c r="T20" s="9">
        <v>9527991.4700000007</v>
      </c>
      <c r="U20" s="10">
        <v>-21.55</v>
      </c>
      <c r="V20" s="10" t="str">
        <f t="shared" si="1"/>
        <v>Below</v>
      </c>
      <c r="W20" s="11" t="str" cm="1">
        <f t="array" ref="W20">NumberToWords(T20)</f>
        <v>Ninety Five Lakh Twenty Seven Thousand Nine Hundred Ninety One Rupees and Forty Seven Paise Only</v>
      </c>
      <c r="X20" s="10" t="str">
        <f t="shared" si="2"/>
        <v>Circle</v>
      </c>
      <c r="Z20" s="9">
        <f t="shared" si="3"/>
        <v>9527991.4700000007</v>
      </c>
      <c r="AA20" s="5" t="s">
        <v>17</v>
      </c>
      <c r="AB20" s="8" t="str">
        <f>_xlfn.XLOOKUP(AA20, 'Agency List'!A$2:A$145, 'Agency List'!B$2:B$145, "Not Found")</f>
        <v xml:space="preserve"> VINODBHAI MEGHJIBHAI SOJITRA</v>
      </c>
      <c r="AC20" s="8" t="str">
        <f>_xlfn.XLOOKUP(AA20, 'Agency List'!A$2:A$145, 'Agency List'!C$2:C$145, "Not Found")</f>
        <v>SHOP NO. 7, FIRST FLOOR, AKSHAR RESIDENCY, GIRIRAJ MAIN ROAD,  JUNAGADH - 362001</v>
      </c>
      <c r="AD20" s="8">
        <f>_xlfn.XLOOKUP(AA20, 'Agency List'!A$2:A$145, 'Agency List'!D$2:D$145, "Not Found")</f>
        <v>6352432868</v>
      </c>
      <c r="AE20" s="7">
        <v>45777</v>
      </c>
      <c r="AF20" s="5" t="s">
        <v>943</v>
      </c>
      <c r="AG20" s="5" t="str">
        <f t="shared" si="4"/>
        <v>NA</v>
      </c>
      <c r="AH20" s="5"/>
      <c r="AI20" s="8" t="s">
        <v>69</v>
      </c>
      <c r="AJ20" s="20" t="s">
        <v>309</v>
      </c>
      <c r="AK20" s="7">
        <v>45791</v>
      </c>
      <c r="AL20" s="16">
        <v>8</v>
      </c>
      <c r="AM20" s="12">
        <f t="shared" si="5"/>
        <v>477000</v>
      </c>
      <c r="AN20" s="7">
        <f t="shared" si="6"/>
        <v>47423</v>
      </c>
      <c r="AO20" s="12">
        <f t="shared" si="7"/>
        <v>44100</v>
      </c>
      <c r="AP20" s="12">
        <f t="shared" si="8"/>
        <v>421000</v>
      </c>
      <c r="AQ20" s="15">
        <f t="shared" si="9"/>
        <v>46288</v>
      </c>
      <c r="AR20" s="7">
        <f t="shared" si="10"/>
        <v>47363</v>
      </c>
      <c r="AS20" s="5">
        <v>858</v>
      </c>
      <c r="AT20" s="7">
        <v>45826</v>
      </c>
      <c r="AU20" s="5" t="s">
        <v>78</v>
      </c>
      <c r="AV20" s="17">
        <v>244</v>
      </c>
      <c r="AW20" s="37">
        <v>46013</v>
      </c>
      <c r="AX20" s="5" t="s">
        <v>355</v>
      </c>
      <c r="AY20" s="5" t="s">
        <v>701</v>
      </c>
      <c r="AZ20" s="13">
        <v>5917294652</v>
      </c>
      <c r="BA20" s="12">
        <v>477000</v>
      </c>
      <c r="BB20" s="7">
        <v>46009</v>
      </c>
      <c r="BC20" s="5" t="s">
        <v>355</v>
      </c>
      <c r="BD20" s="5" t="s">
        <v>701</v>
      </c>
      <c r="BE20" s="13">
        <v>5917293182</v>
      </c>
      <c r="BF20" s="12">
        <v>421000</v>
      </c>
      <c r="BG20" s="7">
        <v>46009</v>
      </c>
      <c r="BH20" s="19">
        <v>46013</v>
      </c>
      <c r="BI20" s="5">
        <v>1788</v>
      </c>
      <c r="BJ20" s="19">
        <v>46013</v>
      </c>
      <c r="BK20" s="5">
        <v>1769</v>
      </c>
      <c r="BL20" s="7">
        <v>46011</v>
      </c>
      <c r="BM20" s="18"/>
      <c r="BN20" s="18"/>
      <c r="BO20" s="18"/>
      <c r="BP20" s="18"/>
      <c r="BQ20" s="5"/>
      <c r="BR20" s="18"/>
      <c r="BS20" s="18"/>
      <c r="BT20" s="35">
        <f t="shared" si="11"/>
        <v>46255</v>
      </c>
    </row>
    <row r="21" spans="1:73" ht="98" customHeight="1" x14ac:dyDescent="0.35">
      <c r="A21" s="5">
        <v>20</v>
      </c>
      <c r="B21" s="5"/>
      <c r="C21" s="5" t="s">
        <v>78</v>
      </c>
      <c r="D21" s="5">
        <v>1</v>
      </c>
      <c r="E21" s="5">
        <v>20</v>
      </c>
      <c r="F21" s="8" t="s">
        <v>135</v>
      </c>
      <c r="G21" s="6" t="s">
        <v>66</v>
      </c>
      <c r="H21" s="5" t="s">
        <v>2</v>
      </c>
      <c r="I21" s="5" t="str" cm="1">
        <f t="array" ref="I21">_xlfn.IFS(
  H21="Mahuva", "Mahuva",
  H21="Jesar", "Mahuva",
  H21="Palitana", "Palitana",
  H21="Gariyadhar", "Palitana",
  H21="Talaja", "Talaja",
  H21="Vallabhipur", "Vallabhipur",
  H21="Umrala", "Vallabhipur",
  H21="Shihor", "Shihor",
  H21="Ghogha", "Bhavnagar",
  H21="Bhavnagar", "Bhavnagar"
)</f>
        <v>Vallabhipur</v>
      </c>
      <c r="J21" s="5" t="s">
        <v>21</v>
      </c>
      <c r="K21" s="5"/>
      <c r="L21" s="5">
        <v>171643</v>
      </c>
      <c r="M21" s="5">
        <v>1</v>
      </c>
      <c r="N21" s="7">
        <v>45750</v>
      </c>
      <c r="O21" s="7">
        <v>45762</v>
      </c>
      <c r="P21" s="7">
        <v>45763</v>
      </c>
      <c r="Q21" s="7">
        <f t="shared" si="0"/>
        <v>45882</v>
      </c>
      <c r="R21" s="9">
        <v>15944827.16</v>
      </c>
      <c r="S21" s="9"/>
      <c r="T21" s="9">
        <v>12508716.91</v>
      </c>
      <c r="U21" s="10">
        <v>-21.55</v>
      </c>
      <c r="V21" s="10" t="str">
        <f t="shared" si="1"/>
        <v>Below</v>
      </c>
      <c r="W21" s="11" t="str" cm="1">
        <f t="array" ref="W21">NumberToWords(T21)</f>
        <v>One Crore Twenty Five Lakh Eight Thousand Seven Hundred Sixteen Rupees and Ninety One Paise Only</v>
      </c>
      <c r="X21" s="10" t="str">
        <f t="shared" si="2"/>
        <v>Circle</v>
      </c>
      <c r="Z21" s="9">
        <f t="shared" si="3"/>
        <v>12508716.91</v>
      </c>
      <c r="AA21" s="5" t="s">
        <v>17</v>
      </c>
      <c r="AB21" s="8" t="str">
        <f>_xlfn.XLOOKUP(AA21, 'Agency List'!A$2:A$145, 'Agency List'!B$2:B$145, "Not Found")</f>
        <v xml:space="preserve"> VINODBHAI MEGHJIBHAI SOJITRA</v>
      </c>
      <c r="AC21" s="8" t="str">
        <f>_xlfn.XLOOKUP(AA21, 'Agency List'!A$2:A$145, 'Agency List'!C$2:C$145, "Not Found")</f>
        <v>SHOP NO. 7, FIRST FLOOR, AKSHAR RESIDENCY, GIRIRAJ MAIN ROAD,  JUNAGADH - 362001</v>
      </c>
      <c r="AD21" s="8">
        <f>_xlfn.XLOOKUP(AA21, 'Agency List'!A$2:A$145, 'Agency List'!D$2:D$145, "Not Found")</f>
        <v>6352432868</v>
      </c>
      <c r="AE21" s="7">
        <v>45777</v>
      </c>
      <c r="AF21" s="5" t="s">
        <v>943</v>
      </c>
      <c r="AG21" s="5" t="str">
        <f t="shared" si="4"/>
        <v>NA</v>
      </c>
      <c r="AH21" s="5"/>
      <c r="AI21" s="8" t="s">
        <v>69</v>
      </c>
      <c r="AJ21" s="20" t="s">
        <v>141</v>
      </c>
      <c r="AK21" s="7">
        <v>45791</v>
      </c>
      <c r="AL21" s="16">
        <v>8</v>
      </c>
      <c r="AM21" s="12">
        <f t="shared" si="5"/>
        <v>626000</v>
      </c>
      <c r="AN21" s="7">
        <f t="shared" si="6"/>
        <v>47219</v>
      </c>
      <c r="AO21" s="12">
        <f t="shared" si="7"/>
        <v>57800</v>
      </c>
      <c r="AP21" s="12">
        <f t="shared" si="8"/>
        <v>553000</v>
      </c>
      <c r="AQ21" s="15">
        <f t="shared" si="9"/>
        <v>46084</v>
      </c>
      <c r="AR21" s="7">
        <f t="shared" si="10"/>
        <v>47159</v>
      </c>
      <c r="AS21" s="5">
        <v>722</v>
      </c>
      <c r="AT21" s="7">
        <v>45797</v>
      </c>
      <c r="AU21" s="5"/>
      <c r="AV21" s="17"/>
      <c r="AW21" s="17"/>
      <c r="AX21" s="5"/>
      <c r="AY21" s="5"/>
      <c r="AZ21" s="13"/>
      <c r="BA21" s="12"/>
      <c r="BB21" s="7"/>
      <c r="BC21" s="14"/>
      <c r="BD21" s="14"/>
      <c r="BF21" s="12"/>
      <c r="BG21" s="14"/>
      <c r="BH21" s="19">
        <v>45809</v>
      </c>
      <c r="BI21" s="5"/>
      <c r="BK21" s="5">
        <v>1768</v>
      </c>
      <c r="BL21" s="7">
        <v>46011</v>
      </c>
      <c r="BM21" s="18"/>
      <c r="BN21" s="18"/>
      <c r="BO21" s="18"/>
      <c r="BP21" s="18"/>
      <c r="BQ21" s="5"/>
      <c r="BR21" s="18"/>
      <c r="BS21" s="18"/>
      <c r="BT21" s="35">
        <f t="shared" si="11"/>
        <v>46053</v>
      </c>
    </row>
    <row r="22" spans="1:73" ht="72.5" x14ac:dyDescent="0.35">
      <c r="A22" s="5">
        <v>21</v>
      </c>
      <c r="B22" s="5"/>
      <c r="C22" s="5" t="s">
        <v>78</v>
      </c>
      <c r="D22" s="5">
        <v>1</v>
      </c>
      <c r="E22" s="5">
        <v>21</v>
      </c>
      <c r="F22" s="8" t="s">
        <v>120</v>
      </c>
      <c r="G22" s="8" t="s">
        <v>88</v>
      </c>
      <c r="H22" s="5" t="s">
        <v>3</v>
      </c>
      <c r="I22" s="5" t="str" cm="1">
        <f t="array" ref="I22">_xlfn.IFS(
  H22="Mahuva", "Mahuva",
  H22="Jesar", "Mahuva",
  H22="Palitana", "Palitana",
  H22="Gariyadhar", "Palitana",
  H22="Talaja", "Talaja",
  H22="Vallabhipur", "Vallabhipur",
  H22="Umrala", "Vallabhipur",
  H22="Shihor", "Shihor",
  H22="Ghogha", "Bhavnagar",
  H22="Bhavnagar", "Bhavnagar"
)</f>
        <v>Palitana</v>
      </c>
      <c r="J22" s="5" t="s">
        <v>21</v>
      </c>
      <c r="K22" s="5"/>
      <c r="L22" s="5">
        <v>171660</v>
      </c>
      <c r="M22" s="5">
        <v>1</v>
      </c>
      <c r="N22" s="7">
        <v>45750</v>
      </c>
      <c r="O22" s="7">
        <v>45762</v>
      </c>
      <c r="P22" s="7">
        <v>45763</v>
      </c>
      <c r="Q22" s="7">
        <f t="shared" si="0"/>
        <v>45882</v>
      </c>
      <c r="R22" s="9">
        <v>14196862.689999999</v>
      </c>
      <c r="S22" s="9"/>
      <c r="T22" s="9">
        <v>9655286.3200000003</v>
      </c>
      <c r="U22" s="10">
        <v>-31.99</v>
      </c>
      <c r="V22" s="10" t="str">
        <f t="shared" si="1"/>
        <v>Below</v>
      </c>
      <c r="W22" s="11" t="str" cm="1">
        <f t="array" ref="W22">NumberToWords(T22)</f>
        <v>Ninety Six Lakh Fifty Five Thousand Two Hundred Eighty Six Rupees and Thirty Two Paise Only</v>
      </c>
      <c r="X22" s="10" t="str">
        <f t="shared" si="2"/>
        <v>Circle</v>
      </c>
      <c r="Z22" s="9">
        <f t="shared" si="3"/>
        <v>9655286.3200000003</v>
      </c>
      <c r="AA22" s="5" t="s">
        <v>14</v>
      </c>
      <c r="AB22" s="8" t="str">
        <f>_xlfn.XLOOKUP(AA22, 'Agency List'!A$2:A$145, 'Agency List'!B$2:B$145, "Not Found")</f>
        <v>VANRAJSINH BOGHUBHA SARVAIYA</v>
      </c>
      <c r="AC22" s="8" t="str">
        <f>_xlfn.XLOOKUP(AA22, 'Agency List'!A$2:A$145, 'Agency List'!C$2:C$145, "Not Found")</f>
        <v>314, Third Floor, Surabhi Mall, Waghawadi Road, BHAVNAGAR-364001</v>
      </c>
      <c r="AD22" s="8">
        <f>_xlfn.XLOOKUP(AA22, 'Agency List'!A$2:A$145, 'Agency List'!D$2:D$145, "Not Found")</f>
        <v>9427511001</v>
      </c>
      <c r="AE22" s="7">
        <v>45777</v>
      </c>
      <c r="AF22" s="5" t="s">
        <v>943</v>
      </c>
      <c r="AG22" s="5" t="str">
        <f t="shared" si="4"/>
        <v>NA</v>
      </c>
      <c r="AH22" s="5"/>
      <c r="AI22" s="8" t="s">
        <v>69</v>
      </c>
      <c r="AJ22" s="20" t="s">
        <v>115</v>
      </c>
      <c r="AK22" s="7">
        <v>45791</v>
      </c>
      <c r="AL22" s="16">
        <v>6</v>
      </c>
      <c r="AM22" s="12">
        <f t="shared" si="5"/>
        <v>483000</v>
      </c>
      <c r="AN22" s="7">
        <f t="shared" si="6"/>
        <v>47295</v>
      </c>
      <c r="AO22" s="12">
        <f t="shared" si="7"/>
        <v>69600</v>
      </c>
      <c r="AP22" s="12">
        <f t="shared" si="8"/>
        <v>937000</v>
      </c>
      <c r="AQ22" s="15">
        <f t="shared" si="9"/>
        <v>46160</v>
      </c>
      <c r="AR22" s="7">
        <f t="shared" si="10"/>
        <v>47235</v>
      </c>
      <c r="AS22" s="5">
        <v>721</v>
      </c>
      <c r="AT22" s="7">
        <v>45797</v>
      </c>
      <c r="AU22" s="5" t="s">
        <v>78</v>
      </c>
      <c r="AV22" s="17">
        <v>62</v>
      </c>
      <c r="AW22" s="37">
        <v>45857</v>
      </c>
      <c r="AX22" s="5" t="s">
        <v>359</v>
      </c>
      <c r="AY22" s="5" t="s">
        <v>363</v>
      </c>
      <c r="AZ22" s="13" t="s">
        <v>367</v>
      </c>
      <c r="BA22" s="12">
        <v>483000</v>
      </c>
      <c r="BB22" s="7">
        <v>45831</v>
      </c>
      <c r="BC22" s="5" t="s">
        <v>359</v>
      </c>
      <c r="BD22" s="5" t="s">
        <v>363</v>
      </c>
      <c r="BE22" s="13" t="s">
        <v>368</v>
      </c>
      <c r="BF22" s="12">
        <v>937000</v>
      </c>
      <c r="BG22" s="7">
        <v>45831</v>
      </c>
      <c r="BH22" s="19">
        <v>45945</v>
      </c>
      <c r="BI22" s="5">
        <v>998</v>
      </c>
      <c r="BJ22" s="19">
        <v>45857</v>
      </c>
      <c r="BM22" s="18"/>
      <c r="BN22" s="18"/>
      <c r="BO22" s="18"/>
      <c r="BP22" s="18"/>
      <c r="BQ22" s="5"/>
      <c r="BR22" s="18"/>
      <c r="BS22" s="18"/>
      <c r="BT22" s="35">
        <f t="shared" si="11"/>
        <v>46126</v>
      </c>
    </row>
    <row r="23" spans="1:73" ht="185.4" customHeight="1" x14ac:dyDescent="0.35">
      <c r="A23" s="5">
        <v>22</v>
      </c>
      <c r="B23" s="5"/>
      <c r="C23" s="5" t="s">
        <v>78</v>
      </c>
      <c r="D23" s="5">
        <v>1</v>
      </c>
      <c r="E23" s="5">
        <v>22</v>
      </c>
      <c r="F23" s="8" t="s">
        <v>136</v>
      </c>
      <c r="G23" s="8" t="s">
        <v>89</v>
      </c>
      <c r="H23" s="5" t="s">
        <v>3</v>
      </c>
      <c r="I23" s="5" t="str" cm="1">
        <f t="array" ref="I23">_xlfn.IFS(
  H23="Mahuva", "Mahuva",
  H23="Jesar", "Mahuva",
  H23="Palitana", "Palitana",
  H23="Gariyadhar", "Palitana",
  H23="Talaja", "Talaja",
  H23="Vallabhipur", "Vallabhipur",
  H23="Umrala", "Vallabhipur",
  H23="Shihor", "Shihor",
  H23="Ghogha", "Bhavnagar",
  H23="Bhavnagar", "Bhavnagar"
)</f>
        <v>Palitana</v>
      </c>
      <c r="J23" s="5" t="s">
        <v>21</v>
      </c>
      <c r="K23" s="5"/>
      <c r="L23" s="5">
        <v>171664</v>
      </c>
      <c r="M23" s="5">
        <v>1</v>
      </c>
      <c r="N23" s="7">
        <v>45750</v>
      </c>
      <c r="O23" s="7">
        <v>45762</v>
      </c>
      <c r="P23" s="7">
        <v>45763</v>
      </c>
      <c r="Q23" s="7">
        <f t="shared" si="0"/>
        <v>45882</v>
      </c>
      <c r="R23" s="9">
        <v>18881716.440000001</v>
      </c>
      <c r="S23" s="9"/>
      <c r="T23" s="9">
        <v>12841455.35</v>
      </c>
      <c r="U23" s="10">
        <v>-31.99</v>
      </c>
      <c r="V23" s="10" t="str">
        <f t="shared" si="1"/>
        <v>Below</v>
      </c>
      <c r="W23" s="11" t="str" cm="1">
        <f t="array" ref="W23">NumberToWords(T23)</f>
        <v>One Crore Twenty Eight Lakh Forty One Thousand Four Hundred Fifty Five Rupees and Thirty Five Paise Only</v>
      </c>
      <c r="X23" s="10" t="str">
        <f t="shared" si="2"/>
        <v>Circle</v>
      </c>
      <c r="Z23" s="9">
        <f t="shared" si="3"/>
        <v>12841455.35</v>
      </c>
      <c r="AA23" s="5" t="s">
        <v>14</v>
      </c>
      <c r="AB23" s="8" t="str">
        <f>_xlfn.XLOOKUP(AA23, 'Agency List'!A$2:A$145, 'Agency List'!B$2:B$145, "Not Found")</f>
        <v>VANRAJSINH BOGHUBHA SARVAIYA</v>
      </c>
      <c r="AC23" s="8" t="str">
        <f>_xlfn.XLOOKUP(AA23, 'Agency List'!A$2:A$145, 'Agency List'!C$2:C$145, "Not Found")</f>
        <v>314, Third Floor, Surabhi Mall, Waghawadi Road, BHAVNAGAR-364001</v>
      </c>
      <c r="AD23" s="8">
        <f>_xlfn.XLOOKUP(AA23, 'Agency List'!A$2:A$145, 'Agency List'!D$2:D$145, "Not Found")</f>
        <v>9427511001</v>
      </c>
      <c r="AE23" s="7">
        <v>45777</v>
      </c>
      <c r="AF23" s="5" t="s">
        <v>943</v>
      </c>
      <c r="AG23" s="5" t="str">
        <f t="shared" si="4"/>
        <v>NA</v>
      </c>
      <c r="AH23" s="5"/>
      <c r="AI23" s="8" t="s">
        <v>69</v>
      </c>
      <c r="AJ23" s="20" t="s">
        <v>310</v>
      </c>
      <c r="AK23" s="7">
        <v>45791</v>
      </c>
      <c r="AL23" s="16">
        <v>8</v>
      </c>
      <c r="AM23" s="12">
        <f t="shared" si="5"/>
        <v>643000</v>
      </c>
      <c r="AN23" s="7">
        <f t="shared" si="6"/>
        <v>47391</v>
      </c>
      <c r="AO23" s="12">
        <f t="shared" si="7"/>
        <v>92600</v>
      </c>
      <c r="AP23" s="12">
        <f t="shared" si="8"/>
        <v>1246000</v>
      </c>
      <c r="AQ23" s="15">
        <f t="shared" si="9"/>
        <v>46256</v>
      </c>
      <c r="AR23" s="7">
        <f t="shared" si="10"/>
        <v>47331</v>
      </c>
      <c r="AS23" s="5">
        <v>859</v>
      </c>
      <c r="AT23" s="7">
        <v>45826</v>
      </c>
      <c r="AU23" s="5" t="s">
        <v>78</v>
      </c>
      <c r="AV23" s="17">
        <v>216</v>
      </c>
      <c r="AW23" s="37">
        <v>45981</v>
      </c>
      <c r="AX23" s="5" t="s">
        <v>359</v>
      </c>
      <c r="AY23" s="5" t="s">
        <v>369</v>
      </c>
      <c r="AZ23" s="13" t="s">
        <v>879</v>
      </c>
      <c r="BA23" s="12">
        <v>643000</v>
      </c>
      <c r="BB23" s="7">
        <v>45912</v>
      </c>
      <c r="BC23" s="5" t="s">
        <v>359</v>
      </c>
      <c r="BD23" s="5" t="s">
        <v>369</v>
      </c>
      <c r="BE23" s="13" t="s">
        <v>880</v>
      </c>
      <c r="BF23" s="12">
        <v>1246000</v>
      </c>
      <c r="BG23" s="7">
        <v>45911</v>
      </c>
      <c r="BH23" s="19">
        <v>45981</v>
      </c>
      <c r="BI23" s="5">
        <v>1548</v>
      </c>
      <c r="BJ23" s="19">
        <v>45981</v>
      </c>
      <c r="BM23" s="18"/>
      <c r="BN23" s="18"/>
      <c r="BO23" s="18"/>
      <c r="BP23" s="18"/>
      <c r="BQ23" s="5"/>
      <c r="BR23" s="18"/>
      <c r="BS23" s="18"/>
      <c r="BT23" s="35">
        <f t="shared" si="11"/>
        <v>46222</v>
      </c>
    </row>
    <row r="24" spans="1:73" ht="58" x14ac:dyDescent="0.35">
      <c r="A24" s="5">
        <v>23</v>
      </c>
      <c r="B24" s="5"/>
      <c r="C24" s="5" t="s">
        <v>78</v>
      </c>
      <c r="D24" s="5">
        <v>2</v>
      </c>
      <c r="E24" s="5">
        <v>1</v>
      </c>
      <c r="F24" s="8" t="s">
        <v>94</v>
      </c>
      <c r="G24" s="8" t="s">
        <v>95</v>
      </c>
      <c r="H24" s="5" t="s">
        <v>12</v>
      </c>
      <c r="I24" s="5" t="str" cm="1">
        <f t="array" ref="I24">_xlfn.IFS(
  H24="Mahuva", "Mahuva",
  H24="Jesar", "Mahuva",
  H24="Palitana", "Palitana",
  H24="Gariyadhar", "Palitana",
  H24="Talaja", "Talaja",
  H24="Vallabhipur", "Vallabhipur",
  H24="Umrala", "Vallabhipur",
  H24="Shihor", "Shihor",
  H24="Ghogha", "Bhavnagar",
  H24="Bhavnagar", "Bhavnagar"
)</f>
        <v>Mahuva</v>
      </c>
      <c r="J24" s="5" t="s">
        <v>21</v>
      </c>
      <c r="K24" s="5"/>
      <c r="L24" s="5">
        <v>180644</v>
      </c>
      <c r="M24" s="5"/>
      <c r="N24" s="7">
        <v>45778</v>
      </c>
      <c r="O24" s="7">
        <v>45789</v>
      </c>
      <c r="P24" s="7">
        <v>45790</v>
      </c>
      <c r="Q24" s="7">
        <f t="shared" si="0"/>
        <v>45909</v>
      </c>
      <c r="R24" s="9">
        <v>13447081.02</v>
      </c>
      <c r="S24" s="33"/>
      <c r="T24" s="9">
        <v>13043668.59</v>
      </c>
      <c r="U24" s="10">
        <v>-3</v>
      </c>
      <c r="V24" s="10" t="str">
        <f t="shared" si="1"/>
        <v>Below</v>
      </c>
      <c r="W24" s="11" t="str" cm="1">
        <f t="array" ref="W24">NumberToWords(T24)</f>
        <v>One Crore Thirty Lakh Forty Three Thousand Six Hundred Sixty Eight Rupees and Fifty Nine Paise Only</v>
      </c>
      <c r="X24" s="10" t="str">
        <f t="shared" si="2"/>
        <v>Circle</v>
      </c>
      <c r="Z24" s="9">
        <f t="shared" si="3"/>
        <v>13043668.59</v>
      </c>
      <c r="AA24" s="5" t="s">
        <v>80</v>
      </c>
      <c r="AB24" s="8" t="str">
        <f>_xlfn.XLOOKUP(AA24, 'Agency List'!A$2:A$145, 'Agency List'!B$2:B$145, "Not Found")</f>
        <v>BHADRESHSINH BHAGWATSING GOHIL</v>
      </c>
      <c r="AC24" s="8" t="str">
        <f>_xlfn.XLOOKUP(AA24, 'Agency List'!A$2:A$145, 'Agency List'!C$2:C$145, "Not Found")</f>
        <v>A/8, AKSHARDEEP COMPLEX, OPP. DEEPAK MEMORIAL HALL, SANSKAR MANDAL, BHAVNAGAR-364002</v>
      </c>
      <c r="AD24" s="8">
        <f>_xlfn.XLOOKUP(AA24, 'Agency List'!A$2:A$145, 'Agency List'!D$2:D$145, "Not Found")</f>
        <v>9925209999</v>
      </c>
      <c r="AE24" s="7">
        <v>45804</v>
      </c>
      <c r="AF24" s="5" t="s">
        <v>821</v>
      </c>
      <c r="AG24" s="5" t="str">
        <f t="shared" si="4"/>
        <v>NA</v>
      </c>
      <c r="AH24" s="5"/>
      <c r="AI24" s="8" t="s">
        <v>69</v>
      </c>
      <c r="AJ24" s="20" t="s">
        <v>251</v>
      </c>
      <c r="AK24" s="7">
        <v>45810</v>
      </c>
      <c r="AL24" s="16">
        <v>6</v>
      </c>
      <c r="AM24" s="12">
        <f t="shared" si="5"/>
        <v>653000</v>
      </c>
      <c r="AN24" s="7">
        <f t="shared" si="6"/>
        <v>47295</v>
      </c>
      <c r="AO24" s="12">
        <f t="shared" si="7"/>
        <v>32000</v>
      </c>
      <c r="AP24" s="12">
        <f t="shared" si="8"/>
        <v>0</v>
      </c>
      <c r="AQ24" s="15">
        <f t="shared" si="9"/>
        <v>46160</v>
      </c>
      <c r="AR24" s="7">
        <f t="shared" si="10"/>
        <v>47235</v>
      </c>
      <c r="AS24" s="5">
        <v>861</v>
      </c>
      <c r="AT24" s="7">
        <v>45827</v>
      </c>
      <c r="AU24" s="5" t="s">
        <v>78</v>
      </c>
      <c r="AV24" s="17">
        <v>66</v>
      </c>
      <c r="AW24" s="37">
        <v>45871</v>
      </c>
      <c r="AX24" s="5" t="s">
        <v>359</v>
      </c>
      <c r="AY24" s="5" t="s">
        <v>458</v>
      </c>
      <c r="AZ24" s="13" t="s">
        <v>475</v>
      </c>
      <c r="BA24" s="12">
        <v>653000</v>
      </c>
      <c r="BB24" s="7">
        <v>45859</v>
      </c>
      <c r="BC24" s="14"/>
      <c r="BD24" s="14"/>
      <c r="BF24" s="12"/>
      <c r="BG24" s="14"/>
      <c r="BH24" s="19">
        <v>45945</v>
      </c>
      <c r="BI24" s="5">
        <v>1058</v>
      </c>
      <c r="BJ24" s="19">
        <v>45871</v>
      </c>
      <c r="BM24" s="18"/>
      <c r="BN24" s="18"/>
      <c r="BO24" s="18"/>
      <c r="BP24" s="18"/>
      <c r="BQ24" s="5"/>
      <c r="BR24" s="18"/>
      <c r="BS24" s="18"/>
      <c r="BT24" s="35">
        <f t="shared" si="11"/>
        <v>46126</v>
      </c>
    </row>
    <row r="25" spans="1:73" ht="58" x14ac:dyDescent="0.35">
      <c r="A25" s="5">
        <v>24</v>
      </c>
      <c r="B25" s="5"/>
      <c r="C25" s="5" t="s">
        <v>78</v>
      </c>
      <c r="D25" s="5">
        <v>2</v>
      </c>
      <c r="E25" s="5">
        <v>2</v>
      </c>
      <c r="F25" s="8" t="s">
        <v>96</v>
      </c>
      <c r="G25" s="8" t="s">
        <v>97</v>
      </c>
      <c r="H25" s="5" t="s">
        <v>257</v>
      </c>
      <c r="I25" s="5" t="str" cm="1">
        <f t="array" ref="I25">_xlfn.IFS(
  H25="Mahuva", "Mahuva",
  H25="Jesar", "Mahuva",
  H25="Palitana", "Palitana",
  H25="Gariyadhar", "Palitana",
  H25="Talaja", "Talaja",
  H25="Vallabhipur", "Vallabhipur",
  H25="Umrala", "Vallabhipur",
  H25="Shihor", "Shihor",
  H25="Ghogha", "Bhavnagar",
  H25="Bhavnagar", "Bhavnagar"
)</f>
        <v>Palitana</v>
      </c>
      <c r="J25" s="5" t="s">
        <v>21</v>
      </c>
      <c r="K25" s="5"/>
      <c r="L25" s="5">
        <v>180796</v>
      </c>
      <c r="M25" s="5"/>
      <c r="N25" s="7">
        <v>45778</v>
      </c>
      <c r="O25" s="7">
        <v>45789</v>
      </c>
      <c r="P25" s="7">
        <v>45790</v>
      </c>
      <c r="Q25" s="7">
        <f t="shared" si="0"/>
        <v>45909</v>
      </c>
      <c r="R25" s="9">
        <v>19431786.449999999</v>
      </c>
      <c r="S25" s="33"/>
      <c r="T25" s="9">
        <v>16175019.039999999</v>
      </c>
      <c r="U25" s="10">
        <v>-16.760000000000002</v>
      </c>
      <c r="V25" s="10" t="str">
        <f t="shared" si="1"/>
        <v>Below</v>
      </c>
      <c r="W25" s="11" t="str" cm="1">
        <f t="array" ref="W25">NumberToWords(T25)</f>
        <v>One Crore Sixty One Lakh Seventy Five Thousand Nineteen Rupees and Four Paise Only</v>
      </c>
      <c r="X25" s="10" t="str">
        <f t="shared" si="2"/>
        <v>Circle</v>
      </c>
      <c r="Z25" s="9">
        <f t="shared" si="3"/>
        <v>16175019.039999999</v>
      </c>
      <c r="AA25" s="5" t="s">
        <v>15</v>
      </c>
      <c r="AB25" s="8" t="str">
        <f>_xlfn.XLOOKUP(AA25, 'Agency List'!A$2:A$145, 'Agency List'!B$2:B$145, "Not Found")</f>
        <v>CHATURBHAI MOHANBHAI VAGHELA</v>
      </c>
      <c r="AC25" s="8" t="str">
        <f>_xlfn.XLOOKUP(AA25, 'Agency List'!A$2:A$145, 'Agency List'!C$2:C$145, "Not Found")</f>
        <v>MOTI PANIYALI, Via. Po. SHETRUNJI, Ta. PALITANA, Dist. BHAVNAGAR-364270</v>
      </c>
      <c r="AD25" s="8">
        <f>_xlfn.XLOOKUP(AA25, 'Agency List'!A$2:A$145, 'Agency List'!D$2:D$145, "Not Found")</f>
        <v>9925448120</v>
      </c>
      <c r="AE25" s="7">
        <v>45804</v>
      </c>
      <c r="AF25" s="5" t="s">
        <v>821</v>
      </c>
      <c r="AG25" s="5" t="str">
        <f t="shared" si="4"/>
        <v>NA</v>
      </c>
      <c r="AH25" s="5"/>
      <c r="AI25" s="8" t="s">
        <v>69</v>
      </c>
      <c r="AJ25" s="20" t="s">
        <v>250</v>
      </c>
      <c r="AK25" s="7">
        <v>45810</v>
      </c>
      <c r="AL25" s="16">
        <v>10</v>
      </c>
      <c r="AM25" s="12">
        <f t="shared" si="5"/>
        <v>809000</v>
      </c>
      <c r="AN25" s="7">
        <f t="shared" si="6"/>
        <v>47415</v>
      </c>
      <c r="AO25" s="12">
        <f t="shared" si="7"/>
        <v>52600</v>
      </c>
      <c r="AP25" s="12">
        <f t="shared" si="8"/>
        <v>263000</v>
      </c>
      <c r="AQ25" s="15">
        <f t="shared" si="9"/>
        <v>46280</v>
      </c>
      <c r="AR25" s="7">
        <f t="shared" si="10"/>
        <v>47355</v>
      </c>
      <c r="AS25" s="5">
        <v>862</v>
      </c>
      <c r="AT25" s="7">
        <v>45827</v>
      </c>
      <c r="AU25" s="5"/>
      <c r="AV25" s="17"/>
      <c r="AW25" s="17"/>
      <c r="AX25" s="5"/>
      <c r="AY25" s="5"/>
      <c r="AZ25" s="13"/>
      <c r="BA25" s="12"/>
      <c r="BB25" s="7"/>
      <c r="BC25" s="14"/>
      <c r="BD25" s="14"/>
      <c r="BF25" s="12"/>
      <c r="BG25" s="14"/>
      <c r="BH25" s="19">
        <v>45945</v>
      </c>
      <c r="BI25" s="5"/>
      <c r="BK25" s="5">
        <v>1754</v>
      </c>
      <c r="BL25" s="7">
        <v>46011</v>
      </c>
      <c r="BM25" s="18"/>
      <c r="BN25" s="18"/>
      <c r="BO25" s="18"/>
      <c r="BP25" s="18"/>
      <c r="BQ25" s="5"/>
      <c r="BR25" s="18"/>
      <c r="BS25" s="18"/>
      <c r="BT25" s="35">
        <f t="shared" si="11"/>
        <v>46248</v>
      </c>
    </row>
    <row r="26" spans="1:73" ht="43.5" x14ac:dyDescent="0.35">
      <c r="A26" s="5">
        <v>25</v>
      </c>
      <c r="B26" s="5"/>
      <c r="C26" s="5" t="s">
        <v>78</v>
      </c>
      <c r="D26" s="5">
        <v>2</v>
      </c>
      <c r="E26" s="5">
        <v>3</v>
      </c>
      <c r="F26" s="8" t="s">
        <v>582</v>
      </c>
      <c r="G26" s="8"/>
      <c r="H26" s="5" t="s">
        <v>257</v>
      </c>
      <c r="I26" s="5" t="str" cm="1">
        <f t="array" ref="I26">_xlfn.IFS(
  H26="Mahuva", "Mahuva",
  H26="Jesar", "Mahuva",
  H26="Palitana", "Palitana",
  H26="Gariyadhar", "Palitana",
  H26="Talaja", "Talaja",
  H26="Vallabhipur", "Vallabhipur",
  H26="Umrala", "Vallabhipur",
  H26="Shihor", "Shihor",
  H26="Ghogha", "Bhavnagar",
  H26="Bhavnagar", "Bhavnagar"
)</f>
        <v>Palitana</v>
      </c>
      <c r="J26" s="5" t="s">
        <v>21</v>
      </c>
      <c r="K26" s="5"/>
      <c r="L26" s="5">
        <v>180803</v>
      </c>
      <c r="M26" s="5"/>
      <c r="N26" s="7">
        <v>45778</v>
      </c>
      <c r="O26" s="7">
        <v>45789</v>
      </c>
      <c r="P26" s="7">
        <v>45790</v>
      </c>
      <c r="Q26" s="7">
        <f t="shared" si="0"/>
        <v>45909</v>
      </c>
      <c r="R26" s="9">
        <v>18362127.199999999</v>
      </c>
      <c r="S26" s="33"/>
      <c r="T26" s="9">
        <v>15220367.24</v>
      </c>
      <c r="U26" s="10">
        <v>-17.11</v>
      </c>
      <c r="V26" s="10" t="str">
        <f t="shared" si="1"/>
        <v>Below</v>
      </c>
      <c r="W26" s="11" t="str" cm="1">
        <f t="array" ref="W26">NumberToWords(T26)</f>
        <v>One Crore Fifty Two Lakh Twenty Thousand Three Hundred Sixty Seven Rupees and Twenty Four Paise Only</v>
      </c>
      <c r="X26" s="10" t="str">
        <f t="shared" si="2"/>
        <v>Circle</v>
      </c>
      <c r="Z26" s="9">
        <f t="shared" si="3"/>
        <v>15220367.24</v>
      </c>
      <c r="AA26" s="5" t="s">
        <v>15</v>
      </c>
      <c r="AB26" s="8" t="str">
        <f>_xlfn.XLOOKUP(AA26, 'Agency List'!A$2:A$145, 'Agency List'!B$2:B$145, "Not Found")</f>
        <v>CHATURBHAI MOHANBHAI VAGHELA</v>
      </c>
      <c r="AC26" s="8" t="str">
        <f>_xlfn.XLOOKUP(AA26, 'Agency List'!A$2:A$145, 'Agency List'!C$2:C$145, "Not Found")</f>
        <v>MOTI PANIYALI, Via. Po. SHETRUNJI, Ta. PALITANA, Dist. BHAVNAGAR-364270</v>
      </c>
      <c r="AD26" s="8">
        <f>_xlfn.XLOOKUP(AA26, 'Agency List'!A$2:A$145, 'Agency List'!D$2:D$145, "Not Found")</f>
        <v>9925448120</v>
      </c>
      <c r="AE26" s="7">
        <v>45804</v>
      </c>
      <c r="AF26" s="5" t="s">
        <v>821</v>
      </c>
      <c r="AG26" s="5" t="str">
        <f t="shared" si="4"/>
        <v>NA</v>
      </c>
      <c r="AH26" s="5"/>
      <c r="AI26" s="8" t="s">
        <v>69</v>
      </c>
      <c r="AJ26" s="20" t="s">
        <v>247</v>
      </c>
      <c r="AK26" s="7">
        <v>45810</v>
      </c>
      <c r="AL26" s="16">
        <v>8</v>
      </c>
      <c r="AM26" s="12">
        <f t="shared" si="5"/>
        <v>762000</v>
      </c>
      <c r="AN26" s="7">
        <f t="shared" si="6"/>
        <v>47355</v>
      </c>
      <c r="AO26" s="12">
        <f t="shared" si="7"/>
        <v>50200</v>
      </c>
      <c r="AP26" s="12">
        <f t="shared" si="8"/>
        <v>262000</v>
      </c>
      <c r="AQ26" s="15">
        <f t="shared" si="9"/>
        <v>46220</v>
      </c>
      <c r="AR26" s="7">
        <f t="shared" si="10"/>
        <v>47295</v>
      </c>
      <c r="AS26" s="5">
        <v>863</v>
      </c>
      <c r="AT26" s="7">
        <v>45827</v>
      </c>
      <c r="AU26" s="5"/>
      <c r="AV26" s="17"/>
      <c r="AW26" s="17"/>
      <c r="AX26" s="5"/>
      <c r="AY26" s="5"/>
      <c r="AZ26" s="13"/>
      <c r="BA26" s="12"/>
      <c r="BB26" s="7"/>
      <c r="BC26" s="14"/>
      <c r="BD26" s="14"/>
      <c r="BF26" s="12"/>
      <c r="BG26" s="14"/>
      <c r="BH26" s="19">
        <v>45945</v>
      </c>
      <c r="BI26" s="5"/>
      <c r="BK26" s="5">
        <v>1773</v>
      </c>
      <c r="BL26" s="7">
        <v>46011</v>
      </c>
      <c r="BM26" s="18"/>
      <c r="BN26" s="18"/>
      <c r="BO26" s="18"/>
      <c r="BP26" s="18"/>
      <c r="BQ26" s="5"/>
      <c r="BR26" s="18"/>
      <c r="BS26" s="18"/>
      <c r="BT26" s="35">
        <f t="shared" si="11"/>
        <v>46187</v>
      </c>
    </row>
    <row r="27" spans="1:73" ht="43.5" x14ac:dyDescent="0.35">
      <c r="A27" s="5">
        <v>26</v>
      </c>
      <c r="B27" s="5"/>
      <c r="C27" s="5" t="s">
        <v>78</v>
      </c>
      <c r="D27" s="5">
        <v>2</v>
      </c>
      <c r="E27" s="5">
        <v>4</v>
      </c>
      <c r="F27" s="8" t="s">
        <v>583</v>
      </c>
      <c r="G27" s="8"/>
      <c r="H27" s="5" t="s">
        <v>11</v>
      </c>
      <c r="I27" s="5" t="str" cm="1">
        <f t="array" ref="I27">_xlfn.IFS(
  H27="Mahuva", "Mahuva",
  H27="Jesar", "Mahuva",
  H27="Palitana", "Palitana",
  H27="Gariyadhar", "Palitana",
  H27="Talaja", "Talaja",
  H27="Vallabhipur", "Vallabhipur",
  H27="Umrala", "Vallabhipur",
  H27="Shihor", "Shihor",
  H27="Ghogha", "Bhavnagar",
  H27="Bhavnagar", "Bhavnagar"
)</f>
        <v>Vallabhipur</v>
      </c>
      <c r="J27" s="5" t="s">
        <v>21</v>
      </c>
      <c r="K27" s="5"/>
      <c r="L27" s="5">
        <v>180808</v>
      </c>
      <c r="M27" s="5"/>
      <c r="N27" s="7">
        <v>45778</v>
      </c>
      <c r="O27" s="7">
        <v>45789</v>
      </c>
      <c r="P27" s="7">
        <v>45790</v>
      </c>
      <c r="Q27" s="7">
        <f t="shared" si="0"/>
        <v>45909</v>
      </c>
      <c r="R27" s="9">
        <v>35977034.640000001</v>
      </c>
      <c r="S27" s="33"/>
      <c r="T27" s="9">
        <v>30569686.329999998</v>
      </c>
      <c r="U27" s="10">
        <v>-15.03</v>
      </c>
      <c r="V27" s="10" t="str">
        <f t="shared" si="1"/>
        <v>Below</v>
      </c>
      <c r="W27" s="11" t="str" cm="1">
        <f t="array" ref="W27">NumberToWords(T27)</f>
        <v>Three Crore Five Lakh Sixty Nine Thousand Six Hundred Eighty Six Rupees and Thirty Three Paise Only</v>
      </c>
      <c r="X27" s="10" t="str">
        <f t="shared" si="2"/>
        <v>Government</v>
      </c>
      <c r="Z27" s="9">
        <f t="shared" si="3"/>
        <v>30569686.329999998</v>
      </c>
      <c r="AA27" s="5" t="s">
        <v>219</v>
      </c>
      <c r="AB27" s="8" t="str">
        <f>_xlfn.XLOOKUP(AA27, 'Agency List'!A$2:A$145, 'Agency List'!B$2:B$145, "Not Found")</f>
        <v>RANJITBHAI BAHADURBHAI VALA</v>
      </c>
      <c r="AC27" s="8" t="str">
        <f>_xlfn.XLOOKUP(AA27, 'Agency List'!A$2:A$145, 'Agency List'!C$2:C$145, "Not Found")</f>
        <v>101, SHREEEJI ANAND CORNER, NEAR HDFC BANK, TOWER ROAD, PARA, Dist. BOTAD -364710</v>
      </c>
      <c r="AD27" s="8">
        <f>_xlfn.XLOOKUP(AA27, 'Agency List'!A$2:A$145, 'Agency List'!D$2:D$145, "Not Found")</f>
        <v>9925448406</v>
      </c>
      <c r="AE27" s="7">
        <v>45804</v>
      </c>
      <c r="AF27" s="5" t="s">
        <v>821</v>
      </c>
      <c r="AG27" s="5" t="str">
        <f t="shared" si="4"/>
        <v>NA</v>
      </c>
      <c r="AH27" s="5"/>
      <c r="AI27" s="32" t="s">
        <v>231</v>
      </c>
      <c r="AJ27" s="8" t="s">
        <v>301</v>
      </c>
      <c r="AK27" s="7">
        <v>45814</v>
      </c>
      <c r="AL27" s="16">
        <v>10</v>
      </c>
      <c r="AM27" s="12">
        <f t="shared" si="5"/>
        <v>1529000</v>
      </c>
      <c r="AN27" s="7">
        <f t="shared" si="6"/>
        <v>47444</v>
      </c>
      <c r="AO27" s="12">
        <f t="shared" si="7"/>
        <v>92700</v>
      </c>
      <c r="AP27" s="12">
        <f t="shared" si="8"/>
        <v>362000</v>
      </c>
      <c r="AQ27" s="15">
        <f t="shared" si="9"/>
        <v>46309</v>
      </c>
      <c r="AR27" s="7">
        <f t="shared" si="10"/>
        <v>47384</v>
      </c>
      <c r="AS27" s="5">
        <v>864</v>
      </c>
      <c r="AT27" s="7">
        <v>45827</v>
      </c>
      <c r="AU27" s="5" t="s">
        <v>78</v>
      </c>
      <c r="AV27" s="17">
        <v>210</v>
      </c>
      <c r="AW27" s="37">
        <v>45974</v>
      </c>
      <c r="AX27" s="5" t="s">
        <v>355</v>
      </c>
      <c r="AY27" s="5" t="s">
        <v>458</v>
      </c>
      <c r="AZ27" s="45" t="s">
        <v>841</v>
      </c>
      <c r="BA27" s="12">
        <v>1529000</v>
      </c>
      <c r="BB27" s="7">
        <v>45960</v>
      </c>
      <c r="BC27" s="5" t="s">
        <v>355</v>
      </c>
      <c r="BD27" s="5" t="s">
        <v>458</v>
      </c>
      <c r="BE27" s="45" t="s">
        <v>842</v>
      </c>
      <c r="BF27" s="12">
        <v>362000</v>
      </c>
      <c r="BG27" s="7">
        <v>45960</v>
      </c>
      <c r="BH27" s="37">
        <v>45974</v>
      </c>
      <c r="BI27" s="5">
        <v>1538</v>
      </c>
      <c r="BJ27" s="37">
        <v>45974</v>
      </c>
      <c r="BM27" s="18"/>
      <c r="BN27" s="18"/>
      <c r="BO27" s="18"/>
      <c r="BP27" s="18"/>
      <c r="BQ27" s="5"/>
      <c r="BR27" s="18"/>
      <c r="BS27" s="18"/>
      <c r="BT27" s="35">
        <f t="shared" si="11"/>
        <v>46277</v>
      </c>
    </row>
    <row r="28" spans="1:73" ht="58" x14ac:dyDescent="0.35">
      <c r="A28" s="5">
        <v>27</v>
      </c>
      <c r="B28" s="5"/>
      <c r="C28" s="5" t="s">
        <v>78</v>
      </c>
      <c r="D28" s="5">
        <v>2</v>
      </c>
      <c r="E28" s="5">
        <v>5</v>
      </c>
      <c r="F28" s="8" t="s">
        <v>584</v>
      </c>
      <c r="G28" s="8"/>
      <c r="H28" s="5" t="s">
        <v>4</v>
      </c>
      <c r="I28" s="5" t="str" cm="1">
        <f t="array" ref="I28">_xlfn.IFS(
  H28="Mahuva", "Mahuva",
  H28="Jesar", "Mahuva",
  H28="Palitana", "Palitana",
  H28="Gariyadhar", "Palitana",
  H28="Talaja", "Talaja",
  H28="Vallabhipur", "Vallabhipur",
  H28="Umrala", "Vallabhipur",
  H28="Shihor", "Shihor",
  H28="Ghogha", "Bhavnagar",
  H28="Bhavnagar", "Bhavnagar"
)</f>
        <v>Talaja</v>
      </c>
      <c r="J28" s="5" t="s">
        <v>21</v>
      </c>
      <c r="K28" s="5"/>
      <c r="L28" s="5">
        <v>180814</v>
      </c>
      <c r="M28" s="5"/>
      <c r="N28" s="7">
        <v>45778</v>
      </c>
      <c r="O28" s="7">
        <v>45789</v>
      </c>
      <c r="P28" s="7">
        <v>45790</v>
      </c>
      <c r="Q28" s="7">
        <f t="shared" si="0"/>
        <v>45909</v>
      </c>
      <c r="R28" s="9">
        <v>16879671.48</v>
      </c>
      <c r="S28" s="33"/>
      <c r="T28" s="9">
        <v>14687002.15</v>
      </c>
      <c r="U28" s="10">
        <v>-12.99</v>
      </c>
      <c r="V28" s="10" t="str">
        <f t="shared" si="1"/>
        <v>Below</v>
      </c>
      <c r="W28" s="11" t="str" cm="1">
        <f t="array" ref="W28">NumberToWords(T28)</f>
        <v>One Crore Forty Six Lakh Eighty Seven Thousand Two Rupees and Fifteen Paise Only</v>
      </c>
      <c r="X28" s="10" t="str">
        <f t="shared" si="2"/>
        <v>Circle</v>
      </c>
      <c r="Z28" s="9">
        <f t="shared" si="3"/>
        <v>14687002.15</v>
      </c>
      <c r="AA28" s="5" t="s">
        <v>80</v>
      </c>
      <c r="AB28" s="8" t="str">
        <f>_xlfn.XLOOKUP(AA28, 'Agency List'!A$2:A$145, 'Agency List'!B$2:B$145, "Not Found")</f>
        <v>BHADRESHSINH BHAGWATSING GOHIL</v>
      </c>
      <c r="AC28" s="8" t="str">
        <f>_xlfn.XLOOKUP(AA28, 'Agency List'!A$2:A$145, 'Agency List'!C$2:C$145, "Not Found")</f>
        <v>A/8, AKSHARDEEP COMPLEX, OPP. DEEPAK MEMORIAL HALL, SANSKAR MANDAL, BHAVNAGAR-364002</v>
      </c>
      <c r="AD28" s="8">
        <f>_xlfn.XLOOKUP(AA28, 'Agency List'!A$2:A$145, 'Agency List'!D$2:D$145, "Not Found")</f>
        <v>9925209999</v>
      </c>
      <c r="AE28" s="7">
        <v>45804</v>
      </c>
      <c r="AF28" s="5" t="s">
        <v>821</v>
      </c>
      <c r="AG28" s="5" t="str">
        <f t="shared" si="4"/>
        <v>NA</v>
      </c>
      <c r="AH28" s="5"/>
      <c r="AI28" s="8" t="s">
        <v>69</v>
      </c>
      <c r="AJ28" s="20" t="s">
        <v>248</v>
      </c>
      <c r="AK28" s="7">
        <v>45810</v>
      </c>
      <c r="AL28" s="16">
        <v>10</v>
      </c>
      <c r="AM28" s="12">
        <f t="shared" si="5"/>
        <v>735000</v>
      </c>
      <c r="AN28" s="7">
        <f t="shared" si="6"/>
        <v>47415</v>
      </c>
      <c r="AO28" s="12">
        <f t="shared" si="7"/>
        <v>41000</v>
      </c>
      <c r="AP28" s="12">
        <f t="shared" si="8"/>
        <v>101000</v>
      </c>
      <c r="AQ28" s="15">
        <f t="shared" si="9"/>
        <v>46280</v>
      </c>
      <c r="AR28" s="7">
        <f t="shared" si="10"/>
        <v>47355</v>
      </c>
      <c r="AS28" s="5">
        <v>865</v>
      </c>
      <c r="AT28" s="7">
        <v>45827</v>
      </c>
      <c r="AU28" s="5" t="s">
        <v>78</v>
      </c>
      <c r="AV28" s="17">
        <v>72</v>
      </c>
      <c r="AW28" s="37">
        <v>45877</v>
      </c>
      <c r="AX28" s="5" t="s">
        <v>359</v>
      </c>
      <c r="AY28" s="5" t="s">
        <v>458</v>
      </c>
      <c r="AZ28" s="13" t="s">
        <v>596</v>
      </c>
      <c r="BA28" s="12">
        <v>735000</v>
      </c>
      <c r="BB28" s="7">
        <v>45859</v>
      </c>
      <c r="BC28" s="5" t="s">
        <v>359</v>
      </c>
      <c r="BD28" s="5" t="s">
        <v>458</v>
      </c>
      <c r="BE28" s="13" t="s">
        <v>597</v>
      </c>
      <c r="BF28" s="12">
        <v>101000</v>
      </c>
      <c r="BG28" s="7">
        <v>45859</v>
      </c>
      <c r="BH28" s="19">
        <v>45945</v>
      </c>
      <c r="BI28" s="5">
        <v>1050</v>
      </c>
      <c r="BJ28" s="19">
        <v>45877</v>
      </c>
      <c r="BM28" s="18"/>
      <c r="BN28" s="18"/>
      <c r="BO28" s="18"/>
      <c r="BP28" s="18"/>
      <c r="BQ28" s="5"/>
      <c r="BR28" s="18"/>
      <c r="BS28" s="18"/>
      <c r="BT28" s="35">
        <f t="shared" si="11"/>
        <v>46248</v>
      </c>
    </row>
    <row r="29" spans="1:73" ht="43.5" x14ac:dyDescent="0.65">
      <c r="A29" s="5">
        <v>28</v>
      </c>
      <c r="B29" s="5"/>
      <c r="C29" s="5" t="s">
        <v>78</v>
      </c>
      <c r="D29" s="5">
        <v>2</v>
      </c>
      <c r="E29" s="5">
        <v>6</v>
      </c>
      <c r="F29" s="8" t="s">
        <v>585</v>
      </c>
      <c r="G29" s="21"/>
      <c r="H29" s="5" t="s">
        <v>4</v>
      </c>
      <c r="I29" s="5" t="str" cm="1">
        <f t="array" ref="I29">_xlfn.IFS(
  H29="Mahuva", "Mahuva",
  H29="Jesar", "Mahuva",
  H29="Palitana", "Palitana",
  H29="Gariyadhar", "Palitana",
  H29="Talaja", "Talaja",
  H29="Vallabhipur", "Vallabhipur",
  H29="Umrala", "Vallabhipur",
  H29="Shihor", "Shihor",
  H29="Ghogha", "Bhavnagar",
  H29="Bhavnagar", "Bhavnagar"
)</f>
        <v>Talaja</v>
      </c>
      <c r="J29" s="5" t="s">
        <v>21</v>
      </c>
      <c r="K29" s="5"/>
      <c r="L29" s="5">
        <v>180825</v>
      </c>
      <c r="M29" s="5"/>
      <c r="N29" s="7">
        <v>45778</v>
      </c>
      <c r="O29" s="7">
        <v>45789</v>
      </c>
      <c r="P29" s="7">
        <v>45790</v>
      </c>
      <c r="Q29" s="7">
        <f t="shared" si="0"/>
        <v>45909</v>
      </c>
      <c r="R29" s="9">
        <v>15690763.65</v>
      </c>
      <c r="S29" s="33"/>
      <c r="T29" s="9">
        <v>12747176.390000001</v>
      </c>
      <c r="U29" s="10">
        <v>-18.760000000000002</v>
      </c>
      <c r="V29" s="10" t="str">
        <f t="shared" si="1"/>
        <v>Below</v>
      </c>
      <c r="W29" s="11" t="str" cm="1">
        <f t="array" ref="W29">NumberToWords(T29)</f>
        <v>One Crore Twenty Seven Lakh Forty Seven Thousand One Hundred Seventy Six Rupees and Thirty Nine Paise Only</v>
      </c>
      <c r="X29" s="10" t="str">
        <f t="shared" si="2"/>
        <v>Circle</v>
      </c>
      <c r="Z29" s="9">
        <f t="shared" si="3"/>
        <v>12747176.390000001</v>
      </c>
      <c r="AA29" s="5" t="s">
        <v>15</v>
      </c>
      <c r="AB29" s="8" t="str">
        <f>_xlfn.XLOOKUP(AA29, 'Agency List'!A$2:A$145, 'Agency List'!B$2:B$145, "Not Found")</f>
        <v>CHATURBHAI MOHANBHAI VAGHELA</v>
      </c>
      <c r="AC29" s="8" t="str">
        <f>_xlfn.XLOOKUP(AA29, 'Agency List'!A$2:A$145, 'Agency List'!C$2:C$145, "Not Found")</f>
        <v>MOTI PANIYALI, Via. Po. SHETRUNJI, Ta. PALITANA, Dist. BHAVNAGAR-364270</v>
      </c>
      <c r="AD29" s="8">
        <f>_xlfn.XLOOKUP(AA29, 'Agency List'!A$2:A$145, 'Agency List'!D$2:D$145, "Not Found")</f>
        <v>9925448120</v>
      </c>
      <c r="AE29" s="7">
        <v>45804</v>
      </c>
      <c r="AF29" s="5" t="s">
        <v>821</v>
      </c>
      <c r="AG29" s="5" t="str">
        <f t="shared" si="4"/>
        <v>NA</v>
      </c>
      <c r="AH29" s="5"/>
      <c r="AI29" s="8" t="s">
        <v>69</v>
      </c>
      <c r="AJ29" s="20" t="s">
        <v>252</v>
      </c>
      <c r="AK29" s="7">
        <v>45810</v>
      </c>
      <c r="AL29" s="16">
        <v>8</v>
      </c>
      <c r="AM29" s="12">
        <f t="shared" si="5"/>
        <v>638000</v>
      </c>
      <c r="AN29" s="7">
        <f t="shared" si="6"/>
        <v>47355</v>
      </c>
      <c r="AO29" s="12">
        <f t="shared" si="7"/>
        <v>44800</v>
      </c>
      <c r="AP29" s="12">
        <f t="shared" si="8"/>
        <v>275000</v>
      </c>
      <c r="AQ29" s="15">
        <f t="shared" si="9"/>
        <v>46220</v>
      </c>
      <c r="AR29" s="7">
        <f t="shared" si="10"/>
        <v>47295</v>
      </c>
      <c r="AS29" s="5">
        <v>866</v>
      </c>
      <c r="AT29" s="7">
        <v>45827</v>
      </c>
      <c r="AU29" s="5"/>
      <c r="AV29" s="17"/>
      <c r="AW29" s="17"/>
      <c r="AX29" s="5"/>
      <c r="AY29" s="5"/>
      <c r="AZ29" s="13"/>
      <c r="BA29" s="12"/>
      <c r="BB29" s="7"/>
      <c r="BC29" s="14"/>
      <c r="BD29" s="14"/>
      <c r="BF29" s="12"/>
      <c r="BG29" s="14"/>
      <c r="BH29" s="19">
        <v>45945</v>
      </c>
      <c r="BI29" s="5"/>
      <c r="BK29" s="5">
        <v>1756</v>
      </c>
      <c r="BL29" s="7">
        <v>46011</v>
      </c>
      <c r="BM29" s="18"/>
      <c r="BN29" s="18"/>
      <c r="BO29" s="18"/>
      <c r="BP29" s="18"/>
      <c r="BQ29" s="5"/>
      <c r="BR29" s="18"/>
      <c r="BS29" s="18"/>
      <c r="BT29" s="35">
        <f t="shared" si="11"/>
        <v>46187</v>
      </c>
    </row>
    <row r="30" spans="1:73" ht="43.5" x14ac:dyDescent="0.65">
      <c r="A30" s="5">
        <v>29</v>
      </c>
      <c r="B30" s="5"/>
      <c r="C30" s="5" t="s">
        <v>78</v>
      </c>
      <c r="D30" s="5">
        <v>2</v>
      </c>
      <c r="E30" s="5">
        <v>7</v>
      </c>
      <c r="F30" s="8" t="s">
        <v>586</v>
      </c>
      <c r="G30" s="21"/>
      <c r="H30" s="5" t="s">
        <v>257</v>
      </c>
      <c r="I30" s="5" t="str" cm="1">
        <f t="array" ref="I30">_xlfn.IFS(
  H30="Mahuva", "Mahuva",
  H30="Jesar", "Mahuva",
  H30="Palitana", "Palitana",
  H30="Gariyadhar", "Palitana",
  H30="Talaja", "Talaja",
  H30="Vallabhipur", "Vallabhipur",
  H30="Umrala", "Vallabhipur",
  H30="Shihor", "Shihor",
  H30="Ghogha", "Bhavnagar",
  H30="Bhavnagar", "Bhavnagar"
)</f>
        <v>Palitana</v>
      </c>
      <c r="J30" s="5" t="s">
        <v>21</v>
      </c>
      <c r="K30" s="5"/>
      <c r="L30" s="5">
        <v>180832</v>
      </c>
      <c r="M30" s="5"/>
      <c r="N30" s="7">
        <v>45778</v>
      </c>
      <c r="O30" s="7">
        <v>45789</v>
      </c>
      <c r="P30" s="7">
        <v>45790</v>
      </c>
      <c r="Q30" s="7">
        <f t="shared" si="0"/>
        <v>45909</v>
      </c>
      <c r="R30" s="9">
        <v>11333888.539999999</v>
      </c>
      <c r="S30" s="33"/>
      <c r="T30" s="9">
        <v>9573735.6500000004</v>
      </c>
      <c r="U30" s="10">
        <v>-15.53</v>
      </c>
      <c r="V30" s="10" t="str">
        <f t="shared" si="1"/>
        <v>Below</v>
      </c>
      <c r="W30" s="11" t="str" cm="1">
        <f t="array" ref="W30">NumberToWords(T30)</f>
        <v>Ninety Five Lakh Seventy Three Thousand Seven Hundred Thirty Five Rupees and Sixty Five Paise Only</v>
      </c>
      <c r="X30" s="10" t="str">
        <f t="shared" si="2"/>
        <v>Circle</v>
      </c>
      <c r="Z30" s="9">
        <f t="shared" si="3"/>
        <v>9573735.6500000004</v>
      </c>
      <c r="AA30" s="5" t="s">
        <v>15</v>
      </c>
      <c r="AB30" s="8" t="str">
        <f>_xlfn.XLOOKUP(AA30, 'Agency List'!A$2:A$145, 'Agency List'!B$2:B$145, "Not Found")</f>
        <v>CHATURBHAI MOHANBHAI VAGHELA</v>
      </c>
      <c r="AC30" s="8" t="str">
        <f>_xlfn.XLOOKUP(AA30, 'Agency List'!A$2:A$145, 'Agency List'!C$2:C$145, "Not Found")</f>
        <v>MOTI PANIYALI, Via. Po. SHETRUNJI, Ta. PALITANA, Dist. BHAVNAGAR-364270</v>
      </c>
      <c r="AD30" s="8">
        <f>_xlfn.XLOOKUP(AA30, 'Agency List'!A$2:A$145, 'Agency List'!D$2:D$145, "Not Found")</f>
        <v>9925448120</v>
      </c>
      <c r="AE30" s="7">
        <v>45804</v>
      </c>
      <c r="AF30" s="5" t="s">
        <v>938</v>
      </c>
      <c r="AG30" s="5" t="str">
        <f t="shared" si="4"/>
        <v>NA</v>
      </c>
      <c r="AH30" s="5"/>
      <c r="AI30" s="8" t="s">
        <v>69</v>
      </c>
      <c r="AJ30" s="20" t="s">
        <v>255</v>
      </c>
      <c r="AK30" s="7">
        <v>45810</v>
      </c>
      <c r="AL30" s="16">
        <v>8</v>
      </c>
      <c r="AM30" s="12">
        <f t="shared" si="5"/>
        <v>479000</v>
      </c>
      <c r="AN30" s="7">
        <f t="shared" si="6"/>
        <v>47355</v>
      </c>
      <c r="AO30" s="12">
        <f t="shared" si="7"/>
        <v>29700</v>
      </c>
      <c r="AP30" s="12">
        <f t="shared" si="8"/>
        <v>126000</v>
      </c>
      <c r="AQ30" s="15">
        <f t="shared" si="9"/>
        <v>46220</v>
      </c>
      <c r="AR30" s="7">
        <f t="shared" si="10"/>
        <v>47295</v>
      </c>
      <c r="AS30" s="5">
        <v>867</v>
      </c>
      <c r="AT30" s="7">
        <v>45827</v>
      </c>
      <c r="AU30" s="5"/>
      <c r="AV30" s="17"/>
      <c r="AW30" s="17"/>
      <c r="AX30" s="5"/>
      <c r="AY30" s="5"/>
      <c r="AZ30" s="13"/>
      <c r="BA30" s="12"/>
      <c r="BB30" s="7"/>
      <c r="BC30" s="14"/>
      <c r="BD30" s="14"/>
      <c r="BF30" s="12"/>
      <c r="BG30" s="14"/>
      <c r="BH30" s="19">
        <v>45945</v>
      </c>
      <c r="BI30" s="5"/>
      <c r="BK30" s="5">
        <v>1755</v>
      </c>
      <c r="BL30" s="7">
        <v>46011</v>
      </c>
      <c r="BM30" s="18"/>
      <c r="BN30" s="18"/>
      <c r="BO30" s="18"/>
      <c r="BP30" s="18"/>
      <c r="BQ30" s="5"/>
      <c r="BR30" s="18"/>
      <c r="BS30" s="18"/>
      <c r="BT30" s="35">
        <f t="shared" si="11"/>
        <v>46187</v>
      </c>
    </row>
    <row r="31" spans="1:73" ht="43.5" x14ac:dyDescent="0.65">
      <c r="A31" s="5">
        <v>30</v>
      </c>
      <c r="B31" s="5"/>
      <c r="C31" s="5" t="s">
        <v>78</v>
      </c>
      <c r="D31" s="5">
        <v>2</v>
      </c>
      <c r="E31" s="5">
        <v>8</v>
      </c>
      <c r="F31" s="8" t="s">
        <v>587</v>
      </c>
      <c r="G31" s="21"/>
      <c r="H31" s="5" t="s">
        <v>4</v>
      </c>
      <c r="I31" s="5" t="str" cm="1">
        <f t="array" ref="I31">_xlfn.IFS(
  H31="Mahuva", "Mahuva",
  H31="Jesar", "Mahuva",
  H31="Palitana", "Palitana",
  H31="Gariyadhar", "Palitana",
  H31="Talaja", "Talaja",
  H31="Vallabhipur", "Vallabhipur",
  H31="Umrala", "Vallabhipur",
  H31="Shihor", "Shihor",
  H31="Ghogha", "Bhavnagar",
  H31="Bhavnagar", "Bhavnagar"
)</f>
        <v>Talaja</v>
      </c>
      <c r="J31" s="5" t="s">
        <v>21</v>
      </c>
      <c r="K31" s="5"/>
      <c r="L31" s="5">
        <v>180651</v>
      </c>
      <c r="M31" s="5"/>
      <c r="N31" s="7">
        <v>45778</v>
      </c>
      <c r="O31" s="7">
        <v>45789</v>
      </c>
      <c r="P31" s="7">
        <v>45790</v>
      </c>
      <c r="Q31" s="7">
        <f t="shared" si="0"/>
        <v>45909</v>
      </c>
      <c r="R31" s="9">
        <v>13577420.949999999</v>
      </c>
      <c r="S31" s="33"/>
      <c r="T31" s="9">
        <v>9505552.4100000001</v>
      </c>
      <c r="U31" s="10">
        <v>-29.99</v>
      </c>
      <c r="V31" s="10" t="str">
        <f t="shared" si="1"/>
        <v>Below</v>
      </c>
      <c r="W31" s="11" t="str" cm="1">
        <f t="array" ref="W31">NumberToWords(T31)</f>
        <v>Ninety Five Lakh Five Thousand Five Hundred Fifty Two Rupees and Forty One Paise Only</v>
      </c>
      <c r="X31" s="10" t="str">
        <f t="shared" si="2"/>
        <v>Circle</v>
      </c>
      <c r="Z31" s="9">
        <f t="shared" si="3"/>
        <v>9505552.4100000001</v>
      </c>
      <c r="AA31" s="5" t="s">
        <v>222</v>
      </c>
      <c r="AB31" s="8">
        <f>_xlfn.XLOOKUP(AA31, 'Agency List'!A$2:A$145, 'Agency List'!B$2:B$145, "Not Found")</f>
        <v>0</v>
      </c>
      <c r="AC31" s="8" t="str">
        <f>_xlfn.XLOOKUP(AA31, 'Agency List'!A$2:A$145, 'Agency List'!C$2:C$145, "Not Found")</f>
        <v>"Ashapura Nivas", Shivaji Nagar, Talaja, Ta. Talaja Dist. Bhavnagar</v>
      </c>
      <c r="AD31" s="8">
        <f>_xlfn.XLOOKUP(AA31, 'Agency List'!A$2:A$145, 'Agency List'!D$2:D$145, "Not Found")</f>
        <v>9638310999</v>
      </c>
      <c r="AE31" s="7">
        <v>45804</v>
      </c>
      <c r="AF31" s="5" t="s">
        <v>821</v>
      </c>
      <c r="AG31" s="5" t="str">
        <f t="shared" si="4"/>
        <v>NA</v>
      </c>
      <c r="AH31" s="5"/>
      <c r="AI31" s="8" t="s">
        <v>69</v>
      </c>
      <c r="AJ31" s="20" t="s">
        <v>245</v>
      </c>
      <c r="AK31" s="7">
        <v>45810</v>
      </c>
      <c r="AL31" s="16">
        <v>6</v>
      </c>
      <c r="AM31" s="12">
        <f t="shared" si="5"/>
        <v>476000</v>
      </c>
      <c r="AN31" s="7">
        <f t="shared" si="6"/>
        <v>47227</v>
      </c>
      <c r="AO31" s="12">
        <f t="shared" si="7"/>
        <v>63300</v>
      </c>
      <c r="AP31" s="12">
        <f t="shared" si="8"/>
        <v>815000</v>
      </c>
      <c r="AQ31" s="15">
        <f t="shared" si="9"/>
        <v>46092</v>
      </c>
      <c r="AR31" s="7">
        <f t="shared" si="10"/>
        <v>47167</v>
      </c>
      <c r="AS31" s="5">
        <v>868</v>
      </c>
      <c r="AT31" s="7">
        <v>45827</v>
      </c>
      <c r="AU31" s="5" t="s">
        <v>78</v>
      </c>
      <c r="AV31" s="17">
        <v>74</v>
      </c>
      <c r="AW31" s="37">
        <v>45877</v>
      </c>
      <c r="AX31" s="5" t="s">
        <v>355</v>
      </c>
      <c r="AY31" s="5" t="s">
        <v>458</v>
      </c>
      <c r="AZ31" s="45" t="s">
        <v>615</v>
      </c>
      <c r="BA31" s="12">
        <v>476000</v>
      </c>
      <c r="BB31" s="7">
        <v>45869</v>
      </c>
      <c r="BC31" s="5" t="s">
        <v>355</v>
      </c>
      <c r="BD31" s="5" t="s">
        <v>458</v>
      </c>
      <c r="BE31" s="45" t="s">
        <v>616</v>
      </c>
      <c r="BF31" s="12">
        <v>815000</v>
      </c>
      <c r="BG31" s="14">
        <v>45863</v>
      </c>
      <c r="BH31" s="7">
        <v>45877</v>
      </c>
      <c r="BI31" s="5">
        <v>1052</v>
      </c>
      <c r="BJ31" s="19">
        <v>45877</v>
      </c>
      <c r="BM31" s="18"/>
      <c r="BN31" s="18"/>
      <c r="BO31" s="18"/>
      <c r="BP31" s="18"/>
      <c r="BQ31" s="5"/>
      <c r="BR31" s="18"/>
      <c r="BS31" s="18"/>
      <c r="BT31" s="35">
        <f t="shared" si="11"/>
        <v>46060</v>
      </c>
    </row>
    <row r="32" spans="1:73" ht="43.5" x14ac:dyDescent="0.65">
      <c r="A32" s="5">
        <v>31</v>
      </c>
      <c r="B32" s="5"/>
      <c r="C32" s="5" t="s">
        <v>78</v>
      </c>
      <c r="D32" s="5">
        <v>2</v>
      </c>
      <c r="E32" s="5">
        <v>9</v>
      </c>
      <c r="F32" s="8" t="s">
        <v>692</v>
      </c>
      <c r="G32" s="21"/>
      <c r="H32" s="5" t="s">
        <v>2</v>
      </c>
      <c r="I32" s="5" t="str" cm="1">
        <f t="array" ref="I32">_xlfn.IFS(
  H32="Mahuva", "Mahuva",
  H32="Jesar", "Mahuva",
  H32="Palitana", "Palitana",
  H32="Gariyadhar", "Palitana",
  H32="Talaja", "Talaja",
  H32="Vallabhipur", "Vallabhipur",
  H32="Umrala", "Vallabhipur",
  H32="Shihor", "Shihor",
  H32="Ghogha", "Bhavnagar",
  H32="Bhavnagar", "Bhavnagar"
)</f>
        <v>Vallabhipur</v>
      </c>
      <c r="J32" s="5" t="s">
        <v>21</v>
      </c>
      <c r="K32" s="5"/>
      <c r="L32" s="5">
        <v>180840</v>
      </c>
      <c r="M32" s="5"/>
      <c r="N32" s="7">
        <v>45778</v>
      </c>
      <c r="O32" s="7">
        <v>45789</v>
      </c>
      <c r="P32" s="7">
        <v>45790</v>
      </c>
      <c r="Q32" s="7">
        <f t="shared" si="0"/>
        <v>45909</v>
      </c>
      <c r="R32" s="9">
        <v>15863200.939999999</v>
      </c>
      <c r="S32" s="33"/>
      <c r="T32" s="9">
        <v>14078590.83</v>
      </c>
      <c r="U32" s="10">
        <v>-11.25</v>
      </c>
      <c r="V32" s="10" t="str">
        <f t="shared" si="1"/>
        <v>Below</v>
      </c>
      <c r="W32" s="11" t="str" cm="1">
        <f t="array" ref="W32">NumberToWords(T32)</f>
        <v>One Crore Forty Lakh Seventy Eight Thousand Five Hundred Ninety Rupees and Eighty Three Paise Only</v>
      </c>
      <c r="X32" s="10" t="str">
        <f t="shared" si="2"/>
        <v>Circle</v>
      </c>
      <c r="Z32" s="9">
        <f t="shared" si="3"/>
        <v>14078590.83</v>
      </c>
      <c r="AA32" s="5" t="s">
        <v>223</v>
      </c>
      <c r="AB32" s="8">
        <f>_xlfn.XLOOKUP(AA32, 'Agency List'!A$2:A$145, 'Agency List'!B$2:B$145, "Not Found")</f>
        <v>0</v>
      </c>
      <c r="AC32" s="8" t="str">
        <f>_xlfn.XLOOKUP(AA32, 'Agency List'!A$2:A$145, 'Agency List'!C$2:C$145, "Not Found")</f>
        <v>70, Hari Darshan Township, Subhashnagar, Bhavnagar</v>
      </c>
      <c r="AD32" s="8">
        <f>_xlfn.XLOOKUP(AA32, 'Agency List'!A$2:A$145, 'Agency List'!D$2:D$145, "Not Found")</f>
        <v>9825209897</v>
      </c>
      <c r="AE32" s="7">
        <v>45804</v>
      </c>
      <c r="AF32" s="5" t="s">
        <v>938</v>
      </c>
      <c r="AG32" s="5" t="str">
        <f t="shared" si="4"/>
        <v>NA</v>
      </c>
      <c r="AH32" s="5"/>
      <c r="AI32" s="8" t="s">
        <v>69</v>
      </c>
      <c r="AJ32" s="20" t="s">
        <v>244</v>
      </c>
      <c r="AK32" s="7">
        <v>45810</v>
      </c>
      <c r="AL32" s="16">
        <v>8</v>
      </c>
      <c r="AM32" s="12">
        <f t="shared" si="5"/>
        <v>704000</v>
      </c>
      <c r="AN32" s="7">
        <f t="shared" si="6"/>
        <v>47355</v>
      </c>
      <c r="AO32" s="12">
        <f t="shared" si="7"/>
        <v>36500</v>
      </c>
      <c r="AP32" s="12">
        <f t="shared" si="8"/>
        <v>40000</v>
      </c>
      <c r="AQ32" s="15">
        <f t="shared" si="9"/>
        <v>46220</v>
      </c>
      <c r="AR32" s="7">
        <f t="shared" si="10"/>
        <v>47295</v>
      </c>
      <c r="AS32" s="5">
        <v>869</v>
      </c>
      <c r="AT32" s="7">
        <v>45827</v>
      </c>
      <c r="AU32" s="5" t="s">
        <v>78</v>
      </c>
      <c r="AV32" s="17">
        <v>89</v>
      </c>
      <c r="AW32" s="37">
        <v>45887</v>
      </c>
      <c r="AX32" s="5" t="s">
        <v>355</v>
      </c>
      <c r="AY32" s="5" t="s">
        <v>369</v>
      </c>
      <c r="AZ32" s="13">
        <v>44345147183</v>
      </c>
      <c r="BA32" s="12">
        <v>704000</v>
      </c>
      <c r="BB32" s="7">
        <v>45873</v>
      </c>
      <c r="BC32" s="5" t="s">
        <v>355</v>
      </c>
      <c r="BD32" s="5" t="s">
        <v>369</v>
      </c>
      <c r="BE32" s="13">
        <v>44345136001</v>
      </c>
      <c r="BF32" s="12">
        <v>40000</v>
      </c>
      <c r="BG32" s="7">
        <v>45873</v>
      </c>
      <c r="BH32" s="19">
        <v>45945</v>
      </c>
      <c r="BI32" s="5">
        <v>1168</v>
      </c>
      <c r="BJ32" s="19">
        <v>45887</v>
      </c>
      <c r="BM32" s="18"/>
      <c r="BN32" s="18"/>
      <c r="BO32" s="18"/>
      <c r="BP32" s="18"/>
      <c r="BQ32" s="5"/>
      <c r="BR32" s="18"/>
      <c r="BS32" s="18"/>
      <c r="BT32" s="35">
        <f t="shared" si="11"/>
        <v>46187</v>
      </c>
    </row>
    <row r="33" spans="1:72" ht="43.5" x14ac:dyDescent="0.65">
      <c r="A33" s="5">
        <v>32</v>
      </c>
      <c r="B33" s="5"/>
      <c r="C33" s="5" t="s">
        <v>78</v>
      </c>
      <c r="D33" s="5">
        <v>2</v>
      </c>
      <c r="E33" s="5">
        <v>10</v>
      </c>
      <c r="F33" s="8" t="s">
        <v>224</v>
      </c>
      <c r="G33" s="21"/>
      <c r="H33" s="5" t="s">
        <v>278</v>
      </c>
      <c r="I33" s="5" t="str" cm="1">
        <f t="array" ref="I33">_xlfn.IFS(
  H33="Mahuva", "Mahuva",
  H33="Jesar", "Mahuva",
  H33="Palitana", "Palitana",
  H33="Gariyadhar", "Palitana",
  H33="Talaja", "Talaja",
  H33="Vallabhipur", "Vallabhipur",
  H33="Umrala", "Vallabhipur",
  H33="Shihor", "Shihor",
  H33="Ghogha", "Bhavnagar",
  H33="Bhavnagar", "Bhavnagar"
)</f>
        <v>Mahuva</v>
      </c>
      <c r="J33" s="5" t="s">
        <v>21</v>
      </c>
      <c r="K33" s="5"/>
      <c r="L33" s="5">
        <v>180844</v>
      </c>
      <c r="M33" s="5"/>
      <c r="N33" s="7">
        <v>45778</v>
      </c>
      <c r="O33" s="7">
        <v>45789</v>
      </c>
      <c r="P33" s="7">
        <v>45790</v>
      </c>
      <c r="Q33" s="7">
        <f t="shared" si="0"/>
        <v>45909</v>
      </c>
      <c r="R33" s="9">
        <v>23183208.690000001</v>
      </c>
      <c r="S33" s="33"/>
      <c r="T33" s="9">
        <v>19107600.600000001</v>
      </c>
      <c r="U33" s="10">
        <v>-17.579999999999998</v>
      </c>
      <c r="V33" s="10" t="str">
        <f t="shared" si="1"/>
        <v>Below</v>
      </c>
      <c r="W33" s="11" t="str" cm="1">
        <f t="array" ref="W33">NumberToWords(T33)</f>
        <v>One Crore Ninety One Lakh Seven Thousand Six Hundred Rupees and Six Paise Only</v>
      </c>
      <c r="X33" s="10" t="str">
        <f t="shared" si="2"/>
        <v>Circle</v>
      </c>
      <c r="Z33" s="9">
        <f t="shared" si="3"/>
        <v>19107600.600000001</v>
      </c>
      <c r="AA33" s="5" t="s">
        <v>15</v>
      </c>
      <c r="AB33" s="8" t="str">
        <f>_xlfn.XLOOKUP(AA33, 'Agency List'!A$2:A$145, 'Agency List'!B$2:B$145, "Not Found")</f>
        <v>CHATURBHAI MOHANBHAI VAGHELA</v>
      </c>
      <c r="AC33" s="8" t="str">
        <f>_xlfn.XLOOKUP(AA33, 'Agency List'!A$2:A$145, 'Agency List'!C$2:C$145, "Not Found")</f>
        <v>MOTI PANIYALI, Via. Po. SHETRUNJI, Ta. PALITANA, Dist. BHAVNAGAR-364270</v>
      </c>
      <c r="AD33" s="8">
        <f>_xlfn.XLOOKUP(AA33, 'Agency List'!A$2:A$145, 'Agency List'!D$2:D$145, "Not Found")</f>
        <v>9925448120</v>
      </c>
      <c r="AE33" s="7">
        <v>45804</v>
      </c>
      <c r="AF33" s="5" t="s">
        <v>938</v>
      </c>
      <c r="AG33" s="5" t="str">
        <f t="shared" si="4"/>
        <v>NA</v>
      </c>
      <c r="AH33" s="5"/>
      <c r="AI33" s="32" t="s">
        <v>231</v>
      </c>
      <c r="AJ33" s="8" t="s">
        <v>302</v>
      </c>
      <c r="AK33" s="7">
        <v>45813</v>
      </c>
      <c r="AL33" s="16">
        <v>8</v>
      </c>
      <c r="AM33" s="12">
        <f t="shared" si="5"/>
        <v>956000</v>
      </c>
      <c r="AN33" s="7">
        <f t="shared" si="6"/>
        <v>47355</v>
      </c>
      <c r="AO33" s="12">
        <f t="shared" si="7"/>
        <v>64100</v>
      </c>
      <c r="AP33" s="12">
        <f t="shared" si="8"/>
        <v>352000</v>
      </c>
      <c r="AQ33" s="15">
        <f t="shared" si="9"/>
        <v>46220</v>
      </c>
      <c r="AR33" s="7">
        <f t="shared" si="10"/>
        <v>47295</v>
      </c>
      <c r="AS33" s="5">
        <v>870</v>
      </c>
      <c r="AT33" s="7">
        <v>45827</v>
      </c>
      <c r="AU33" s="5"/>
      <c r="AV33" s="17"/>
      <c r="AW33" s="17"/>
      <c r="AX33" s="5"/>
      <c r="AY33" s="5"/>
      <c r="AZ33" s="13"/>
      <c r="BA33" s="12"/>
      <c r="BB33" s="7"/>
      <c r="BC33" s="14"/>
      <c r="BD33" s="14"/>
      <c r="BE33" s="44"/>
      <c r="BF33" s="12"/>
      <c r="BG33" s="14"/>
      <c r="BH33" s="19">
        <v>45945</v>
      </c>
      <c r="BI33" s="5"/>
      <c r="BK33" s="5">
        <v>1770</v>
      </c>
      <c r="BL33" s="7">
        <v>46011</v>
      </c>
      <c r="BM33" s="18"/>
      <c r="BN33" s="18"/>
      <c r="BO33" s="18"/>
      <c r="BP33" s="18"/>
      <c r="BQ33" s="5"/>
      <c r="BR33" s="18"/>
      <c r="BS33" s="18"/>
      <c r="BT33" s="35">
        <f t="shared" si="11"/>
        <v>46187</v>
      </c>
    </row>
    <row r="34" spans="1:72" ht="58" x14ac:dyDescent="0.35">
      <c r="A34" s="5">
        <v>33</v>
      </c>
      <c r="B34" s="5" t="s">
        <v>335</v>
      </c>
      <c r="C34" s="5" t="s">
        <v>78</v>
      </c>
      <c r="D34" s="5">
        <v>2</v>
      </c>
      <c r="E34" s="5">
        <v>11</v>
      </c>
      <c r="F34" s="8" t="s">
        <v>588</v>
      </c>
      <c r="G34" s="8" t="s">
        <v>98</v>
      </c>
      <c r="H34" s="5" t="s">
        <v>13</v>
      </c>
      <c r="I34" s="5" t="str" cm="1">
        <f t="array" ref="I34">_xlfn.IFS(
  H34="Mahuva", "Mahuva",
  H34="Jesar", "Mahuva",
  H34="Palitana", "Palitana",
  H34="Gariyadhar", "Palitana",
  H34="Talaja", "Talaja",
  H34="Vallabhipur", "Vallabhipur",
  H34="Umrala", "Vallabhipur",
  H34="Shihor", "Shihor",
  H34="Ghogha", "Bhavnagar",
  H34="Bhavnagar", "Bhavnagar"
)</f>
        <v>Shihor</v>
      </c>
      <c r="J34" s="5" t="s">
        <v>21</v>
      </c>
      <c r="K34" s="5"/>
      <c r="L34" s="5">
        <v>180848</v>
      </c>
      <c r="M34" s="5"/>
      <c r="N34" s="7">
        <v>45778</v>
      </c>
      <c r="O34" s="7">
        <v>45789</v>
      </c>
      <c r="P34" s="7">
        <v>45790</v>
      </c>
      <c r="Q34" s="7">
        <f t="shared" si="0"/>
        <v>45909</v>
      </c>
      <c r="R34" s="9">
        <v>44204292.450000003</v>
      </c>
      <c r="S34" s="33"/>
      <c r="T34" s="9">
        <v>38842311.780000001</v>
      </c>
      <c r="U34" s="10">
        <v>-12.13</v>
      </c>
      <c r="V34" s="10" t="str">
        <f t="shared" si="1"/>
        <v>Below</v>
      </c>
      <c r="W34" s="11" t="str" cm="1">
        <f t="array" ref="W34">NumberToWords(T34)</f>
        <v>Three Crore Eighty Eight Lakh Forty Two Thousand Three Hundred Eleven Rupees and Seventy Eight Paise Only</v>
      </c>
      <c r="X34" s="10" t="str">
        <f t="shared" si="2"/>
        <v>Government</v>
      </c>
      <c r="Z34" s="9">
        <f t="shared" si="3"/>
        <v>38842311.780000001</v>
      </c>
      <c r="AA34" s="5" t="s">
        <v>225</v>
      </c>
      <c r="AB34" s="8">
        <f>_xlfn.XLOOKUP(AA34, 'Agency List'!A$2:A$145, 'Agency List'!B$2:B$145, "Not Found")</f>
        <v>0</v>
      </c>
      <c r="AC34" s="8" t="str">
        <f>_xlfn.XLOOKUP(AA34, 'Agency List'!A$2:A$145, 'Agency List'!C$2:C$145, "Not Found")</f>
        <v xml:space="preserve">Shop No. 112, Sunrise Complex, Dawn Chowk, Bhavnagar </v>
      </c>
      <c r="AD34" s="8">
        <f>_xlfn.XLOOKUP(AA34, 'Agency List'!A$2:A$145, 'Agency List'!D$2:D$145, "Not Found")</f>
        <v>7600749191</v>
      </c>
      <c r="AE34" s="7">
        <v>45804</v>
      </c>
      <c r="AF34" s="5" t="s">
        <v>942</v>
      </c>
      <c r="AG34" s="5" t="str">
        <f t="shared" si="4"/>
        <v>NA</v>
      </c>
      <c r="AH34" s="5"/>
      <c r="AI34" s="32" t="s">
        <v>231</v>
      </c>
      <c r="AJ34" s="8" t="s">
        <v>306</v>
      </c>
      <c r="AK34" s="7">
        <v>45825</v>
      </c>
      <c r="AL34" s="16">
        <v>10</v>
      </c>
      <c r="AM34" s="12">
        <f t="shared" si="5"/>
        <v>1943000</v>
      </c>
      <c r="AN34" s="7">
        <f t="shared" si="6"/>
        <v>47441</v>
      </c>
      <c r="AO34" s="12">
        <f t="shared" si="7"/>
        <v>104500</v>
      </c>
      <c r="AP34" s="12">
        <f t="shared" si="8"/>
        <v>189000</v>
      </c>
      <c r="AQ34" s="15">
        <f t="shared" si="9"/>
        <v>46306</v>
      </c>
      <c r="AR34" s="7">
        <f t="shared" si="10"/>
        <v>47381</v>
      </c>
      <c r="AS34" s="5">
        <v>873</v>
      </c>
      <c r="AT34" s="7">
        <v>45829</v>
      </c>
      <c r="AU34" s="5" t="s">
        <v>78</v>
      </c>
      <c r="AV34" s="17">
        <v>202</v>
      </c>
      <c r="AW34" s="37">
        <v>45971</v>
      </c>
      <c r="AX34" s="5" t="s">
        <v>355</v>
      </c>
      <c r="AY34" s="5" t="s">
        <v>723</v>
      </c>
      <c r="AZ34" s="45" t="s">
        <v>822</v>
      </c>
      <c r="BA34" s="12">
        <v>1943000</v>
      </c>
      <c r="BB34" s="7">
        <v>45959</v>
      </c>
      <c r="BC34" s="5" t="s">
        <v>355</v>
      </c>
      <c r="BD34" s="5" t="s">
        <v>723</v>
      </c>
      <c r="BE34" s="45" t="s">
        <v>823</v>
      </c>
      <c r="BF34" s="12">
        <v>189000</v>
      </c>
      <c r="BG34" s="7">
        <v>45959</v>
      </c>
      <c r="BH34" s="37">
        <v>45971</v>
      </c>
      <c r="BI34" s="5">
        <v>1510</v>
      </c>
      <c r="BJ34" s="37">
        <v>45971</v>
      </c>
      <c r="BM34" s="18"/>
      <c r="BN34" s="18"/>
      <c r="BO34" s="18"/>
      <c r="BP34" s="18"/>
      <c r="BQ34" s="5"/>
      <c r="BR34" s="18"/>
      <c r="BS34" s="18"/>
      <c r="BT34" s="35">
        <f t="shared" si="11"/>
        <v>46274</v>
      </c>
    </row>
    <row r="35" spans="1:72" ht="101.5" x14ac:dyDescent="0.35">
      <c r="A35" s="5">
        <v>34</v>
      </c>
      <c r="B35" s="5" t="s">
        <v>335</v>
      </c>
      <c r="C35" s="5" t="s">
        <v>78</v>
      </c>
      <c r="D35" s="5">
        <v>2</v>
      </c>
      <c r="E35" s="5">
        <v>12</v>
      </c>
      <c r="F35" s="8" t="s">
        <v>589</v>
      </c>
      <c r="G35" s="8" t="s">
        <v>99</v>
      </c>
      <c r="H35" s="5" t="s">
        <v>1</v>
      </c>
      <c r="I35" s="5" t="str" cm="1">
        <f t="array" ref="I35">_xlfn.IFS(
  H35="Mahuva", "Mahuva",
  H35="Jesar", "Mahuva",
  H35="Palitana", "Palitana",
  H35="Gariyadhar", "Palitana",
  H35="Talaja", "Talaja",
  H35="Vallabhipur", "Vallabhipur",
  H35="Umrala", "Vallabhipur",
  H35="Shihor", "Shihor",
  H35="Ghogha", "Bhavnagar",
  H35="Bhavnagar", "Bhavnagar"
)</f>
        <v>Bhavnagar</v>
      </c>
      <c r="J35" s="5" t="s">
        <v>21</v>
      </c>
      <c r="K35" s="5"/>
      <c r="L35" s="5">
        <v>180705</v>
      </c>
      <c r="M35" s="5"/>
      <c r="N35" s="7">
        <v>45778</v>
      </c>
      <c r="O35" s="7">
        <v>45789</v>
      </c>
      <c r="P35" s="7">
        <v>45790</v>
      </c>
      <c r="Q35" s="7">
        <f t="shared" si="0"/>
        <v>45909</v>
      </c>
      <c r="R35" s="9">
        <v>18127674.920000002</v>
      </c>
      <c r="S35" s="33"/>
      <c r="T35" s="9">
        <v>16088311.49</v>
      </c>
      <c r="U35" s="10">
        <v>-11.25</v>
      </c>
      <c r="V35" s="10" t="str">
        <f t="shared" si="1"/>
        <v>Below</v>
      </c>
      <c r="W35" s="11" t="str" cm="1">
        <f t="array" ref="W35">NumberToWords(T35)</f>
        <v>One Crore Sixty Lakh Eighty Eight Thousand Three Hundred Eleven Rupees and Forty Nine Paise Only</v>
      </c>
      <c r="X35" s="10" t="str">
        <f t="shared" si="2"/>
        <v>Circle</v>
      </c>
      <c r="Y35" s="9">
        <v>1224193.3999999999</v>
      </c>
      <c r="Z35" s="9">
        <f t="shared" si="3"/>
        <v>17312504.890000001</v>
      </c>
      <c r="AA35" s="5" t="s">
        <v>223</v>
      </c>
      <c r="AB35" s="8">
        <f>_xlfn.XLOOKUP(AA35, 'Agency List'!A$2:A$145, 'Agency List'!B$2:B$145, "Not Found")</f>
        <v>0</v>
      </c>
      <c r="AC35" s="8" t="str">
        <f>_xlfn.XLOOKUP(AA35, 'Agency List'!A$2:A$145, 'Agency List'!C$2:C$145, "Not Found")</f>
        <v>70, Hari Darshan Township, Subhashnagar, Bhavnagar</v>
      </c>
      <c r="AD35" s="8">
        <f>_xlfn.XLOOKUP(AA35, 'Agency List'!A$2:A$145, 'Agency List'!D$2:D$145, "Not Found")</f>
        <v>9825209897</v>
      </c>
      <c r="AE35" s="7">
        <v>45804</v>
      </c>
      <c r="AF35" s="5" t="s">
        <v>821</v>
      </c>
      <c r="AG35" s="5" t="str">
        <f t="shared" si="4"/>
        <v>NA</v>
      </c>
      <c r="AH35" s="5"/>
      <c r="AI35" s="8" t="s">
        <v>69</v>
      </c>
      <c r="AJ35" s="20" t="s">
        <v>254</v>
      </c>
      <c r="AK35" s="7">
        <v>45810</v>
      </c>
      <c r="AL35" s="16">
        <v>8</v>
      </c>
      <c r="AM35" s="12">
        <f t="shared" si="5"/>
        <v>805000</v>
      </c>
      <c r="AN35" s="7">
        <f t="shared" si="6"/>
        <v>47355</v>
      </c>
      <c r="AO35" s="12">
        <f t="shared" si="7"/>
        <v>41700</v>
      </c>
      <c r="AP35" s="12">
        <f t="shared" si="8"/>
        <v>46000</v>
      </c>
      <c r="AQ35" s="15">
        <f t="shared" si="9"/>
        <v>46220</v>
      </c>
      <c r="AR35" s="7">
        <f t="shared" si="10"/>
        <v>47295</v>
      </c>
      <c r="AS35" s="5">
        <v>874</v>
      </c>
      <c r="AT35" s="7">
        <v>45829</v>
      </c>
      <c r="AU35" s="5" t="s">
        <v>78</v>
      </c>
      <c r="AV35" s="17">
        <v>63</v>
      </c>
      <c r="AW35" s="37">
        <v>45857</v>
      </c>
      <c r="AX35" s="5" t="s">
        <v>355</v>
      </c>
      <c r="AY35" s="5" t="s">
        <v>369</v>
      </c>
      <c r="AZ35" s="13">
        <v>44288079123</v>
      </c>
      <c r="BA35" s="12">
        <v>805000</v>
      </c>
      <c r="BB35" s="7">
        <v>45855</v>
      </c>
      <c r="BC35" s="5" t="s">
        <v>355</v>
      </c>
      <c r="BD35" s="5" t="s">
        <v>369</v>
      </c>
      <c r="BE35" s="13">
        <v>44288012760</v>
      </c>
      <c r="BF35" s="12">
        <v>46000</v>
      </c>
      <c r="BG35" s="7">
        <v>45855</v>
      </c>
      <c r="BH35" s="19">
        <v>45945</v>
      </c>
      <c r="BI35" s="5">
        <v>999</v>
      </c>
      <c r="BJ35" s="19">
        <v>45917</v>
      </c>
      <c r="BM35" s="18"/>
      <c r="BN35" s="18"/>
      <c r="BO35" s="18"/>
      <c r="BP35" s="18"/>
      <c r="BQ35" s="5"/>
      <c r="BR35" s="18"/>
      <c r="BS35" s="18"/>
      <c r="BT35" s="35">
        <f t="shared" si="11"/>
        <v>46187</v>
      </c>
    </row>
    <row r="36" spans="1:72" ht="58" x14ac:dyDescent="0.65">
      <c r="A36" s="5">
        <v>35</v>
      </c>
      <c r="B36" s="5"/>
      <c r="C36" s="5" t="s">
        <v>78</v>
      </c>
      <c r="D36" s="5">
        <v>2</v>
      </c>
      <c r="E36" s="5">
        <v>13</v>
      </c>
      <c r="F36" s="8" t="s">
        <v>338</v>
      </c>
      <c r="G36" s="21"/>
      <c r="H36" s="5" t="s">
        <v>332</v>
      </c>
      <c r="I36" s="5" t="str" cm="1">
        <f t="array" ref="I36">_xlfn.IFS(
  H36="Mahuva", "Mahuva",
  H36="Jesar", "Mahuva",
  H36="Palitana", "Palitana",
  H36="Gariyadhar", "Palitana",
  H36="Talaja", "Talaja",
  H36="Vallabhipur", "Vallabhipur",
  H36="Umrala", "Vallabhipur",
  H36="Shihor", "Shihor",
  H36="Ghogha", "Bhavnagar",
  H36="Bhavnagar", "Bhavnagar"
)</f>
        <v>Bhavnagar</v>
      </c>
      <c r="J36" s="5" t="s">
        <v>21</v>
      </c>
      <c r="K36" s="5"/>
      <c r="L36" s="5">
        <v>180856</v>
      </c>
      <c r="M36" s="5"/>
      <c r="N36" s="7">
        <v>45778</v>
      </c>
      <c r="O36" s="7">
        <v>45789</v>
      </c>
      <c r="P36" s="7">
        <v>45790</v>
      </c>
      <c r="Q36" s="7">
        <f t="shared" si="0"/>
        <v>45909</v>
      </c>
      <c r="R36" s="9">
        <v>15081719.609999999</v>
      </c>
      <c r="S36" s="33"/>
      <c r="T36" s="9">
        <v>13271913.26</v>
      </c>
      <c r="U36" s="10">
        <v>-12</v>
      </c>
      <c r="V36" s="10" t="str">
        <f t="shared" si="1"/>
        <v>Below</v>
      </c>
      <c r="W36" s="11" t="str" cm="1">
        <f t="array" ref="W36">NumberToWords(T36)</f>
        <v>One Crore Thirty Two Lakh Seventy One Thousand Nine Hundred Thirteen Rupees and Twenty Six Paise Only</v>
      </c>
      <c r="X36" s="10" t="str">
        <f t="shared" si="2"/>
        <v>Circle</v>
      </c>
      <c r="Z36" s="9">
        <f t="shared" si="3"/>
        <v>13271913.26</v>
      </c>
      <c r="AA36" s="5" t="s">
        <v>80</v>
      </c>
      <c r="AB36" s="8" t="str">
        <f>_xlfn.XLOOKUP(AA36, 'Agency List'!A$2:A$145, 'Agency List'!B$2:B$145, "Not Found")</f>
        <v>BHADRESHSINH BHAGWATSING GOHIL</v>
      </c>
      <c r="AC36" s="8" t="str">
        <f>_xlfn.XLOOKUP(AA36, 'Agency List'!A$2:A$145, 'Agency List'!C$2:C$145, "Not Found")</f>
        <v>A/8, AKSHARDEEP COMPLEX, OPP. DEEPAK MEMORIAL HALL, SANSKAR MANDAL, BHAVNAGAR-364002</v>
      </c>
      <c r="AD36" s="8">
        <f>_xlfn.XLOOKUP(AA36, 'Agency List'!A$2:A$145, 'Agency List'!D$2:D$145, "Not Found")</f>
        <v>9925209999</v>
      </c>
      <c r="AE36" s="7">
        <v>45804</v>
      </c>
      <c r="AF36" s="5" t="s">
        <v>821</v>
      </c>
      <c r="AG36" s="5" t="str">
        <f t="shared" si="4"/>
        <v>NA</v>
      </c>
      <c r="AH36" s="5"/>
      <c r="AI36" s="8" t="s">
        <v>69</v>
      </c>
      <c r="AJ36" s="20" t="s">
        <v>249</v>
      </c>
      <c r="AK36" s="7">
        <v>45810</v>
      </c>
      <c r="AL36" s="16">
        <v>8</v>
      </c>
      <c r="AM36" s="12">
        <f t="shared" si="5"/>
        <v>664000</v>
      </c>
      <c r="AN36" s="7">
        <f t="shared" si="6"/>
        <v>47355</v>
      </c>
      <c r="AO36" s="12">
        <f t="shared" si="7"/>
        <v>35600</v>
      </c>
      <c r="AP36" s="12">
        <f t="shared" si="8"/>
        <v>61000</v>
      </c>
      <c r="AQ36" s="15">
        <f t="shared" si="9"/>
        <v>46220</v>
      </c>
      <c r="AR36" s="7">
        <f t="shared" si="10"/>
        <v>47295</v>
      </c>
      <c r="AS36" s="5">
        <v>875</v>
      </c>
      <c r="AT36" s="7">
        <v>45829</v>
      </c>
      <c r="AU36" s="5" t="s">
        <v>78</v>
      </c>
      <c r="AV36" s="17">
        <v>65</v>
      </c>
      <c r="AW36" s="37">
        <v>45871</v>
      </c>
      <c r="AX36" s="5" t="s">
        <v>359</v>
      </c>
      <c r="AY36" s="5" t="s">
        <v>458</v>
      </c>
      <c r="AZ36" s="13" t="s">
        <v>473</v>
      </c>
      <c r="BA36" s="12">
        <v>664000</v>
      </c>
      <c r="BB36" s="7">
        <v>45859</v>
      </c>
      <c r="BC36" s="5" t="s">
        <v>359</v>
      </c>
      <c r="BD36" s="5" t="s">
        <v>458</v>
      </c>
      <c r="BE36" s="13" t="s">
        <v>474</v>
      </c>
      <c r="BF36" s="12">
        <v>61000</v>
      </c>
      <c r="BG36" s="7">
        <v>45859</v>
      </c>
      <c r="BH36" s="19">
        <v>45945</v>
      </c>
      <c r="BI36" s="5">
        <v>1057</v>
      </c>
      <c r="BJ36" s="19">
        <v>45871</v>
      </c>
      <c r="BM36" s="18"/>
      <c r="BN36" s="18"/>
      <c r="BO36" s="18"/>
      <c r="BP36" s="18"/>
      <c r="BQ36" s="5"/>
      <c r="BR36" s="18"/>
      <c r="BS36" s="18"/>
      <c r="BT36" s="35">
        <f t="shared" si="11"/>
        <v>46187</v>
      </c>
    </row>
    <row r="37" spans="1:72" ht="43.5" x14ac:dyDescent="0.65">
      <c r="A37" s="5">
        <v>36</v>
      </c>
      <c r="B37" s="5"/>
      <c r="C37" s="5" t="s">
        <v>78</v>
      </c>
      <c r="D37" s="5">
        <v>2</v>
      </c>
      <c r="E37" s="5">
        <v>14</v>
      </c>
      <c r="F37" s="8" t="s">
        <v>590</v>
      </c>
      <c r="G37" s="21"/>
      <c r="H37" s="5" t="s">
        <v>12</v>
      </c>
      <c r="I37" s="5" t="str" cm="1">
        <f t="array" ref="I37">_xlfn.IFS(
  H37="Mahuva", "Mahuva",
  H37="Jesar", "Mahuva",
  H37="Palitana", "Palitana",
  H37="Gariyadhar", "Palitana",
  H37="Talaja", "Talaja",
  H37="Vallabhipur", "Vallabhipur",
  H37="Umrala", "Vallabhipur",
  H37="Shihor", "Shihor",
  H37="Ghogha", "Bhavnagar",
  H37="Bhavnagar", "Bhavnagar"
)</f>
        <v>Mahuva</v>
      </c>
      <c r="J37" s="5" t="s">
        <v>21</v>
      </c>
      <c r="K37" s="5"/>
      <c r="L37" s="5">
        <v>180716</v>
      </c>
      <c r="M37" s="5"/>
      <c r="N37" s="7">
        <v>45778</v>
      </c>
      <c r="O37" s="7">
        <v>45789</v>
      </c>
      <c r="P37" s="7">
        <v>45790</v>
      </c>
      <c r="Q37" s="7">
        <f t="shared" si="0"/>
        <v>45909</v>
      </c>
      <c r="S37" s="33" t="s">
        <v>233</v>
      </c>
      <c r="U37" s="10"/>
      <c r="V37" s="10" t="str">
        <f t="shared" si="1"/>
        <v>Equals</v>
      </c>
      <c r="W37" s="11" t="str" cm="1">
        <f t="array" ref="W37">NumberToWords(T37)</f>
        <v>Zero Rupees Only</v>
      </c>
      <c r="X37" s="10" t="str">
        <f t="shared" si="2"/>
        <v>Division</v>
      </c>
      <c r="Z37" s="9">
        <f t="shared" si="3"/>
        <v>0</v>
      </c>
      <c r="AB37" s="8">
        <f>_xlfn.XLOOKUP(AA37, 'Agency List'!A$2:A$145, 'Agency List'!B$2:B$145, "Not Found")</f>
        <v>0</v>
      </c>
      <c r="AC37" s="8">
        <f>_xlfn.XLOOKUP(AA37, 'Agency List'!A$2:A$145, 'Agency List'!C$2:C$145, "Not Found")</f>
        <v>0</v>
      </c>
      <c r="AD37" s="8">
        <f>_xlfn.XLOOKUP(AA37, 'Agency List'!A$2:A$145, 'Agency List'!D$2:D$145, "Not Found")</f>
        <v>0</v>
      </c>
      <c r="AE37" s="7"/>
      <c r="AF37" s="5"/>
      <c r="AG37" s="5" t="str">
        <f t="shared" si="4"/>
        <v>Bandhkam</v>
      </c>
      <c r="AH37" s="5"/>
      <c r="AI37" s="8"/>
      <c r="AJ37" s="8"/>
      <c r="AL37" s="16"/>
      <c r="AM37" s="12">
        <f t="shared" si="5"/>
        <v>0</v>
      </c>
      <c r="AN37" s="7">
        <f t="shared" si="6"/>
        <v>450</v>
      </c>
      <c r="AO37" s="12">
        <f t="shared" si="7"/>
        <v>0</v>
      </c>
      <c r="AP37" s="12">
        <f t="shared" si="8"/>
        <v>0</v>
      </c>
      <c r="AQ37" s="15">
        <f t="shared" si="9"/>
        <v>35</v>
      </c>
      <c r="AR37" s="7">
        <f t="shared" si="10"/>
        <v>390</v>
      </c>
      <c r="AS37" s="5"/>
      <c r="AU37" s="5"/>
      <c r="AV37" s="17"/>
      <c r="AW37" s="17"/>
      <c r="AX37" s="5"/>
      <c r="AY37" s="5"/>
      <c r="AZ37" s="13"/>
      <c r="BA37" s="12"/>
      <c r="BB37" s="7"/>
      <c r="BC37" s="14"/>
      <c r="BD37" s="14"/>
      <c r="BF37" s="12"/>
      <c r="BG37" s="14"/>
      <c r="BH37" s="19"/>
      <c r="BI37" s="5"/>
      <c r="BM37" s="18"/>
      <c r="BN37" s="18"/>
      <c r="BO37" s="18"/>
      <c r="BP37" s="18"/>
      <c r="BQ37" s="5"/>
      <c r="BR37" s="18"/>
      <c r="BS37" s="18"/>
      <c r="BT37" s="35">
        <f t="shared" si="11"/>
        <v>-1</v>
      </c>
    </row>
    <row r="38" spans="1:72" ht="43.5" x14ac:dyDescent="0.35">
      <c r="A38" s="5">
        <v>37</v>
      </c>
      <c r="B38" s="5"/>
      <c r="C38" s="5" t="s">
        <v>78</v>
      </c>
      <c r="D38" s="5">
        <v>2</v>
      </c>
      <c r="E38" s="5">
        <v>15</v>
      </c>
      <c r="F38" s="8" t="s">
        <v>337</v>
      </c>
      <c r="G38" s="8"/>
      <c r="H38" s="5" t="s">
        <v>12</v>
      </c>
      <c r="I38" s="5" t="str" cm="1">
        <f t="array" ref="I38">_xlfn.IFS(
  H38="Mahuva", "Mahuva",
  H38="Jesar", "Mahuva",
  H38="Palitana", "Palitana",
  H38="Gariyadhar", "Palitana",
  H38="Talaja", "Talaja",
  H38="Vallabhipur", "Vallabhipur",
  H38="Umrala", "Vallabhipur",
  H38="Shihor", "Shihor",
  H38="Ghogha", "Bhavnagar",
  H38="Bhavnagar", "Bhavnagar"
)</f>
        <v>Mahuva</v>
      </c>
      <c r="J38" s="5" t="s">
        <v>21</v>
      </c>
      <c r="K38" s="5"/>
      <c r="L38" s="5">
        <v>180728</v>
      </c>
      <c r="M38" s="5">
        <v>1</v>
      </c>
      <c r="N38" s="7">
        <v>45778</v>
      </c>
      <c r="O38" s="7">
        <v>45789</v>
      </c>
      <c r="P38" s="7">
        <v>45790</v>
      </c>
      <c r="Q38" s="7">
        <f t="shared" si="0"/>
        <v>45909</v>
      </c>
      <c r="R38" s="9">
        <v>5574164.5300000003</v>
      </c>
      <c r="S38" s="33"/>
      <c r="T38" s="9">
        <v>6187322.6299999999</v>
      </c>
      <c r="U38" s="10">
        <v>11</v>
      </c>
      <c r="V38" s="10" t="str">
        <f t="shared" si="1"/>
        <v>Above</v>
      </c>
      <c r="W38" s="11" t="str" cm="1">
        <f t="array" ref="W38">NumberToWords(T38)</f>
        <v>Sixty One Lakh Eighty Seven Thousand Three Hundred Twenty Two Rupees and Sixty Three Paise Only</v>
      </c>
      <c r="X38" s="10" t="str">
        <f t="shared" si="2"/>
        <v>Circle</v>
      </c>
      <c r="Y38" s="9">
        <v>240055.41</v>
      </c>
      <c r="Z38" s="9">
        <f t="shared" si="3"/>
        <v>6427378.04</v>
      </c>
      <c r="AA38" s="5" t="s">
        <v>18</v>
      </c>
      <c r="AB38" s="8">
        <f>_xlfn.XLOOKUP(AA38, 'Agency List'!A$2:A$145, 'Agency List'!B$2:B$145, "Not Found")</f>
        <v>0</v>
      </c>
      <c r="AC38" s="8" t="str">
        <f>_xlfn.XLOOKUP(AA38, 'Agency List'!A$2:A$145, 'Agency List'!C$2:C$145, "Not Found")</f>
        <v>Shop No. 131/B, First Floor, Shiva Belssing-2, Opp. BMC Office, Bhavnagar</v>
      </c>
      <c r="AD38" s="8">
        <f>_xlfn.XLOOKUP(AA38, 'Agency List'!A$2:A$145, 'Agency List'!D$2:D$145, "Not Found")</f>
        <v>9925888787</v>
      </c>
      <c r="AE38" s="7">
        <v>45804</v>
      </c>
      <c r="AF38" s="5" t="s">
        <v>821</v>
      </c>
      <c r="AG38" s="5" t="str">
        <f t="shared" si="4"/>
        <v>NA</v>
      </c>
      <c r="AH38" s="5"/>
      <c r="AI38" s="8" t="s">
        <v>69</v>
      </c>
      <c r="AJ38" s="20" t="s">
        <v>336</v>
      </c>
      <c r="AK38" s="7">
        <v>45818</v>
      </c>
      <c r="AL38" s="16">
        <v>4</v>
      </c>
      <c r="AM38" s="12">
        <f t="shared" si="5"/>
        <v>310000</v>
      </c>
      <c r="AN38" s="7">
        <f t="shared" si="6"/>
        <v>46574</v>
      </c>
      <c r="AO38" s="12">
        <f t="shared" si="7"/>
        <v>15200</v>
      </c>
      <c r="AP38" s="12">
        <f t="shared" si="8"/>
        <v>0</v>
      </c>
      <c r="AQ38" s="15">
        <f t="shared" si="9"/>
        <v>46159</v>
      </c>
      <c r="AR38" s="7">
        <f t="shared" si="10"/>
        <v>46514</v>
      </c>
      <c r="AS38" s="5">
        <v>876</v>
      </c>
      <c r="AT38" s="7">
        <v>45829</v>
      </c>
      <c r="AU38" s="5" t="s">
        <v>78</v>
      </c>
      <c r="AV38" s="17">
        <v>238</v>
      </c>
      <c r="AW38" s="37">
        <v>46004</v>
      </c>
      <c r="AX38" s="5" t="s">
        <v>359</v>
      </c>
      <c r="AY38" s="5" t="s">
        <v>609</v>
      </c>
      <c r="AZ38" s="13" t="s">
        <v>922</v>
      </c>
      <c r="BA38" s="12">
        <v>310000</v>
      </c>
      <c r="BB38" s="7">
        <v>45971</v>
      </c>
      <c r="BC38" s="14"/>
      <c r="BD38" s="14"/>
      <c r="BF38" s="12"/>
      <c r="BG38" s="14"/>
      <c r="BH38" s="19">
        <v>46004</v>
      </c>
      <c r="BI38" s="5">
        <v>1704</v>
      </c>
      <c r="BJ38" s="19">
        <v>46004</v>
      </c>
      <c r="BM38" s="18"/>
      <c r="BN38" s="18"/>
      <c r="BO38" s="18"/>
      <c r="BP38" s="18"/>
      <c r="BQ38" s="5"/>
      <c r="BR38" s="18"/>
      <c r="BS38" s="18"/>
      <c r="BT38" s="35">
        <f t="shared" si="11"/>
        <v>46124</v>
      </c>
    </row>
    <row r="39" spans="1:72" ht="43.5" x14ac:dyDescent="0.35">
      <c r="A39" s="5">
        <v>38</v>
      </c>
      <c r="B39" s="5"/>
      <c r="C39" s="5" t="s">
        <v>78</v>
      </c>
      <c r="D39" s="5">
        <v>2</v>
      </c>
      <c r="E39" s="5">
        <v>16</v>
      </c>
      <c r="F39" s="8" t="s">
        <v>339</v>
      </c>
      <c r="G39" s="8"/>
      <c r="H39" s="5" t="s">
        <v>12</v>
      </c>
      <c r="I39" s="5" t="str" cm="1">
        <f t="array" ref="I39">_xlfn.IFS(
  H39="Mahuva", "Mahuva",
  H39="Jesar", "Mahuva",
  H39="Palitana", "Palitana",
  H39="Gariyadhar", "Palitana",
  H39="Talaja", "Talaja",
  H39="Vallabhipur", "Vallabhipur",
  H39="Umrala", "Vallabhipur",
  H39="Shihor", "Shihor",
  H39="Ghogha", "Bhavnagar",
  H39="Bhavnagar", "Bhavnagar"
)</f>
        <v>Mahuva</v>
      </c>
      <c r="J39" s="5" t="s">
        <v>21</v>
      </c>
      <c r="K39" s="5"/>
      <c r="L39" s="5">
        <v>180660</v>
      </c>
      <c r="M39" s="5"/>
      <c r="N39" s="7">
        <v>45778</v>
      </c>
      <c r="O39" s="7">
        <v>45789</v>
      </c>
      <c r="P39" s="7">
        <v>45790</v>
      </c>
      <c r="Q39" s="7">
        <f t="shared" si="0"/>
        <v>45909</v>
      </c>
      <c r="R39" s="9">
        <v>15230378.720000001</v>
      </c>
      <c r="S39" s="33"/>
      <c r="T39" s="9">
        <v>10662788.140000001</v>
      </c>
      <c r="U39" s="10">
        <v>-29.99</v>
      </c>
      <c r="V39" s="10" t="str">
        <f t="shared" si="1"/>
        <v>Below</v>
      </c>
      <c r="W39" s="11" t="str" cm="1">
        <f t="array" ref="W39">NumberToWords(T39)</f>
        <v>One Crore Six Lakh Sixty Two Thousand Seven Hundred Eighty Eight Rupees and Fourteen Paise Only</v>
      </c>
      <c r="X39" s="10" t="str">
        <f t="shared" si="2"/>
        <v>Circle</v>
      </c>
      <c r="Z39" s="9">
        <f t="shared" si="3"/>
        <v>10662788.140000001</v>
      </c>
      <c r="AA39" s="5" t="s">
        <v>226</v>
      </c>
      <c r="AB39" s="8" t="str">
        <f>_xlfn.XLOOKUP(AA39, 'Agency List'!A$2:A$145, 'Agency List'!B$2:B$145, "Not Found")</f>
        <v>DINESHBHAI VASHRAMBHAI PADAYA,</v>
      </c>
      <c r="AC39" s="8" t="str">
        <f>_xlfn.XLOOKUP(AA39, 'Agency List'!A$2:A$145, 'Agency List'!C$2:C$145, "Not Found")</f>
        <v>53, Chandraprakash Residency, Sidasar Road, Leela Circle, Bhavnagar-364002</v>
      </c>
      <c r="AD39" s="8">
        <f>_xlfn.XLOOKUP(AA39, 'Agency List'!A$2:A$145, 'Agency List'!D$2:D$145, "Not Found")</f>
        <v>9375779757</v>
      </c>
      <c r="AE39" s="7">
        <v>45804</v>
      </c>
      <c r="AF39" s="5" t="s">
        <v>821</v>
      </c>
      <c r="AG39" s="5" t="str">
        <f t="shared" si="4"/>
        <v>NA</v>
      </c>
      <c r="AH39" s="5"/>
      <c r="AI39" s="8" t="s">
        <v>69</v>
      </c>
      <c r="AJ39" s="20" t="s">
        <v>246</v>
      </c>
      <c r="AK39" s="7">
        <v>45810</v>
      </c>
      <c r="AL39" s="16">
        <v>10</v>
      </c>
      <c r="AM39" s="12">
        <f t="shared" si="5"/>
        <v>534000</v>
      </c>
      <c r="AN39" s="7">
        <f t="shared" si="6"/>
        <v>47415</v>
      </c>
      <c r="AO39" s="12">
        <f t="shared" si="7"/>
        <v>71000</v>
      </c>
      <c r="AP39" s="12">
        <f t="shared" si="8"/>
        <v>914000</v>
      </c>
      <c r="AQ39" s="15">
        <f t="shared" si="9"/>
        <v>46280</v>
      </c>
      <c r="AR39" s="7">
        <f t="shared" si="10"/>
        <v>47355</v>
      </c>
      <c r="AS39" s="5">
        <v>879</v>
      </c>
      <c r="AT39" s="7">
        <v>45829</v>
      </c>
      <c r="AU39" s="5" t="s">
        <v>78</v>
      </c>
      <c r="AV39" s="17">
        <v>147</v>
      </c>
      <c r="AW39" s="37">
        <v>45910</v>
      </c>
      <c r="AX39" s="5" t="s">
        <v>355</v>
      </c>
      <c r="AY39" s="5" t="s">
        <v>458</v>
      </c>
      <c r="AZ39" s="45" t="s">
        <v>721</v>
      </c>
      <c r="BA39" s="12">
        <v>534000</v>
      </c>
      <c r="BB39" s="7">
        <v>45889</v>
      </c>
      <c r="BC39" s="5" t="s">
        <v>355</v>
      </c>
      <c r="BD39" s="5" t="s">
        <v>458</v>
      </c>
      <c r="BE39" s="45" t="s">
        <v>722</v>
      </c>
      <c r="BF39" s="12">
        <v>914000</v>
      </c>
      <c r="BG39" s="7">
        <v>45889</v>
      </c>
      <c r="BH39" s="19">
        <v>45945</v>
      </c>
      <c r="BI39" s="5">
        <v>1291</v>
      </c>
      <c r="BJ39" s="19">
        <v>45910</v>
      </c>
      <c r="BM39" s="18"/>
      <c r="BN39" s="18"/>
      <c r="BO39" s="18"/>
      <c r="BP39" s="18"/>
      <c r="BQ39" s="5"/>
      <c r="BR39" s="18"/>
      <c r="BS39" s="18"/>
      <c r="BT39" s="35">
        <f t="shared" si="11"/>
        <v>46248</v>
      </c>
    </row>
    <row r="40" spans="1:72" ht="76.75" customHeight="1" x14ac:dyDescent="0.35">
      <c r="A40" s="5">
        <v>39</v>
      </c>
      <c r="B40" s="5"/>
      <c r="C40" s="5" t="s">
        <v>78</v>
      </c>
      <c r="D40" s="5">
        <v>2</v>
      </c>
      <c r="E40" s="5">
        <v>17</v>
      </c>
      <c r="F40" s="8" t="s">
        <v>100</v>
      </c>
      <c r="G40" s="8" t="s">
        <v>101</v>
      </c>
      <c r="H40" s="5" t="s">
        <v>12</v>
      </c>
      <c r="I40" s="5" t="str" cm="1">
        <f t="array" ref="I40">_xlfn.IFS(
  H40="Mahuva", "Mahuva",
  H40="Jesar", "Mahuva",
  H40="Palitana", "Palitana",
  H40="Gariyadhar", "Palitana",
  H40="Talaja", "Talaja",
  H40="Vallabhipur", "Vallabhipur",
  H40="Umrala", "Vallabhipur",
  H40="Shihor", "Shihor",
  H40="Ghogha", "Bhavnagar",
  H40="Bhavnagar", "Bhavnagar"
)</f>
        <v>Mahuva</v>
      </c>
      <c r="J40" s="5" t="s">
        <v>21</v>
      </c>
      <c r="K40" s="5"/>
      <c r="L40" s="5">
        <v>180666</v>
      </c>
      <c r="M40" s="5"/>
      <c r="N40" s="7">
        <v>45778</v>
      </c>
      <c r="O40" s="7">
        <v>45789</v>
      </c>
      <c r="P40" s="7">
        <v>45790</v>
      </c>
      <c r="Q40" s="7">
        <f t="shared" si="0"/>
        <v>45909</v>
      </c>
      <c r="R40" s="9">
        <v>11706821.6</v>
      </c>
      <c r="S40" s="33"/>
      <c r="T40" s="9">
        <v>8624415.4700000007</v>
      </c>
      <c r="U40" s="10">
        <v>-26.33</v>
      </c>
      <c r="V40" s="10" t="str">
        <f t="shared" si="1"/>
        <v>Below</v>
      </c>
      <c r="W40" s="11" t="str" cm="1">
        <f t="array" ref="W40">NumberToWords(T40)</f>
        <v>Eighty Six Lakh Twenty Four Thousand Four Hundred Fifteen Rupees and Forty Seven Paise Only</v>
      </c>
      <c r="X40" s="10" t="str">
        <f t="shared" si="2"/>
        <v>Circle</v>
      </c>
      <c r="Z40" s="9">
        <f t="shared" si="3"/>
        <v>8624415.4700000007</v>
      </c>
      <c r="AA40" s="5" t="s">
        <v>227</v>
      </c>
      <c r="AB40" s="8">
        <f>_xlfn.XLOOKUP(AA40, 'Agency List'!A$2:A$145, 'Agency List'!B$2:B$145, "Not Found")</f>
        <v>0</v>
      </c>
      <c r="AC40" s="8" t="str">
        <f>_xlfn.XLOOKUP(AA40, 'Agency List'!A$2:A$145, 'Agency List'!C$2:C$145, "Not Found")</f>
        <v xml:space="preserve">Plot No. 13/C, Sheri No. 9, Gurunagar, Behind Chitra Petrol, Bhavnagar 364003 </v>
      </c>
      <c r="AD40" s="8">
        <f>_xlfn.XLOOKUP(AA40, 'Agency List'!A$2:A$145, 'Agency List'!D$2:D$145, "Not Found")</f>
        <v>8980580857</v>
      </c>
      <c r="AE40" s="7">
        <v>45804</v>
      </c>
      <c r="AF40" s="5" t="s">
        <v>821</v>
      </c>
      <c r="AG40" s="5" t="str">
        <f t="shared" si="4"/>
        <v>NA</v>
      </c>
      <c r="AH40" s="5"/>
      <c r="AI40" s="8" t="s">
        <v>69</v>
      </c>
      <c r="AJ40" s="20" t="s">
        <v>243</v>
      </c>
      <c r="AK40" s="7">
        <v>45810</v>
      </c>
      <c r="AL40" s="16">
        <v>8</v>
      </c>
      <c r="AM40" s="12">
        <f t="shared" si="5"/>
        <v>432000</v>
      </c>
      <c r="AN40" s="7">
        <f t="shared" si="6"/>
        <v>47355</v>
      </c>
      <c r="AO40" s="12">
        <f t="shared" si="7"/>
        <v>49300</v>
      </c>
      <c r="AP40" s="12">
        <f t="shared" si="8"/>
        <v>574000</v>
      </c>
      <c r="AQ40" s="15">
        <f t="shared" si="9"/>
        <v>46220</v>
      </c>
      <c r="AR40" s="7">
        <f t="shared" si="10"/>
        <v>47295</v>
      </c>
      <c r="AS40" s="5">
        <v>877</v>
      </c>
      <c r="AT40" s="7">
        <v>45829</v>
      </c>
      <c r="AU40" s="5"/>
      <c r="AV40" s="17"/>
      <c r="AW40" s="17"/>
      <c r="AX40" s="5"/>
      <c r="AY40" s="5"/>
      <c r="AZ40" s="13"/>
      <c r="BA40" s="12"/>
      <c r="BB40" s="7"/>
      <c r="BC40" s="14"/>
      <c r="BD40" s="14"/>
      <c r="BF40" s="12"/>
      <c r="BG40" s="14"/>
      <c r="BH40" s="19">
        <v>45945</v>
      </c>
      <c r="BI40" s="5"/>
      <c r="BM40" s="18"/>
      <c r="BN40" s="18"/>
      <c r="BO40" s="18"/>
      <c r="BP40" s="18"/>
      <c r="BQ40" s="5"/>
      <c r="BR40" s="18"/>
      <c r="BS40" s="18"/>
      <c r="BT40" s="35">
        <f t="shared" si="11"/>
        <v>46187</v>
      </c>
    </row>
    <row r="41" spans="1:72" ht="163.25" customHeight="1" x14ac:dyDescent="0.35">
      <c r="A41" s="5">
        <v>40</v>
      </c>
      <c r="B41" s="5"/>
      <c r="C41" s="5" t="s">
        <v>78</v>
      </c>
      <c r="D41" s="5">
        <v>2</v>
      </c>
      <c r="E41" s="5">
        <v>18</v>
      </c>
      <c r="F41" s="8" t="s">
        <v>591</v>
      </c>
      <c r="G41" s="6" t="s">
        <v>90</v>
      </c>
      <c r="H41" s="5" t="s">
        <v>11</v>
      </c>
      <c r="I41" s="5" t="str" cm="1">
        <f t="array" ref="I41">_xlfn.IFS(
  H41="Mahuva", "Mahuva",
  H41="Jesar", "Mahuva",
  H41="Palitana", "Palitana",
  H41="Gariyadhar", "Palitana",
  H41="Talaja", "Talaja",
  H41="Vallabhipur", "Vallabhipur",
  H41="Umrala", "Vallabhipur",
  H41="Shihor", "Shihor",
  H41="Ghogha", "Bhavnagar",
  H41="Bhavnagar", "Bhavnagar"
)</f>
        <v>Vallabhipur</v>
      </c>
      <c r="J41" s="5" t="s">
        <v>21</v>
      </c>
      <c r="K41" s="5"/>
      <c r="L41" s="5">
        <v>180679</v>
      </c>
      <c r="M41" s="5"/>
      <c r="N41" s="7">
        <v>45778</v>
      </c>
      <c r="O41" s="7">
        <v>45789</v>
      </c>
      <c r="P41" s="7">
        <v>45790</v>
      </c>
      <c r="Q41" s="7">
        <f t="shared" si="0"/>
        <v>45909</v>
      </c>
      <c r="R41" s="9">
        <v>24576686.510000002</v>
      </c>
      <c r="S41" s="33"/>
      <c r="T41" s="9">
        <v>18427599.550000001</v>
      </c>
      <c r="U41" s="10">
        <v>-25.02</v>
      </c>
      <c r="V41" s="10" t="str">
        <f t="shared" si="1"/>
        <v>Below</v>
      </c>
      <c r="W41" s="11" t="str" cm="1">
        <f t="array" ref="W41">NumberToWords(T41)</f>
        <v>One Crore Eighty Four Lakh Twenty Seven Thousand Five Hundred Ninety Nine Rupees and Fifty Five Paise Only</v>
      </c>
      <c r="X41" s="10" t="str">
        <f t="shared" si="2"/>
        <v>Circle</v>
      </c>
      <c r="Z41" s="9">
        <f t="shared" si="3"/>
        <v>18427599.550000001</v>
      </c>
      <c r="AA41" s="5" t="s">
        <v>219</v>
      </c>
      <c r="AB41" s="8" t="str">
        <f>_xlfn.XLOOKUP(AA41, 'Agency List'!A$2:A$145, 'Agency List'!B$2:B$145, "Not Found")</f>
        <v>RANJITBHAI BAHADURBHAI VALA</v>
      </c>
      <c r="AC41" s="8" t="str">
        <f>_xlfn.XLOOKUP(AA41, 'Agency List'!A$2:A$145, 'Agency List'!C$2:C$145, "Not Found")</f>
        <v>101, SHREEEJI ANAND CORNER, NEAR HDFC BANK, TOWER ROAD, PARA, Dist. BOTAD -364710</v>
      </c>
      <c r="AD41" s="8">
        <f>_xlfn.XLOOKUP(AA41, 'Agency List'!A$2:A$145, 'Agency List'!D$2:D$145, "Not Found")</f>
        <v>9925448406</v>
      </c>
      <c r="AE41" s="7">
        <v>45804</v>
      </c>
      <c r="AF41" s="5" t="s">
        <v>943</v>
      </c>
      <c r="AG41" s="5" t="str">
        <f t="shared" si="4"/>
        <v>NA</v>
      </c>
      <c r="AH41" s="5"/>
      <c r="AI41" s="32" t="s">
        <v>231</v>
      </c>
      <c r="AJ41" s="8" t="s">
        <v>303</v>
      </c>
      <c r="AK41" s="7">
        <v>45813</v>
      </c>
      <c r="AL41" s="16">
        <v>8</v>
      </c>
      <c r="AM41" s="12">
        <f t="shared" si="5"/>
        <v>922000</v>
      </c>
      <c r="AN41" s="7">
        <f t="shared" si="6"/>
        <v>47384</v>
      </c>
      <c r="AO41" s="12">
        <f t="shared" si="7"/>
        <v>99500</v>
      </c>
      <c r="AP41" s="12">
        <f t="shared" si="8"/>
        <v>1108000</v>
      </c>
      <c r="AQ41" s="15">
        <f t="shared" si="9"/>
        <v>46249</v>
      </c>
      <c r="AR41" s="7">
        <f t="shared" si="10"/>
        <v>47324</v>
      </c>
      <c r="AS41" s="5">
        <v>878</v>
      </c>
      <c r="AT41" s="7">
        <v>45829</v>
      </c>
      <c r="AU41" s="5" t="s">
        <v>78</v>
      </c>
      <c r="AV41" s="17">
        <v>211</v>
      </c>
      <c r="AW41" s="37">
        <v>45974</v>
      </c>
      <c r="AX41" s="5" t="s">
        <v>355</v>
      </c>
      <c r="AY41" s="5" t="s">
        <v>458</v>
      </c>
      <c r="AZ41" s="45" t="s">
        <v>843</v>
      </c>
      <c r="BA41" s="12">
        <v>922000</v>
      </c>
      <c r="BB41" s="7">
        <v>45960</v>
      </c>
      <c r="BC41" s="5" t="s">
        <v>355</v>
      </c>
      <c r="BD41" s="5" t="s">
        <v>458</v>
      </c>
      <c r="BE41" s="45" t="s">
        <v>844</v>
      </c>
      <c r="BF41" s="12">
        <v>1108000</v>
      </c>
      <c r="BG41" s="7">
        <v>45960</v>
      </c>
      <c r="BH41" s="37">
        <v>45974</v>
      </c>
      <c r="BI41" s="5">
        <v>1539</v>
      </c>
      <c r="BJ41" s="37">
        <v>45974</v>
      </c>
      <c r="BM41" s="18"/>
      <c r="BN41" s="18"/>
      <c r="BO41" s="18"/>
      <c r="BP41" s="18"/>
      <c r="BQ41" s="5"/>
      <c r="BR41" s="18"/>
      <c r="BS41" s="18"/>
      <c r="BT41" s="35">
        <f t="shared" si="11"/>
        <v>46215</v>
      </c>
    </row>
    <row r="42" spans="1:72" ht="85.75" customHeight="1" x14ac:dyDescent="0.35">
      <c r="A42" s="5">
        <v>41</v>
      </c>
      <c r="B42" s="5"/>
      <c r="C42" s="5" t="s">
        <v>78</v>
      </c>
      <c r="D42" s="5">
        <v>2</v>
      </c>
      <c r="E42" s="5">
        <v>19</v>
      </c>
      <c r="F42" s="8" t="s">
        <v>592</v>
      </c>
      <c r="G42" s="8" t="s">
        <v>102</v>
      </c>
      <c r="H42" s="5" t="s">
        <v>3</v>
      </c>
      <c r="I42" s="5" t="str" cm="1">
        <f t="array" ref="I42">_xlfn.IFS(
  H42="Mahuva", "Mahuva",
  H42="Jesar", "Mahuva",
  H42="Palitana", "Palitana",
  H42="Gariyadhar", "Palitana",
  H42="Talaja", "Talaja",
  H42="Vallabhipur", "Vallabhipur",
  H42="Umrala", "Vallabhipur",
  H42="Shihor", "Shihor",
  H42="Ghogha", "Bhavnagar",
  H42="Bhavnagar", "Bhavnagar"
)</f>
        <v>Palitana</v>
      </c>
      <c r="J42" s="5" t="s">
        <v>21</v>
      </c>
      <c r="K42" s="5"/>
      <c r="L42" s="5">
        <v>180696</v>
      </c>
      <c r="M42" s="5"/>
      <c r="N42" s="7">
        <v>45778</v>
      </c>
      <c r="O42" s="7">
        <v>45789</v>
      </c>
      <c r="P42" s="7">
        <v>45790</v>
      </c>
      <c r="Q42" s="7">
        <f t="shared" si="0"/>
        <v>45909</v>
      </c>
      <c r="R42" s="9">
        <v>9144415.4199999999</v>
      </c>
      <c r="S42" s="33"/>
      <c r="T42" s="9">
        <v>6126758.3300000001</v>
      </c>
      <c r="U42" s="10">
        <v>-33</v>
      </c>
      <c r="V42" s="10" t="str">
        <f t="shared" si="1"/>
        <v>Below</v>
      </c>
      <c r="W42" s="11" t="str" cm="1">
        <f t="array" ref="W42">NumberToWords(T42)</f>
        <v>Sixty One Lakh Twenty Six Thousand Seven Hundred Fifty Eight Rupees and Thirty Three Paise Only</v>
      </c>
      <c r="X42" s="10" t="str">
        <f t="shared" si="2"/>
        <v>Circle</v>
      </c>
      <c r="Z42" s="9">
        <f t="shared" si="3"/>
        <v>6126758.3300000001</v>
      </c>
      <c r="AA42" s="5" t="s">
        <v>15</v>
      </c>
      <c r="AB42" s="8" t="str">
        <f>_xlfn.XLOOKUP(AA42, 'Agency List'!A$2:A$145, 'Agency List'!B$2:B$145, "Not Found")</f>
        <v>CHATURBHAI MOHANBHAI VAGHELA</v>
      </c>
      <c r="AC42" s="8" t="str">
        <f>_xlfn.XLOOKUP(AA42, 'Agency List'!A$2:A$145, 'Agency List'!C$2:C$145, "Not Found")</f>
        <v>MOTI PANIYALI, Via. Po. SHETRUNJI, Ta. PALITANA, Dist. BHAVNAGAR-364270</v>
      </c>
      <c r="AD42" s="8">
        <f>_xlfn.XLOOKUP(AA42, 'Agency List'!A$2:A$145, 'Agency List'!D$2:D$145, "Not Found")</f>
        <v>9925448120</v>
      </c>
      <c r="AE42" s="7">
        <v>45804</v>
      </c>
      <c r="AF42" s="5" t="s">
        <v>943</v>
      </c>
      <c r="AG42" s="5" t="str">
        <f t="shared" si="4"/>
        <v>NA</v>
      </c>
      <c r="AH42" s="5"/>
      <c r="AI42" s="8" t="s">
        <v>69</v>
      </c>
      <c r="AJ42" s="20" t="s">
        <v>253</v>
      </c>
      <c r="AK42" s="7">
        <v>45810</v>
      </c>
      <c r="AL42" s="16">
        <v>4</v>
      </c>
      <c r="AM42" s="12">
        <f t="shared" si="5"/>
        <v>307000</v>
      </c>
      <c r="AN42" s="7">
        <f t="shared" si="6"/>
        <v>46515</v>
      </c>
      <c r="AO42" s="12">
        <f t="shared" si="7"/>
        <v>46000</v>
      </c>
      <c r="AP42" s="12">
        <f t="shared" si="8"/>
        <v>631000</v>
      </c>
      <c r="AQ42" s="15">
        <f t="shared" si="9"/>
        <v>46100</v>
      </c>
      <c r="AR42" s="7">
        <f t="shared" si="10"/>
        <v>46455</v>
      </c>
      <c r="AS42" s="5">
        <v>880</v>
      </c>
      <c r="AT42" s="7">
        <v>45829</v>
      </c>
      <c r="AU42" s="5"/>
      <c r="AV42" s="17"/>
      <c r="AW42" s="17"/>
      <c r="AX42" s="5"/>
      <c r="AY42" s="5"/>
      <c r="AZ42" s="13"/>
      <c r="BA42" s="12"/>
      <c r="BB42" s="7"/>
      <c r="BC42" s="14"/>
      <c r="BD42" s="14"/>
      <c r="BF42" s="12"/>
      <c r="BG42" s="14"/>
      <c r="BH42" s="19">
        <v>45945</v>
      </c>
      <c r="BI42" s="5"/>
      <c r="BK42" s="5">
        <v>1771</v>
      </c>
      <c r="BL42" s="7">
        <v>46011</v>
      </c>
      <c r="BM42" s="18"/>
      <c r="BN42" s="18"/>
      <c r="BO42" s="18"/>
      <c r="BP42" s="18"/>
      <c r="BQ42" s="5"/>
      <c r="BR42" s="18"/>
      <c r="BS42" s="18"/>
      <c r="BT42" s="35">
        <f t="shared" si="11"/>
        <v>46067</v>
      </c>
    </row>
    <row r="43" spans="1:72" ht="43.5" x14ac:dyDescent="0.35">
      <c r="A43" s="5">
        <v>42</v>
      </c>
      <c r="B43" s="5"/>
      <c r="C43" s="5" t="s">
        <v>78</v>
      </c>
      <c r="D43" s="5">
        <v>2</v>
      </c>
      <c r="E43" s="5">
        <v>20</v>
      </c>
      <c r="F43" s="8" t="s">
        <v>593</v>
      </c>
      <c r="G43" s="8"/>
      <c r="H43" s="5" t="s">
        <v>257</v>
      </c>
      <c r="I43" s="5" t="str" cm="1">
        <f t="array" ref="I43">_xlfn.IFS(
  H43="Mahuva", "Mahuva",
  H43="Jesar", "Mahuva",
  H43="Palitana", "Palitana",
  H43="Gariyadhar", "Palitana",
  H43="Talaja", "Talaja",
  H43="Vallabhipur", "Vallabhipur",
  H43="Umrala", "Vallabhipur",
  H43="Shihor", "Shihor",
  H43="Ghogha", "Bhavnagar",
  H43="Bhavnagar", "Bhavnagar"
)</f>
        <v>Palitana</v>
      </c>
      <c r="J43" s="5" t="s">
        <v>21</v>
      </c>
      <c r="K43" s="5"/>
      <c r="M43" s="5"/>
      <c r="N43" s="7">
        <v>45778</v>
      </c>
      <c r="O43" s="7">
        <v>45789</v>
      </c>
      <c r="P43" s="7">
        <v>45790</v>
      </c>
      <c r="Q43" s="7">
        <f t="shared" si="0"/>
        <v>45909</v>
      </c>
      <c r="S43" s="33" t="s">
        <v>233</v>
      </c>
      <c r="U43" s="10"/>
      <c r="V43" s="10" t="str">
        <f t="shared" si="1"/>
        <v>Equals</v>
      </c>
      <c r="W43" s="11" t="str" cm="1">
        <f t="array" ref="W43">NumberToWords(T43)</f>
        <v>Zero Rupees Only</v>
      </c>
      <c r="X43" s="10" t="str">
        <f t="shared" si="2"/>
        <v>Division</v>
      </c>
      <c r="Z43" s="9">
        <f t="shared" si="3"/>
        <v>0</v>
      </c>
      <c r="AB43" s="8">
        <f>_xlfn.XLOOKUP(AA43, 'Agency List'!A$2:A$145, 'Agency List'!B$2:B$145, "Not Found")</f>
        <v>0</v>
      </c>
      <c r="AC43" s="8">
        <f>_xlfn.XLOOKUP(AA43, 'Agency List'!A$2:A$145, 'Agency List'!C$2:C$145, "Not Found")</f>
        <v>0</v>
      </c>
      <c r="AD43" s="8">
        <f>_xlfn.XLOOKUP(AA43, 'Agency List'!A$2:A$145, 'Agency List'!D$2:D$145, "Not Found")</f>
        <v>0</v>
      </c>
      <c r="AE43" s="7"/>
      <c r="AF43" s="5"/>
      <c r="AG43" s="5" t="str">
        <f t="shared" si="4"/>
        <v>Bandhkam</v>
      </c>
      <c r="AH43" s="5"/>
      <c r="AI43" s="8"/>
      <c r="AJ43" s="8"/>
      <c r="AL43" s="16"/>
      <c r="AM43" s="12">
        <f t="shared" si="5"/>
        <v>0</v>
      </c>
      <c r="AN43" s="7">
        <f t="shared" si="6"/>
        <v>450</v>
      </c>
      <c r="AO43" s="12">
        <f t="shared" si="7"/>
        <v>0</v>
      </c>
      <c r="AP43" s="12">
        <f t="shared" si="8"/>
        <v>0</v>
      </c>
      <c r="AQ43" s="15">
        <f t="shared" si="9"/>
        <v>35</v>
      </c>
      <c r="AR43" s="7">
        <f t="shared" si="10"/>
        <v>390</v>
      </c>
      <c r="AS43" s="5"/>
      <c r="AU43" s="5"/>
      <c r="AV43" s="17"/>
      <c r="AW43" s="17"/>
      <c r="AX43" s="5"/>
      <c r="AY43" s="5"/>
      <c r="AZ43" s="13"/>
      <c r="BA43" s="12"/>
      <c r="BB43" s="7"/>
      <c r="BC43" s="14"/>
      <c r="BD43" s="14"/>
      <c r="BF43" s="12"/>
      <c r="BG43" s="14"/>
      <c r="BH43" s="19"/>
      <c r="BI43" s="5"/>
      <c r="BM43" s="18"/>
      <c r="BN43" s="18"/>
      <c r="BO43" s="18"/>
      <c r="BP43" s="18"/>
      <c r="BQ43" s="5"/>
      <c r="BR43" s="18"/>
      <c r="BS43" s="18"/>
      <c r="BT43" s="35">
        <f t="shared" si="11"/>
        <v>-1</v>
      </c>
    </row>
    <row r="44" spans="1:72" ht="58" x14ac:dyDescent="0.35">
      <c r="A44" s="5">
        <v>43</v>
      </c>
      <c r="B44" s="5"/>
      <c r="C44" s="5" t="s">
        <v>78</v>
      </c>
      <c r="D44" s="5">
        <v>3</v>
      </c>
      <c r="E44" s="5">
        <v>1</v>
      </c>
      <c r="F44" s="8" t="s">
        <v>594</v>
      </c>
      <c r="G44" s="8"/>
      <c r="H44" s="5" t="s">
        <v>257</v>
      </c>
      <c r="I44" s="5" t="str" cm="1">
        <f t="array" ref="I44">_xlfn.IFS(
  H44="Mahuva", "Mahuva",
  H44="Jesar", "Mahuva",
  H44="Palitana", "Palitana",
  H44="Gariyadhar", "Palitana",
  H44="Talaja", "Talaja",
  H44="Vallabhipur", "Vallabhipur",
  H44="Umrala", "Vallabhipur",
  H44="Shihor", "Shihor",
  H44="Ghogha", "Bhavnagar",
  H44="Bhavnagar", "Bhavnagar"
)</f>
        <v>Palitana</v>
      </c>
      <c r="J44" s="5" t="s">
        <v>256</v>
      </c>
      <c r="K44" s="5" t="s">
        <v>925</v>
      </c>
      <c r="L44" s="5">
        <v>183939</v>
      </c>
      <c r="M44" s="5">
        <v>8</v>
      </c>
      <c r="Q44" s="7">
        <f t="shared" si="0"/>
        <v>120</v>
      </c>
      <c r="S44" s="33" t="s">
        <v>233</v>
      </c>
      <c r="U44" s="10"/>
      <c r="V44" s="10" t="str">
        <f t="shared" si="1"/>
        <v>Equals</v>
      </c>
      <c r="W44" s="11" t="str" cm="1">
        <f t="array" ref="W44">NumberToWords(T44)</f>
        <v>Zero Rupees Only</v>
      </c>
      <c r="X44" s="10" t="str">
        <f t="shared" si="2"/>
        <v>Division</v>
      </c>
      <c r="Z44" s="9">
        <f t="shared" si="3"/>
        <v>0</v>
      </c>
      <c r="AB44" s="8">
        <f>_xlfn.XLOOKUP(AA44, 'Agency List'!A$2:A$145, 'Agency List'!B$2:B$145, "Not Found")</f>
        <v>0</v>
      </c>
      <c r="AC44" s="8">
        <f>_xlfn.XLOOKUP(AA44, 'Agency List'!A$2:A$145, 'Agency List'!C$2:C$145, "Not Found")</f>
        <v>0</v>
      </c>
      <c r="AD44" s="8">
        <f>_xlfn.XLOOKUP(AA44, 'Agency List'!A$2:A$145, 'Agency List'!D$2:D$145, "Not Found")</f>
        <v>0</v>
      </c>
      <c r="AE44" s="7"/>
      <c r="AF44" s="5"/>
      <c r="AG44" s="5" t="str">
        <f t="shared" si="4"/>
        <v>Bandhkam</v>
      </c>
      <c r="AH44" s="5"/>
      <c r="AI44" s="8"/>
      <c r="AJ44" s="8"/>
      <c r="AL44" s="16"/>
      <c r="AM44" s="12">
        <f t="shared" si="5"/>
        <v>0</v>
      </c>
      <c r="AN44" s="7">
        <f t="shared" si="6"/>
        <v>450</v>
      </c>
      <c r="AO44" s="12">
        <f t="shared" si="7"/>
        <v>0</v>
      </c>
      <c r="AP44" s="12">
        <f t="shared" si="8"/>
        <v>0</v>
      </c>
      <c r="AQ44" s="15">
        <f t="shared" si="9"/>
        <v>35</v>
      </c>
      <c r="AR44" s="7">
        <f t="shared" si="10"/>
        <v>390</v>
      </c>
      <c r="AS44" s="5"/>
      <c r="AU44" s="5"/>
      <c r="AV44" s="17"/>
      <c r="AW44" s="17"/>
      <c r="AX44" s="5"/>
      <c r="AY44" s="5"/>
      <c r="AZ44" s="13"/>
      <c r="BA44" s="12"/>
      <c r="BB44" s="7"/>
      <c r="BC44" s="14"/>
      <c r="BD44" s="14"/>
      <c r="BF44" s="12"/>
      <c r="BG44" s="14"/>
      <c r="BH44" s="19"/>
      <c r="BI44" s="5"/>
      <c r="BM44" s="18"/>
      <c r="BN44" s="18"/>
      <c r="BO44" s="18"/>
      <c r="BP44" s="18"/>
      <c r="BQ44" s="5"/>
      <c r="BR44" s="18"/>
      <c r="BS44" s="18"/>
      <c r="BT44" s="35">
        <f t="shared" ref="BT44:BT75" si="12">BH44+AL44*30</f>
        <v>0</v>
      </c>
    </row>
    <row r="45" spans="1:72" ht="43.5" x14ac:dyDescent="0.35">
      <c r="A45" s="5">
        <v>44</v>
      </c>
      <c r="B45" s="5"/>
      <c r="C45" s="5" t="s">
        <v>78</v>
      </c>
      <c r="D45" s="5">
        <v>3</v>
      </c>
      <c r="E45" s="5">
        <v>2</v>
      </c>
      <c r="F45" s="8" t="s">
        <v>258</v>
      </c>
      <c r="G45" s="8"/>
      <c r="H45" s="5" t="s">
        <v>257</v>
      </c>
      <c r="I45" s="5" t="str" cm="1">
        <f t="array" ref="I45">_xlfn.IFS(
  H45="Mahuva", "Mahuva",
  H45="Jesar", "Mahuva",
  H45="Palitana", "Palitana",
  H45="Gariyadhar", "Palitana",
  H45="Talaja", "Talaja",
  H45="Vallabhipur", "Vallabhipur",
  H45="Umrala", "Vallabhipur",
  H45="Shihor", "Shihor",
  H45="Ghogha", "Bhavnagar",
  H45="Bhavnagar", "Bhavnagar"
)</f>
        <v>Palitana</v>
      </c>
      <c r="J45" s="5" t="s">
        <v>256</v>
      </c>
      <c r="K45" s="5" t="s">
        <v>925</v>
      </c>
      <c r="L45" s="5">
        <v>183940</v>
      </c>
      <c r="M45" s="5">
        <v>8</v>
      </c>
      <c r="Q45" s="7">
        <f t="shared" si="0"/>
        <v>120</v>
      </c>
      <c r="S45" s="33" t="s">
        <v>233</v>
      </c>
      <c r="U45" s="10"/>
      <c r="V45" s="10" t="str">
        <f t="shared" si="1"/>
        <v>Equals</v>
      </c>
      <c r="W45" s="11" t="str" cm="1">
        <f t="array" ref="W45">NumberToWords(T45)</f>
        <v>Zero Rupees Only</v>
      </c>
      <c r="X45" s="10" t="str">
        <f t="shared" si="2"/>
        <v>Division</v>
      </c>
      <c r="Z45" s="9">
        <f t="shared" si="3"/>
        <v>0</v>
      </c>
      <c r="AB45" s="8">
        <f>_xlfn.XLOOKUP(AA45, 'Agency List'!A$2:A$145, 'Agency List'!B$2:B$145, "Not Found")</f>
        <v>0</v>
      </c>
      <c r="AC45" s="8">
        <f>_xlfn.XLOOKUP(AA45, 'Agency List'!A$2:A$145, 'Agency List'!C$2:C$145, "Not Found")</f>
        <v>0</v>
      </c>
      <c r="AD45" s="8">
        <f>_xlfn.XLOOKUP(AA45, 'Agency List'!A$2:A$145, 'Agency List'!D$2:D$145, "Not Found")</f>
        <v>0</v>
      </c>
      <c r="AE45" s="7"/>
      <c r="AF45" s="5"/>
      <c r="AG45" s="5" t="str">
        <f t="shared" si="4"/>
        <v>Bandhkam</v>
      </c>
      <c r="AH45" s="5"/>
      <c r="AI45" s="8"/>
      <c r="AJ45" s="8"/>
      <c r="AL45" s="16"/>
      <c r="AM45" s="12">
        <f t="shared" si="5"/>
        <v>0</v>
      </c>
      <c r="AN45" s="7">
        <f t="shared" si="6"/>
        <v>450</v>
      </c>
      <c r="AO45" s="12">
        <f t="shared" si="7"/>
        <v>0</v>
      </c>
      <c r="AP45" s="12">
        <f t="shared" si="8"/>
        <v>0</v>
      </c>
      <c r="AQ45" s="15">
        <f t="shared" si="9"/>
        <v>35</v>
      </c>
      <c r="AR45" s="7">
        <f t="shared" si="10"/>
        <v>390</v>
      </c>
      <c r="AS45" s="5"/>
      <c r="AU45" s="5"/>
      <c r="AV45" s="17"/>
      <c r="AW45" s="17"/>
      <c r="AX45" s="5"/>
      <c r="AY45" s="5"/>
      <c r="AZ45" s="13"/>
      <c r="BA45" s="12"/>
      <c r="BB45" s="7"/>
      <c r="BC45" s="14"/>
      <c r="BD45" s="14"/>
      <c r="BF45" s="12"/>
      <c r="BG45" s="14"/>
      <c r="BH45" s="19"/>
      <c r="BI45" s="5"/>
      <c r="BM45" s="18"/>
      <c r="BN45" s="18"/>
      <c r="BO45" s="18"/>
      <c r="BP45" s="18"/>
      <c r="BQ45" s="5"/>
      <c r="BR45" s="18"/>
      <c r="BS45" s="18"/>
      <c r="BT45" s="35">
        <f t="shared" si="12"/>
        <v>0</v>
      </c>
    </row>
    <row r="46" spans="1:72" ht="58" x14ac:dyDescent="0.35">
      <c r="A46" s="5">
        <v>45</v>
      </c>
      <c r="B46" s="5"/>
      <c r="C46" s="5" t="s">
        <v>78</v>
      </c>
      <c r="D46" s="5">
        <v>3</v>
      </c>
      <c r="E46" s="5">
        <v>3</v>
      </c>
      <c r="F46" s="8" t="s">
        <v>259</v>
      </c>
      <c r="G46" s="8"/>
      <c r="H46" s="5" t="s">
        <v>1</v>
      </c>
      <c r="I46" s="5" t="str" cm="1">
        <f t="array" ref="I46">_xlfn.IFS(
  H46="Mahuva", "Mahuva",
  H46="Jesar", "Mahuva",
  H46="Palitana", "Palitana",
  H46="Gariyadhar", "Palitana",
  H46="Talaja", "Talaja",
  H46="Vallabhipur", "Vallabhipur",
  H46="Umrala", "Vallabhipur",
  H46="Shihor", "Shihor",
  H46="Ghogha", "Bhavnagar",
  H46="Bhavnagar", "Bhavnagar"
)</f>
        <v>Bhavnagar</v>
      </c>
      <c r="J46" s="5" t="s">
        <v>256</v>
      </c>
      <c r="K46" s="5" t="s">
        <v>926</v>
      </c>
      <c r="L46" s="5">
        <v>183941</v>
      </c>
      <c r="M46" s="5">
        <v>6</v>
      </c>
      <c r="O46" s="7">
        <v>45796</v>
      </c>
      <c r="Q46" s="7">
        <f t="shared" si="0"/>
        <v>45916</v>
      </c>
      <c r="S46" s="33" t="s">
        <v>233</v>
      </c>
      <c r="U46" s="10"/>
      <c r="V46" s="10" t="str">
        <f t="shared" si="1"/>
        <v>Equals</v>
      </c>
      <c r="W46" s="11" t="str" cm="1">
        <f t="array" ref="W46">NumberToWords(T46)</f>
        <v>Zero Rupees Only</v>
      </c>
      <c r="X46" s="10" t="str">
        <f t="shared" si="2"/>
        <v>Division</v>
      </c>
      <c r="Z46" s="9">
        <f t="shared" si="3"/>
        <v>0</v>
      </c>
      <c r="AB46" s="8">
        <f>_xlfn.XLOOKUP(AA46, 'Agency List'!A$2:A$145, 'Agency List'!B$2:B$145, "Not Found")</f>
        <v>0</v>
      </c>
      <c r="AC46" s="8">
        <f>_xlfn.XLOOKUP(AA46, 'Agency List'!A$2:A$145, 'Agency List'!C$2:C$145, "Not Found")</f>
        <v>0</v>
      </c>
      <c r="AD46" s="8">
        <f>_xlfn.XLOOKUP(AA46, 'Agency List'!A$2:A$145, 'Agency List'!D$2:D$145, "Not Found")</f>
        <v>0</v>
      </c>
      <c r="AE46" s="7"/>
      <c r="AF46" s="5"/>
      <c r="AG46" s="5" t="str">
        <f t="shared" si="4"/>
        <v>Bandhkam</v>
      </c>
      <c r="AH46" s="5"/>
      <c r="AI46" s="8"/>
      <c r="AJ46" s="8"/>
      <c r="AL46" s="16"/>
      <c r="AM46" s="12">
        <f t="shared" si="5"/>
        <v>0</v>
      </c>
      <c r="AN46" s="7">
        <f t="shared" si="6"/>
        <v>450</v>
      </c>
      <c r="AO46" s="12">
        <f t="shared" si="7"/>
        <v>0</v>
      </c>
      <c r="AP46" s="12">
        <f t="shared" si="8"/>
        <v>0</v>
      </c>
      <c r="AQ46" s="15">
        <f t="shared" si="9"/>
        <v>35</v>
      </c>
      <c r="AR46" s="7">
        <f t="shared" si="10"/>
        <v>390</v>
      </c>
      <c r="AS46" s="5"/>
      <c r="AU46" s="5"/>
      <c r="AV46" s="17"/>
      <c r="AW46" s="17"/>
      <c r="AX46" s="5"/>
      <c r="AY46" s="5"/>
      <c r="AZ46" s="13"/>
      <c r="BA46" s="12"/>
      <c r="BB46" s="7"/>
      <c r="BC46" s="14"/>
      <c r="BD46" s="14"/>
      <c r="BF46" s="12"/>
      <c r="BG46" s="14"/>
      <c r="BH46" s="19"/>
      <c r="BI46" s="5"/>
      <c r="BM46" s="18"/>
      <c r="BN46" s="18"/>
      <c r="BO46" s="18"/>
      <c r="BP46" s="18"/>
      <c r="BQ46" s="5"/>
      <c r="BR46" s="18"/>
      <c r="BS46" s="18"/>
      <c r="BT46" s="35">
        <f t="shared" si="12"/>
        <v>0</v>
      </c>
    </row>
    <row r="47" spans="1:72" ht="43.5" x14ac:dyDescent="0.35">
      <c r="A47" s="5">
        <v>46</v>
      </c>
      <c r="B47" s="5"/>
      <c r="C47" s="5" t="s">
        <v>78</v>
      </c>
      <c r="D47" s="5">
        <v>3</v>
      </c>
      <c r="E47" s="5">
        <v>4</v>
      </c>
      <c r="F47" s="8" t="s">
        <v>260</v>
      </c>
      <c r="G47" s="8"/>
      <c r="H47" s="5" t="s">
        <v>1</v>
      </c>
      <c r="I47" s="5" t="str" cm="1">
        <f t="array" ref="I47">_xlfn.IFS(
  H47="Mahuva", "Mahuva",
  H47="Jesar", "Mahuva",
  H47="Palitana", "Palitana",
  H47="Gariyadhar", "Palitana",
  H47="Talaja", "Talaja",
  H47="Vallabhipur", "Vallabhipur",
  H47="Umrala", "Vallabhipur",
  H47="Shihor", "Shihor",
  H47="Ghogha", "Bhavnagar",
  H47="Bhavnagar", "Bhavnagar"
)</f>
        <v>Bhavnagar</v>
      </c>
      <c r="J47" s="5" t="s">
        <v>256</v>
      </c>
      <c r="K47" s="5" t="s">
        <v>624</v>
      </c>
      <c r="L47" s="5">
        <v>183942</v>
      </c>
      <c r="M47" s="5">
        <v>2</v>
      </c>
      <c r="Q47" s="7">
        <f t="shared" si="0"/>
        <v>120</v>
      </c>
      <c r="S47" s="33" t="s">
        <v>233</v>
      </c>
      <c r="U47" s="10"/>
      <c r="V47" s="10" t="str">
        <f t="shared" si="1"/>
        <v>Equals</v>
      </c>
      <c r="W47" s="11" t="str" cm="1">
        <f t="array" ref="W47">NumberToWords(T47)</f>
        <v>Zero Rupees Only</v>
      </c>
      <c r="X47" s="10" t="str">
        <f t="shared" si="2"/>
        <v>Division</v>
      </c>
      <c r="Z47" s="9">
        <f t="shared" si="3"/>
        <v>0</v>
      </c>
      <c r="AB47" s="8">
        <f>_xlfn.XLOOKUP(AA47, 'Agency List'!A$2:A$145, 'Agency List'!B$2:B$145, "Not Found")</f>
        <v>0</v>
      </c>
      <c r="AC47" s="8">
        <f>_xlfn.XLOOKUP(AA47, 'Agency List'!A$2:A$145, 'Agency List'!C$2:C$145, "Not Found")</f>
        <v>0</v>
      </c>
      <c r="AD47" s="8">
        <f>_xlfn.XLOOKUP(AA47, 'Agency List'!A$2:A$145, 'Agency List'!D$2:D$145, "Not Found")</f>
        <v>0</v>
      </c>
      <c r="AE47" s="7"/>
      <c r="AF47" s="5"/>
      <c r="AG47" s="5" t="str">
        <f t="shared" si="4"/>
        <v>Bandhkam</v>
      </c>
      <c r="AH47" s="5"/>
      <c r="AI47" s="8"/>
      <c r="AJ47" s="8"/>
      <c r="AL47" s="16"/>
      <c r="AM47" s="12">
        <f t="shared" si="5"/>
        <v>0</v>
      </c>
      <c r="AN47" s="7">
        <f t="shared" si="6"/>
        <v>450</v>
      </c>
      <c r="AO47" s="12">
        <f t="shared" si="7"/>
        <v>0</v>
      </c>
      <c r="AP47" s="12">
        <f t="shared" si="8"/>
        <v>0</v>
      </c>
      <c r="AQ47" s="15">
        <f t="shared" si="9"/>
        <v>35</v>
      </c>
      <c r="AR47" s="7">
        <f t="shared" si="10"/>
        <v>390</v>
      </c>
      <c r="AS47" s="5"/>
      <c r="AU47" s="5"/>
      <c r="AV47" s="17"/>
      <c r="AW47" s="17"/>
      <c r="AX47" s="5"/>
      <c r="AY47" s="5"/>
      <c r="AZ47" s="13"/>
      <c r="BA47" s="12"/>
      <c r="BB47" s="7"/>
      <c r="BC47" s="14"/>
      <c r="BD47" s="14"/>
      <c r="BF47" s="12"/>
      <c r="BG47" s="14"/>
      <c r="BH47" s="19"/>
      <c r="BI47" s="5"/>
      <c r="BM47" s="18"/>
      <c r="BN47" s="18"/>
      <c r="BO47" s="18"/>
      <c r="BP47" s="18"/>
      <c r="BQ47" s="5"/>
      <c r="BR47" s="18"/>
      <c r="BS47" s="18"/>
      <c r="BT47" s="35">
        <f t="shared" si="12"/>
        <v>0</v>
      </c>
    </row>
    <row r="48" spans="1:72" ht="29" x14ac:dyDescent="0.35">
      <c r="A48" s="5">
        <v>47</v>
      </c>
      <c r="B48" s="5"/>
      <c r="C48" s="5" t="s">
        <v>78</v>
      </c>
      <c r="D48" s="5">
        <v>3</v>
      </c>
      <c r="E48" s="5">
        <v>5</v>
      </c>
      <c r="F48" s="8" t="s">
        <v>261</v>
      </c>
      <c r="G48" s="8"/>
      <c r="H48" s="5" t="s">
        <v>12</v>
      </c>
      <c r="I48" s="5" t="str" cm="1">
        <f t="array" ref="I48">_xlfn.IFS(
  H48="Mahuva", "Mahuva",
  H48="Jesar", "Mahuva",
  H48="Palitana", "Palitana",
  H48="Gariyadhar", "Palitana",
  H48="Talaja", "Talaja",
  H48="Vallabhipur", "Vallabhipur",
  H48="Umrala", "Vallabhipur",
  H48="Shihor", "Shihor",
  H48="Ghogha", "Bhavnagar",
  H48="Bhavnagar", "Bhavnagar"
)</f>
        <v>Mahuva</v>
      </c>
      <c r="J48" s="5" t="s">
        <v>256</v>
      </c>
      <c r="K48" s="5" t="s">
        <v>624</v>
      </c>
      <c r="L48" s="5">
        <v>183943</v>
      </c>
      <c r="M48" s="5">
        <v>2</v>
      </c>
      <c r="N48" s="7">
        <v>45788</v>
      </c>
      <c r="O48" s="7">
        <v>45796</v>
      </c>
      <c r="Q48" s="7">
        <f t="shared" si="0"/>
        <v>45916</v>
      </c>
      <c r="R48" s="9">
        <v>1024912.96</v>
      </c>
      <c r="S48" s="33"/>
      <c r="T48" s="9">
        <v>1006772</v>
      </c>
      <c r="U48" s="10">
        <v>-1.77</v>
      </c>
      <c r="V48" s="10" t="str">
        <f t="shared" si="1"/>
        <v>Below</v>
      </c>
      <c r="W48" s="11" t="str" cm="1">
        <f t="array" ref="W48">NumberToWords(T48)</f>
        <v>Ten Lakh Six Thousand Seven Hundred Seventy Two Rupees Only</v>
      </c>
      <c r="X48" s="10" t="str">
        <f t="shared" si="2"/>
        <v>Division</v>
      </c>
      <c r="Z48" s="9">
        <f t="shared" si="3"/>
        <v>1006772</v>
      </c>
      <c r="AA48" s="5" t="s">
        <v>262</v>
      </c>
      <c r="AB48" s="8" t="str">
        <f>_xlfn.XLOOKUP(AA48, 'Agency List'!A$2:A$145, 'Agency List'!B$2:B$145, "Not Found")</f>
        <v>Hareshbhai Punabhai Hadiya</v>
      </c>
      <c r="AC48" s="8" t="str">
        <f>_xlfn.XLOOKUP(AA48, 'Agency List'!A$2:A$145, 'Agency List'!C$2:C$145, "Not Found")</f>
        <v>At. Kundaliyala, Tal. Rajula, Dist. Amreli</v>
      </c>
      <c r="AD48" s="8">
        <f>_xlfn.XLOOKUP(AA48, 'Agency List'!A$2:A$145, 'Agency List'!D$2:D$145, "Not Found")</f>
        <v>8320411442</v>
      </c>
      <c r="AE48" s="7"/>
      <c r="AF48" s="5"/>
      <c r="AG48" s="5" t="str">
        <f t="shared" si="4"/>
        <v>Bandhkam</v>
      </c>
      <c r="AH48" s="5"/>
      <c r="AI48" s="8"/>
      <c r="AJ48" s="8"/>
      <c r="AL48" s="16">
        <v>3</v>
      </c>
      <c r="AM48" s="12">
        <f t="shared" si="5"/>
        <v>51000</v>
      </c>
      <c r="AN48" s="7">
        <f t="shared" si="6"/>
        <v>46427</v>
      </c>
      <c r="AO48" s="12">
        <f t="shared" si="7"/>
        <v>2500</v>
      </c>
      <c r="AP48" s="12">
        <f t="shared" si="8"/>
        <v>0</v>
      </c>
      <c r="AQ48" s="15">
        <f t="shared" si="9"/>
        <v>46012</v>
      </c>
      <c r="AR48" s="7">
        <f t="shared" si="10"/>
        <v>46367</v>
      </c>
      <c r="AS48" s="5">
        <v>885</v>
      </c>
      <c r="AT48" s="7">
        <v>45831</v>
      </c>
      <c r="AU48" s="5" t="s">
        <v>78</v>
      </c>
      <c r="AV48" s="17">
        <v>83</v>
      </c>
      <c r="AW48" s="37">
        <v>45887</v>
      </c>
      <c r="AX48" s="5" t="s">
        <v>355</v>
      </c>
      <c r="AY48" s="5" t="s">
        <v>609</v>
      </c>
      <c r="AZ48" s="45" t="s">
        <v>610</v>
      </c>
      <c r="BA48" s="12">
        <v>51000</v>
      </c>
      <c r="BB48" s="7">
        <v>45881</v>
      </c>
      <c r="BC48" s="14"/>
      <c r="BD48" s="14"/>
      <c r="BF48" s="12"/>
      <c r="BG48" s="14"/>
      <c r="BH48" s="7">
        <v>45887</v>
      </c>
      <c r="BI48" s="5">
        <v>1062</v>
      </c>
      <c r="BJ48" s="19">
        <v>45887</v>
      </c>
      <c r="BM48" s="18"/>
      <c r="BN48" s="18"/>
      <c r="BO48" s="18"/>
      <c r="BP48" s="18"/>
      <c r="BQ48" s="5"/>
      <c r="BR48" s="18"/>
      <c r="BS48" s="18"/>
      <c r="BT48" s="35">
        <f t="shared" si="12"/>
        <v>45977</v>
      </c>
    </row>
    <row r="49" spans="1:72" ht="43.5" x14ac:dyDescent="0.35">
      <c r="A49" s="5">
        <v>48</v>
      </c>
      <c r="B49" s="5"/>
      <c r="C49" s="5" t="s">
        <v>78</v>
      </c>
      <c r="D49" s="5">
        <v>3</v>
      </c>
      <c r="E49" s="5">
        <v>6</v>
      </c>
      <c r="F49" s="8" t="s">
        <v>267</v>
      </c>
      <c r="G49" s="8"/>
      <c r="H49" s="5" t="s">
        <v>12</v>
      </c>
      <c r="I49" s="5" t="str" cm="1">
        <f t="array" ref="I49">_xlfn.IFS(
  H49="Mahuva", "Mahuva",
  H49="Jesar", "Mahuva",
  H49="Palitana", "Palitana",
  H49="Gariyadhar", "Palitana",
  H49="Talaja", "Talaja",
  H49="Vallabhipur", "Vallabhipur",
  H49="Umrala", "Vallabhipur",
  H49="Shihor", "Shihor",
  H49="Ghogha", "Bhavnagar",
  H49="Bhavnagar", "Bhavnagar"
)</f>
        <v>Mahuva</v>
      </c>
      <c r="J49" s="5" t="s">
        <v>256</v>
      </c>
      <c r="K49" s="5" t="s">
        <v>624</v>
      </c>
      <c r="L49" s="5">
        <v>183944</v>
      </c>
      <c r="M49" s="5">
        <v>2</v>
      </c>
      <c r="Q49" s="7">
        <f t="shared" si="0"/>
        <v>120</v>
      </c>
      <c r="S49" s="33" t="s">
        <v>233</v>
      </c>
      <c r="U49" s="10"/>
      <c r="V49" s="10" t="str">
        <f t="shared" si="1"/>
        <v>Equals</v>
      </c>
      <c r="W49" s="11" t="str" cm="1">
        <f t="array" ref="W49">NumberToWords(T49)</f>
        <v>Zero Rupees Only</v>
      </c>
      <c r="X49" s="10" t="str">
        <f t="shared" si="2"/>
        <v>Division</v>
      </c>
      <c r="Z49" s="9">
        <f t="shared" si="3"/>
        <v>0</v>
      </c>
      <c r="AB49" s="8">
        <f>_xlfn.XLOOKUP(AA49, 'Agency List'!A$2:A$145, 'Agency List'!B$2:B$145, "Not Found")</f>
        <v>0</v>
      </c>
      <c r="AC49" s="8">
        <f>_xlfn.XLOOKUP(AA49, 'Agency List'!A$2:A$145, 'Agency List'!C$2:C$145, "Not Found")</f>
        <v>0</v>
      </c>
      <c r="AD49" s="8">
        <f>_xlfn.XLOOKUP(AA49, 'Agency List'!A$2:A$145, 'Agency List'!D$2:D$145, "Not Found")</f>
        <v>0</v>
      </c>
      <c r="AE49" s="7"/>
      <c r="AF49" s="5"/>
      <c r="AG49" s="5" t="str">
        <f t="shared" si="4"/>
        <v>Bandhkam</v>
      </c>
      <c r="AH49" s="5"/>
      <c r="AI49" s="8"/>
      <c r="AJ49" s="8"/>
      <c r="AL49" s="16"/>
      <c r="AM49" s="12">
        <f t="shared" si="5"/>
        <v>0</v>
      </c>
      <c r="AN49" s="7">
        <f t="shared" si="6"/>
        <v>450</v>
      </c>
      <c r="AO49" s="12">
        <f t="shared" si="7"/>
        <v>0</v>
      </c>
      <c r="AP49" s="12">
        <f t="shared" si="8"/>
        <v>0</v>
      </c>
      <c r="AQ49" s="15">
        <f t="shared" si="9"/>
        <v>35</v>
      </c>
      <c r="AR49" s="7">
        <f t="shared" si="10"/>
        <v>390</v>
      </c>
      <c r="AS49" s="5"/>
      <c r="AU49" s="5"/>
      <c r="AV49" s="17"/>
      <c r="AW49" s="17"/>
      <c r="AX49" s="5"/>
      <c r="AY49" s="5"/>
      <c r="AZ49" s="13"/>
      <c r="BA49" s="12"/>
      <c r="BB49" s="7"/>
      <c r="BC49" s="14"/>
      <c r="BD49" s="14"/>
      <c r="BF49" s="12"/>
      <c r="BG49" s="14"/>
      <c r="BH49" s="19"/>
      <c r="BI49" s="5"/>
      <c r="BM49" s="18"/>
      <c r="BN49" s="18"/>
      <c r="BO49" s="18"/>
      <c r="BP49" s="18"/>
      <c r="BQ49" s="5"/>
      <c r="BR49" s="18"/>
      <c r="BS49" s="18"/>
      <c r="BT49" s="35">
        <f t="shared" si="12"/>
        <v>0</v>
      </c>
    </row>
    <row r="50" spans="1:72" ht="43.5" x14ac:dyDescent="0.35">
      <c r="A50" s="5">
        <v>49</v>
      </c>
      <c r="B50" s="5"/>
      <c r="C50" s="5" t="s">
        <v>78</v>
      </c>
      <c r="D50" s="5">
        <v>3</v>
      </c>
      <c r="E50" s="5">
        <v>7</v>
      </c>
      <c r="F50" s="8" t="s">
        <v>268</v>
      </c>
      <c r="G50" s="8"/>
      <c r="H50" s="5" t="s">
        <v>12</v>
      </c>
      <c r="I50" s="5" t="str" cm="1">
        <f t="array" ref="I50">_xlfn.IFS(
  H50="Mahuva", "Mahuva",
  H50="Jesar", "Mahuva",
  H50="Palitana", "Palitana",
  H50="Gariyadhar", "Palitana",
  H50="Talaja", "Talaja",
  H50="Vallabhipur", "Vallabhipur",
  H50="Umrala", "Vallabhipur",
  H50="Shihor", "Shihor",
  H50="Ghogha", "Bhavnagar",
  H50="Bhavnagar", "Bhavnagar"
)</f>
        <v>Mahuva</v>
      </c>
      <c r="J50" s="5" t="s">
        <v>256</v>
      </c>
      <c r="K50" s="5" t="s">
        <v>624</v>
      </c>
      <c r="L50" s="5">
        <v>183945</v>
      </c>
      <c r="M50" s="5">
        <v>2</v>
      </c>
      <c r="Q50" s="7">
        <f t="shared" si="0"/>
        <v>120</v>
      </c>
      <c r="S50" s="33" t="s">
        <v>233</v>
      </c>
      <c r="U50" s="10"/>
      <c r="V50" s="10" t="str">
        <f t="shared" si="1"/>
        <v>Equals</v>
      </c>
      <c r="W50" s="11" t="str" cm="1">
        <f t="array" ref="W50">NumberToWords(T50)</f>
        <v>Zero Rupees Only</v>
      </c>
      <c r="X50" s="10" t="str">
        <f t="shared" si="2"/>
        <v>Division</v>
      </c>
      <c r="Z50" s="9">
        <f t="shared" si="3"/>
        <v>0</v>
      </c>
      <c r="AB50" s="8">
        <f>_xlfn.XLOOKUP(AA50, 'Agency List'!A$2:A$145, 'Agency List'!B$2:B$145, "Not Found")</f>
        <v>0</v>
      </c>
      <c r="AC50" s="8">
        <f>_xlfn.XLOOKUP(AA50, 'Agency List'!A$2:A$145, 'Agency List'!C$2:C$145, "Not Found")</f>
        <v>0</v>
      </c>
      <c r="AD50" s="8">
        <f>_xlfn.XLOOKUP(AA50, 'Agency List'!A$2:A$145, 'Agency List'!D$2:D$145, "Not Found")</f>
        <v>0</v>
      </c>
      <c r="AE50" s="7"/>
      <c r="AF50" s="5"/>
      <c r="AG50" s="5" t="str">
        <f t="shared" si="4"/>
        <v>Bandhkam</v>
      </c>
      <c r="AH50" s="5"/>
      <c r="AI50" s="8"/>
      <c r="AJ50" s="8"/>
      <c r="AL50" s="16"/>
      <c r="AM50" s="12">
        <f t="shared" si="5"/>
        <v>0</v>
      </c>
      <c r="AN50" s="7">
        <f t="shared" si="6"/>
        <v>450</v>
      </c>
      <c r="AO50" s="12">
        <f t="shared" si="7"/>
        <v>0</v>
      </c>
      <c r="AP50" s="12">
        <f t="shared" si="8"/>
        <v>0</v>
      </c>
      <c r="AQ50" s="15">
        <f t="shared" si="9"/>
        <v>35</v>
      </c>
      <c r="AR50" s="7">
        <f t="shared" si="10"/>
        <v>390</v>
      </c>
      <c r="AS50" s="5"/>
      <c r="AU50" s="5"/>
      <c r="AV50" s="17"/>
      <c r="AW50" s="17"/>
      <c r="AX50" s="5"/>
      <c r="AY50" s="5"/>
      <c r="AZ50" s="13"/>
      <c r="BA50" s="12"/>
      <c r="BB50" s="7"/>
      <c r="BC50" s="14"/>
      <c r="BD50" s="14"/>
      <c r="BF50" s="12"/>
      <c r="BG50" s="14"/>
      <c r="BH50" s="19"/>
      <c r="BI50" s="5"/>
      <c r="BM50" s="18"/>
      <c r="BN50" s="18"/>
      <c r="BO50" s="18"/>
      <c r="BP50" s="18"/>
      <c r="BQ50" s="5"/>
      <c r="BR50" s="18"/>
      <c r="BS50" s="18"/>
      <c r="BT50" s="35">
        <f t="shared" si="12"/>
        <v>0</v>
      </c>
    </row>
    <row r="51" spans="1:72" ht="29" x14ac:dyDescent="0.35">
      <c r="A51" s="5">
        <v>50</v>
      </c>
      <c r="B51" s="5"/>
      <c r="C51" s="5" t="s">
        <v>78</v>
      </c>
      <c r="D51" s="5">
        <v>3</v>
      </c>
      <c r="E51" s="5">
        <v>8</v>
      </c>
      <c r="F51" s="8" t="s">
        <v>269</v>
      </c>
      <c r="G51" s="8"/>
      <c r="H51" s="5" t="s">
        <v>12</v>
      </c>
      <c r="I51" s="5" t="str" cm="1">
        <f t="array" ref="I51">_xlfn.IFS(
  H51="Mahuva", "Mahuva",
  H51="Jesar", "Mahuva",
  H51="Palitana", "Palitana",
  H51="Gariyadhar", "Palitana",
  H51="Talaja", "Talaja",
  H51="Vallabhipur", "Vallabhipur",
  H51="Umrala", "Vallabhipur",
  H51="Shihor", "Shihor",
  H51="Ghogha", "Bhavnagar",
  H51="Bhavnagar", "Bhavnagar"
)</f>
        <v>Mahuva</v>
      </c>
      <c r="J51" s="5" t="s">
        <v>256</v>
      </c>
      <c r="K51" s="5" t="s">
        <v>624</v>
      </c>
      <c r="L51" s="5">
        <v>183946</v>
      </c>
      <c r="M51" s="5">
        <v>2</v>
      </c>
      <c r="Q51" s="7">
        <f t="shared" si="0"/>
        <v>120</v>
      </c>
      <c r="S51" s="33" t="s">
        <v>233</v>
      </c>
      <c r="U51" s="10"/>
      <c r="V51" s="10" t="str">
        <f t="shared" si="1"/>
        <v>Equals</v>
      </c>
      <c r="W51" s="11" t="str" cm="1">
        <f t="array" ref="W51">NumberToWords(T51)</f>
        <v>Zero Rupees Only</v>
      </c>
      <c r="X51" s="10" t="str">
        <f t="shared" si="2"/>
        <v>Division</v>
      </c>
      <c r="Z51" s="9">
        <f t="shared" si="3"/>
        <v>0</v>
      </c>
      <c r="AB51" s="8">
        <f>_xlfn.XLOOKUP(AA51, 'Agency List'!A$2:A$145, 'Agency List'!B$2:B$145, "Not Found")</f>
        <v>0</v>
      </c>
      <c r="AC51" s="8">
        <f>_xlfn.XLOOKUP(AA51, 'Agency List'!A$2:A$145, 'Agency List'!C$2:C$145, "Not Found")</f>
        <v>0</v>
      </c>
      <c r="AD51" s="8">
        <f>_xlfn.XLOOKUP(AA51, 'Agency List'!A$2:A$145, 'Agency List'!D$2:D$145, "Not Found")</f>
        <v>0</v>
      </c>
      <c r="AE51" s="7"/>
      <c r="AF51" s="5"/>
      <c r="AG51" s="5" t="str">
        <f t="shared" si="4"/>
        <v>Bandhkam</v>
      </c>
      <c r="AH51" s="5"/>
      <c r="AI51" s="8"/>
      <c r="AJ51" s="8"/>
      <c r="AL51" s="16"/>
      <c r="AM51" s="12">
        <f t="shared" si="5"/>
        <v>0</v>
      </c>
      <c r="AN51" s="7">
        <f t="shared" si="6"/>
        <v>450</v>
      </c>
      <c r="AO51" s="12">
        <f t="shared" si="7"/>
        <v>0</v>
      </c>
      <c r="AP51" s="12">
        <f t="shared" si="8"/>
        <v>0</v>
      </c>
      <c r="AQ51" s="15">
        <f t="shared" si="9"/>
        <v>35</v>
      </c>
      <c r="AR51" s="7">
        <f t="shared" si="10"/>
        <v>390</v>
      </c>
      <c r="AS51" s="5"/>
      <c r="AU51" s="5"/>
      <c r="AV51" s="17"/>
      <c r="AW51" s="17"/>
      <c r="AX51" s="5"/>
      <c r="AY51" s="5"/>
      <c r="AZ51" s="13"/>
      <c r="BA51" s="12"/>
      <c r="BB51" s="7"/>
      <c r="BC51" s="14"/>
      <c r="BD51" s="14"/>
      <c r="BF51" s="12"/>
      <c r="BG51" s="14"/>
      <c r="BH51" s="19"/>
      <c r="BI51" s="5"/>
      <c r="BM51" s="18"/>
      <c r="BN51" s="18"/>
      <c r="BO51" s="18"/>
      <c r="BP51" s="18"/>
      <c r="BQ51" s="5"/>
      <c r="BR51" s="18"/>
      <c r="BS51" s="18"/>
      <c r="BT51" s="35">
        <f t="shared" si="12"/>
        <v>0</v>
      </c>
    </row>
    <row r="52" spans="1:72" ht="43.5" x14ac:dyDescent="0.35">
      <c r="A52" s="5">
        <v>51</v>
      </c>
      <c r="B52" s="5"/>
      <c r="C52" s="5" t="s">
        <v>78</v>
      </c>
      <c r="D52" s="5">
        <v>3</v>
      </c>
      <c r="E52" s="5">
        <v>9</v>
      </c>
      <c r="F52" s="8" t="s">
        <v>270</v>
      </c>
      <c r="G52" s="8"/>
      <c r="H52" s="5" t="s">
        <v>12</v>
      </c>
      <c r="I52" s="5" t="str" cm="1">
        <f t="array" ref="I52">_xlfn.IFS(
  H52="Mahuva", "Mahuva",
  H52="Jesar", "Mahuva",
  H52="Palitana", "Palitana",
  H52="Gariyadhar", "Palitana",
  H52="Talaja", "Talaja",
  H52="Vallabhipur", "Vallabhipur",
  H52="Umrala", "Vallabhipur",
  H52="Shihor", "Shihor",
  H52="Ghogha", "Bhavnagar",
  H52="Bhavnagar", "Bhavnagar"
)</f>
        <v>Mahuva</v>
      </c>
      <c r="J52" s="5" t="s">
        <v>256</v>
      </c>
      <c r="K52" s="5" t="s">
        <v>624</v>
      </c>
      <c r="L52" s="5">
        <v>183947</v>
      </c>
      <c r="M52" s="5">
        <v>2</v>
      </c>
      <c r="Q52" s="7">
        <f t="shared" si="0"/>
        <v>120</v>
      </c>
      <c r="S52" s="33" t="s">
        <v>233</v>
      </c>
      <c r="U52" s="10"/>
      <c r="V52" s="10" t="str">
        <f t="shared" si="1"/>
        <v>Equals</v>
      </c>
      <c r="W52" s="11" t="str" cm="1">
        <f t="array" ref="W52">NumberToWords(T52)</f>
        <v>Zero Rupees Only</v>
      </c>
      <c r="X52" s="10" t="str">
        <f t="shared" si="2"/>
        <v>Division</v>
      </c>
      <c r="Z52" s="9">
        <f t="shared" si="3"/>
        <v>0</v>
      </c>
      <c r="AB52" s="8">
        <f>_xlfn.XLOOKUP(AA52, 'Agency List'!A$2:A$145, 'Agency List'!B$2:B$145, "Not Found")</f>
        <v>0</v>
      </c>
      <c r="AC52" s="8">
        <f>_xlfn.XLOOKUP(AA52, 'Agency List'!A$2:A$145, 'Agency List'!C$2:C$145, "Not Found")</f>
        <v>0</v>
      </c>
      <c r="AD52" s="8">
        <f>_xlfn.XLOOKUP(AA52, 'Agency List'!A$2:A$145, 'Agency List'!D$2:D$145, "Not Found")</f>
        <v>0</v>
      </c>
      <c r="AE52" s="7"/>
      <c r="AF52" s="5"/>
      <c r="AG52" s="5" t="str">
        <f t="shared" si="4"/>
        <v>Bandhkam</v>
      </c>
      <c r="AH52" s="5"/>
      <c r="AI52" s="8"/>
      <c r="AJ52" s="8"/>
      <c r="AL52" s="16"/>
      <c r="AM52" s="12">
        <f t="shared" si="5"/>
        <v>0</v>
      </c>
      <c r="AN52" s="7">
        <f t="shared" si="6"/>
        <v>450</v>
      </c>
      <c r="AO52" s="12">
        <f t="shared" si="7"/>
        <v>0</v>
      </c>
      <c r="AP52" s="12">
        <f t="shared" si="8"/>
        <v>0</v>
      </c>
      <c r="AQ52" s="15">
        <f t="shared" si="9"/>
        <v>35</v>
      </c>
      <c r="AR52" s="7">
        <f t="shared" si="10"/>
        <v>390</v>
      </c>
      <c r="AS52" s="5"/>
      <c r="AU52" s="5"/>
      <c r="AV52" s="17"/>
      <c r="AW52" s="17"/>
      <c r="AX52" s="5"/>
      <c r="AY52" s="5"/>
      <c r="AZ52" s="13"/>
      <c r="BA52" s="12"/>
      <c r="BB52" s="7"/>
      <c r="BC52" s="14"/>
      <c r="BD52" s="14"/>
      <c r="BF52" s="12"/>
      <c r="BG52" s="14"/>
      <c r="BH52" s="19"/>
      <c r="BI52" s="5"/>
      <c r="BM52" s="18"/>
      <c r="BN52" s="18"/>
      <c r="BO52" s="18"/>
      <c r="BP52" s="18"/>
      <c r="BQ52" s="5"/>
      <c r="BR52" s="18"/>
      <c r="BS52" s="18"/>
      <c r="BT52" s="35">
        <f t="shared" si="12"/>
        <v>0</v>
      </c>
    </row>
    <row r="53" spans="1:72" ht="43.5" x14ac:dyDescent="0.35">
      <c r="A53" s="5">
        <v>52</v>
      </c>
      <c r="B53" s="5"/>
      <c r="C53" s="5" t="s">
        <v>78</v>
      </c>
      <c r="D53" s="5">
        <v>3</v>
      </c>
      <c r="E53" s="5">
        <v>10</v>
      </c>
      <c r="F53" s="8" t="s">
        <v>263</v>
      </c>
      <c r="G53" s="8"/>
      <c r="H53" s="5" t="s">
        <v>12</v>
      </c>
      <c r="I53" s="5" t="str" cm="1">
        <f t="array" ref="I53">_xlfn.IFS(
  H53="Mahuva", "Mahuva",
  H53="Jesar", "Mahuva",
  H53="Palitana", "Palitana",
  H53="Gariyadhar", "Palitana",
  H53="Talaja", "Talaja",
  H53="Vallabhipur", "Vallabhipur",
  H53="Umrala", "Vallabhipur",
  H53="Shihor", "Shihor",
  H53="Ghogha", "Bhavnagar",
  H53="Bhavnagar", "Bhavnagar"
)</f>
        <v>Mahuva</v>
      </c>
      <c r="J53" s="5" t="s">
        <v>256</v>
      </c>
      <c r="K53" s="5" t="s">
        <v>624</v>
      </c>
      <c r="L53" s="5">
        <v>183948</v>
      </c>
      <c r="M53" s="5">
        <v>2</v>
      </c>
      <c r="N53" s="7">
        <v>45788</v>
      </c>
      <c r="O53" s="7">
        <v>45796</v>
      </c>
      <c r="Q53" s="7">
        <f t="shared" si="0"/>
        <v>45916</v>
      </c>
      <c r="R53" s="9">
        <v>1024912.96</v>
      </c>
      <c r="S53" s="33"/>
      <c r="T53" s="9">
        <v>1001749.93</v>
      </c>
      <c r="U53" s="10">
        <v>-2.2599999999999998</v>
      </c>
      <c r="V53" s="10" t="str">
        <f t="shared" si="1"/>
        <v>Below</v>
      </c>
      <c r="W53" s="11" t="str" cm="1">
        <f t="array" ref="W53">NumberToWords(T53)</f>
        <v>Ten Lakh One Thousand Seven Hundred Forty Nine Rupees and Ninety Three Paise Only</v>
      </c>
      <c r="X53" s="10" t="str">
        <f t="shared" si="2"/>
        <v>Division</v>
      </c>
      <c r="Z53" s="9">
        <f t="shared" si="3"/>
        <v>1001749.93</v>
      </c>
      <c r="AA53" s="5" t="s">
        <v>168</v>
      </c>
      <c r="AB53" s="8" t="str">
        <f>_xlfn.XLOOKUP(AA53, 'Agency List'!A$2:A$145, 'Agency List'!B$2:B$145, "Not Found")</f>
        <v>JAY DHIRUBHAI BHALIYA</v>
      </c>
      <c r="AC53" s="8" t="str">
        <f>_xlfn.XLOOKUP(AA53, 'Agency List'!A$2:A$145, 'Agency List'!C$2:C$145, "Not Found")</f>
        <v>Moti Jagdhar, Ta. Mahuva, Bhavnagar-364295</v>
      </c>
      <c r="AD53" s="8">
        <f>_xlfn.XLOOKUP(AA53, 'Agency List'!A$2:A$145, 'Agency List'!D$2:D$145, "Not Found")</f>
        <v>8140411024</v>
      </c>
      <c r="AE53" s="7"/>
      <c r="AF53" s="5"/>
      <c r="AG53" s="5" t="str">
        <f t="shared" si="4"/>
        <v>Bandhkam</v>
      </c>
      <c r="AH53" s="5"/>
      <c r="AI53" s="8"/>
      <c r="AJ53" s="8"/>
      <c r="AL53" s="16">
        <v>3</v>
      </c>
      <c r="AM53" s="12">
        <f t="shared" si="5"/>
        <v>51000</v>
      </c>
      <c r="AN53" s="7">
        <f t="shared" si="6"/>
        <v>46427</v>
      </c>
      <c r="AO53" s="12">
        <f t="shared" si="7"/>
        <v>2500</v>
      </c>
      <c r="AP53" s="12">
        <f t="shared" si="8"/>
        <v>0</v>
      </c>
      <c r="AQ53" s="15">
        <f t="shared" si="9"/>
        <v>46012</v>
      </c>
      <c r="AR53" s="7">
        <f t="shared" si="10"/>
        <v>46367</v>
      </c>
      <c r="AS53" s="5">
        <v>886</v>
      </c>
      <c r="AT53" s="7">
        <v>45831</v>
      </c>
      <c r="AU53" s="5" t="s">
        <v>78</v>
      </c>
      <c r="AV53" s="17">
        <v>92</v>
      </c>
      <c r="AW53" s="37">
        <v>45887</v>
      </c>
      <c r="AX53" s="5" t="s">
        <v>355</v>
      </c>
      <c r="AY53" s="5" t="s">
        <v>356</v>
      </c>
      <c r="AZ53" s="13">
        <v>78048721869</v>
      </c>
      <c r="BA53" s="12">
        <v>51000</v>
      </c>
      <c r="BB53" s="7">
        <v>45863</v>
      </c>
      <c r="BC53" s="14"/>
      <c r="BD53" s="14"/>
      <c r="BF53" s="12"/>
      <c r="BG53" s="14"/>
      <c r="BH53" s="19">
        <v>45887</v>
      </c>
      <c r="BI53" s="5">
        <v>1171</v>
      </c>
      <c r="BJ53" s="19">
        <v>45887</v>
      </c>
      <c r="BM53" s="18"/>
      <c r="BN53" s="18"/>
      <c r="BO53" s="18"/>
      <c r="BP53" s="18"/>
      <c r="BQ53" s="5"/>
      <c r="BR53" s="18"/>
      <c r="BS53" s="18"/>
      <c r="BT53" s="35">
        <f t="shared" si="12"/>
        <v>45977</v>
      </c>
    </row>
    <row r="54" spans="1:72" ht="43.5" x14ac:dyDescent="0.35">
      <c r="A54" s="5">
        <v>53</v>
      </c>
      <c r="B54" s="5"/>
      <c r="C54" s="5" t="s">
        <v>78</v>
      </c>
      <c r="D54" s="5">
        <v>3</v>
      </c>
      <c r="E54" s="5">
        <v>11</v>
      </c>
      <c r="F54" s="8" t="s">
        <v>271</v>
      </c>
      <c r="G54" s="8"/>
      <c r="H54" s="5" t="s">
        <v>12</v>
      </c>
      <c r="I54" s="5" t="str" cm="1">
        <f t="array" ref="I54">_xlfn.IFS(
  H54="Mahuva", "Mahuva",
  H54="Jesar", "Mahuva",
  H54="Palitana", "Palitana",
  H54="Gariyadhar", "Palitana",
  H54="Talaja", "Talaja",
  H54="Vallabhipur", "Vallabhipur",
  H54="Umrala", "Vallabhipur",
  H54="Shihor", "Shihor",
  H54="Ghogha", "Bhavnagar",
  H54="Bhavnagar", "Bhavnagar"
)</f>
        <v>Mahuva</v>
      </c>
      <c r="J54" s="5" t="s">
        <v>256</v>
      </c>
      <c r="K54" s="5" t="s">
        <v>624</v>
      </c>
      <c r="L54" s="5">
        <v>183949</v>
      </c>
      <c r="M54" s="5">
        <v>2</v>
      </c>
      <c r="Q54" s="7">
        <f t="shared" si="0"/>
        <v>120</v>
      </c>
      <c r="S54" s="33" t="s">
        <v>233</v>
      </c>
      <c r="U54" s="10"/>
      <c r="V54" s="10" t="str">
        <f t="shared" si="1"/>
        <v>Equals</v>
      </c>
      <c r="W54" s="11" t="str" cm="1">
        <f t="array" ref="W54">NumberToWords(T54)</f>
        <v>Zero Rupees Only</v>
      </c>
      <c r="X54" s="10" t="str">
        <f t="shared" si="2"/>
        <v>Division</v>
      </c>
      <c r="Z54" s="9">
        <f t="shared" si="3"/>
        <v>0</v>
      </c>
      <c r="AB54" s="8">
        <f>_xlfn.XLOOKUP(AA54, 'Agency List'!A$2:A$145, 'Agency List'!B$2:B$145, "Not Found")</f>
        <v>0</v>
      </c>
      <c r="AC54" s="8">
        <f>_xlfn.XLOOKUP(AA54, 'Agency List'!A$2:A$145, 'Agency List'!C$2:C$145, "Not Found")</f>
        <v>0</v>
      </c>
      <c r="AD54" s="8">
        <f>_xlfn.XLOOKUP(AA54, 'Agency List'!A$2:A$145, 'Agency List'!D$2:D$145, "Not Found")</f>
        <v>0</v>
      </c>
      <c r="AE54" s="7"/>
      <c r="AF54" s="5"/>
      <c r="AG54" s="5" t="str">
        <f t="shared" si="4"/>
        <v>Bandhkam</v>
      </c>
      <c r="AH54" s="5"/>
      <c r="AI54" s="8"/>
      <c r="AJ54" s="8"/>
      <c r="AL54" s="16"/>
      <c r="AM54" s="12">
        <f t="shared" si="5"/>
        <v>0</v>
      </c>
      <c r="AN54" s="7">
        <f t="shared" si="6"/>
        <v>450</v>
      </c>
      <c r="AO54" s="12">
        <f t="shared" si="7"/>
        <v>0</v>
      </c>
      <c r="AP54" s="12">
        <f t="shared" si="8"/>
        <v>0</v>
      </c>
      <c r="AQ54" s="15">
        <f t="shared" si="9"/>
        <v>35</v>
      </c>
      <c r="AR54" s="7">
        <f t="shared" si="10"/>
        <v>390</v>
      </c>
      <c r="AS54" s="5"/>
      <c r="AU54" s="5"/>
      <c r="AV54" s="17"/>
      <c r="AW54" s="17"/>
      <c r="AX54" s="5"/>
      <c r="AY54" s="5"/>
      <c r="AZ54" s="13"/>
      <c r="BA54" s="12"/>
      <c r="BB54" s="7"/>
      <c r="BC54" s="14"/>
      <c r="BD54" s="14"/>
      <c r="BF54" s="12"/>
      <c r="BG54" s="14"/>
      <c r="BH54" s="19"/>
      <c r="BI54" s="5"/>
      <c r="BM54" s="18"/>
      <c r="BN54" s="18"/>
      <c r="BO54" s="18"/>
      <c r="BP54" s="18"/>
      <c r="BQ54" s="5"/>
      <c r="BR54" s="18"/>
      <c r="BS54" s="18"/>
      <c r="BT54" s="35">
        <f t="shared" si="12"/>
        <v>0</v>
      </c>
    </row>
    <row r="55" spans="1:72" ht="43.5" x14ac:dyDescent="0.35">
      <c r="A55" s="5">
        <v>54</v>
      </c>
      <c r="B55" s="5"/>
      <c r="C55" s="5" t="s">
        <v>78</v>
      </c>
      <c r="D55" s="5">
        <v>3</v>
      </c>
      <c r="E55" s="5">
        <v>12</v>
      </c>
      <c r="F55" s="8" t="s">
        <v>272</v>
      </c>
      <c r="G55" s="8"/>
      <c r="H55" s="5" t="s">
        <v>12</v>
      </c>
      <c r="I55" s="5" t="str" cm="1">
        <f t="array" ref="I55">_xlfn.IFS(
  H55="Mahuva", "Mahuva",
  H55="Jesar", "Mahuva",
  H55="Palitana", "Palitana",
  H55="Gariyadhar", "Palitana",
  H55="Talaja", "Talaja",
  H55="Vallabhipur", "Vallabhipur",
  H55="Umrala", "Vallabhipur",
  H55="Shihor", "Shihor",
  H55="Ghogha", "Bhavnagar",
  H55="Bhavnagar", "Bhavnagar"
)</f>
        <v>Mahuva</v>
      </c>
      <c r="J55" s="5" t="s">
        <v>256</v>
      </c>
      <c r="K55" s="5" t="s">
        <v>624</v>
      </c>
      <c r="L55" s="5">
        <v>183950</v>
      </c>
      <c r="M55" s="5">
        <v>2</v>
      </c>
      <c r="Q55" s="7">
        <f t="shared" si="0"/>
        <v>120</v>
      </c>
      <c r="S55" s="33" t="s">
        <v>233</v>
      </c>
      <c r="U55" s="10"/>
      <c r="V55" s="10" t="str">
        <f t="shared" si="1"/>
        <v>Equals</v>
      </c>
      <c r="W55" s="11" t="str" cm="1">
        <f t="array" ref="W55">NumberToWords(T55)</f>
        <v>Zero Rupees Only</v>
      </c>
      <c r="X55" s="10" t="str">
        <f t="shared" si="2"/>
        <v>Division</v>
      </c>
      <c r="Z55" s="9">
        <f t="shared" si="3"/>
        <v>0</v>
      </c>
      <c r="AB55" s="8">
        <f>_xlfn.XLOOKUP(AA55, 'Agency List'!A$2:A$145, 'Agency List'!B$2:B$145, "Not Found")</f>
        <v>0</v>
      </c>
      <c r="AC55" s="8">
        <f>_xlfn.XLOOKUP(AA55, 'Agency List'!A$2:A$145, 'Agency List'!C$2:C$145, "Not Found")</f>
        <v>0</v>
      </c>
      <c r="AD55" s="8">
        <f>_xlfn.XLOOKUP(AA55, 'Agency List'!A$2:A$145, 'Agency List'!D$2:D$145, "Not Found")</f>
        <v>0</v>
      </c>
      <c r="AE55" s="7"/>
      <c r="AF55" s="5"/>
      <c r="AG55" s="5" t="str">
        <f t="shared" si="4"/>
        <v>Bandhkam</v>
      </c>
      <c r="AH55" s="5"/>
      <c r="AI55" s="8"/>
      <c r="AJ55" s="8"/>
      <c r="AL55" s="16"/>
      <c r="AM55" s="12">
        <f t="shared" si="5"/>
        <v>0</v>
      </c>
      <c r="AN55" s="7">
        <f t="shared" si="6"/>
        <v>450</v>
      </c>
      <c r="AO55" s="12">
        <f t="shared" si="7"/>
        <v>0</v>
      </c>
      <c r="AP55" s="12">
        <f t="shared" si="8"/>
        <v>0</v>
      </c>
      <c r="AQ55" s="15">
        <f t="shared" si="9"/>
        <v>35</v>
      </c>
      <c r="AR55" s="7">
        <f t="shared" si="10"/>
        <v>390</v>
      </c>
      <c r="AS55" s="5"/>
      <c r="AU55" s="5"/>
      <c r="AV55" s="17"/>
      <c r="AW55" s="17"/>
      <c r="AX55" s="5"/>
      <c r="AY55" s="5"/>
      <c r="AZ55" s="13"/>
      <c r="BA55" s="12"/>
      <c r="BB55" s="7"/>
      <c r="BC55" s="14"/>
      <c r="BD55" s="14"/>
      <c r="BF55" s="12"/>
      <c r="BG55" s="14"/>
      <c r="BH55" s="19"/>
      <c r="BI55" s="5"/>
      <c r="BM55" s="18"/>
      <c r="BN55" s="18"/>
      <c r="BO55" s="18"/>
      <c r="BP55" s="18"/>
      <c r="BQ55" s="5"/>
      <c r="BR55" s="18"/>
      <c r="BS55" s="18"/>
      <c r="BT55" s="35">
        <f t="shared" si="12"/>
        <v>0</v>
      </c>
    </row>
    <row r="56" spans="1:72" ht="43.5" x14ac:dyDescent="0.35">
      <c r="A56" s="5">
        <v>55</v>
      </c>
      <c r="B56" s="5"/>
      <c r="C56" s="5" t="s">
        <v>78</v>
      </c>
      <c r="D56" s="5">
        <v>3</v>
      </c>
      <c r="E56" s="5">
        <v>13</v>
      </c>
      <c r="F56" s="8" t="s">
        <v>273</v>
      </c>
      <c r="G56" s="8"/>
      <c r="H56" s="5" t="s">
        <v>12</v>
      </c>
      <c r="I56" s="5" t="str" cm="1">
        <f t="array" ref="I56">_xlfn.IFS(
  H56="Mahuva", "Mahuva",
  H56="Jesar", "Mahuva",
  H56="Palitana", "Palitana",
  H56="Gariyadhar", "Palitana",
  H56="Talaja", "Talaja",
  H56="Vallabhipur", "Vallabhipur",
  H56="Umrala", "Vallabhipur",
  H56="Shihor", "Shihor",
  H56="Ghogha", "Bhavnagar",
  H56="Bhavnagar", "Bhavnagar"
)</f>
        <v>Mahuva</v>
      </c>
      <c r="J56" s="5" t="s">
        <v>256</v>
      </c>
      <c r="K56" s="5" t="s">
        <v>624</v>
      </c>
      <c r="L56" s="5">
        <v>183953</v>
      </c>
      <c r="M56" s="5">
        <v>2</v>
      </c>
      <c r="Q56" s="7">
        <f t="shared" si="0"/>
        <v>120</v>
      </c>
      <c r="S56" s="33" t="s">
        <v>233</v>
      </c>
      <c r="U56" s="10"/>
      <c r="V56" s="10" t="str">
        <f t="shared" si="1"/>
        <v>Equals</v>
      </c>
      <c r="W56" s="11" t="str" cm="1">
        <f t="array" ref="W56">NumberToWords(T56)</f>
        <v>Zero Rupees Only</v>
      </c>
      <c r="X56" s="10" t="str">
        <f t="shared" si="2"/>
        <v>Division</v>
      </c>
      <c r="Z56" s="9">
        <f t="shared" si="3"/>
        <v>0</v>
      </c>
      <c r="AB56" s="8">
        <f>_xlfn.XLOOKUP(AA56, 'Agency List'!A$2:A$145, 'Agency List'!B$2:B$145, "Not Found")</f>
        <v>0</v>
      </c>
      <c r="AC56" s="8">
        <f>_xlfn.XLOOKUP(AA56, 'Agency List'!A$2:A$145, 'Agency List'!C$2:C$145, "Not Found")</f>
        <v>0</v>
      </c>
      <c r="AD56" s="8">
        <f>_xlfn.XLOOKUP(AA56, 'Agency List'!A$2:A$145, 'Agency List'!D$2:D$145, "Not Found")</f>
        <v>0</v>
      </c>
      <c r="AE56" s="7"/>
      <c r="AF56" s="5"/>
      <c r="AG56" s="5" t="str">
        <f t="shared" si="4"/>
        <v>Bandhkam</v>
      </c>
      <c r="AH56" s="5"/>
      <c r="AI56" s="8"/>
      <c r="AJ56" s="8"/>
      <c r="AL56" s="16"/>
      <c r="AM56" s="12">
        <f t="shared" si="5"/>
        <v>0</v>
      </c>
      <c r="AN56" s="7">
        <f t="shared" si="6"/>
        <v>450</v>
      </c>
      <c r="AO56" s="12">
        <f t="shared" si="7"/>
        <v>0</v>
      </c>
      <c r="AP56" s="12">
        <f t="shared" si="8"/>
        <v>0</v>
      </c>
      <c r="AQ56" s="15">
        <f t="shared" si="9"/>
        <v>35</v>
      </c>
      <c r="AR56" s="7">
        <f t="shared" si="10"/>
        <v>390</v>
      </c>
      <c r="AS56" s="5"/>
      <c r="AU56" s="5"/>
      <c r="AV56" s="17"/>
      <c r="AW56" s="17"/>
      <c r="AX56" s="5"/>
      <c r="AY56" s="5"/>
      <c r="AZ56" s="13"/>
      <c r="BA56" s="12"/>
      <c r="BB56" s="7"/>
      <c r="BC56" s="14"/>
      <c r="BD56" s="14"/>
      <c r="BF56" s="12"/>
      <c r="BG56" s="14"/>
      <c r="BH56" s="19"/>
      <c r="BI56" s="5"/>
      <c r="BM56" s="18"/>
      <c r="BN56" s="18"/>
      <c r="BO56" s="18"/>
      <c r="BP56" s="18"/>
      <c r="BQ56" s="5"/>
      <c r="BR56" s="18"/>
      <c r="BS56" s="18"/>
      <c r="BT56" s="35">
        <f t="shared" si="12"/>
        <v>0</v>
      </c>
    </row>
    <row r="57" spans="1:72" ht="43.5" x14ac:dyDescent="0.35">
      <c r="A57" s="5">
        <v>56</v>
      </c>
      <c r="B57" s="5"/>
      <c r="C57" s="5" t="s">
        <v>78</v>
      </c>
      <c r="D57" s="5">
        <v>3</v>
      </c>
      <c r="E57" s="5">
        <v>14</v>
      </c>
      <c r="F57" s="8" t="s">
        <v>274</v>
      </c>
      <c r="G57" s="8"/>
      <c r="H57" s="5" t="s">
        <v>12</v>
      </c>
      <c r="I57" s="5" t="str" cm="1">
        <f t="array" ref="I57">_xlfn.IFS(
  H57="Mahuva", "Mahuva",
  H57="Jesar", "Mahuva",
  H57="Palitana", "Palitana",
  H57="Gariyadhar", "Palitana",
  H57="Talaja", "Talaja",
  H57="Vallabhipur", "Vallabhipur",
  H57="Umrala", "Vallabhipur",
  H57="Shihor", "Shihor",
  H57="Ghogha", "Bhavnagar",
  H57="Bhavnagar", "Bhavnagar"
)</f>
        <v>Mahuva</v>
      </c>
      <c r="J57" s="5" t="s">
        <v>256</v>
      </c>
      <c r="K57" s="5" t="s">
        <v>624</v>
      </c>
      <c r="L57" s="5">
        <v>183954</v>
      </c>
      <c r="M57" s="5">
        <v>2</v>
      </c>
      <c r="Q57" s="7">
        <f t="shared" si="0"/>
        <v>120</v>
      </c>
      <c r="S57" s="33" t="s">
        <v>233</v>
      </c>
      <c r="U57" s="10"/>
      <c r="V57" s="10" t="str">
        <f t="shared" si="1"/>
        <v>Equals</v>
      </c>
      <c r="W57" s="11" t="str" cm="1">
        <f t="array" ref="W57">NumberToWords(T57)</f>
        <v>Zero Rupees Only</v>
      </c>
      <c r="X57" s="10" t="str">
        <f t="shared" si="2"/>
        <v>Division</v>
      </c>
      <c r="Z57" s="9">
        <f t="shared" si="3"/>
        <v>0</v>
      </c>
      <c r="AB57" s="8">
        <f>_xlfn.XLOOKUP(AA57, 'Agency List'!A$2:A$145, 'Agency List'!B$2:B$145, "Not Found")</f>
        <v>0</v>
      </c>
      <c r="AC57" s="8">
        <f>_xlfn.XLOOKUP(AA57, 'Agency List'!A$2:A$145, 'Agency List'!C$2:C$145, "Not Found")</f>
        <v>0</v>
      </c>
      <c r="AD57" s="8">
        <f>_xlfn.XLOOKUP(AA57, 'Agency List'!A$2:A$145, 'Agency List'!D$2:D$145, "Not Found")</f>
        <v>0</v>
      </c>
      <c r="AE57" s="7"/>
      <c r="AF57" s="5"/>
      <c r="AG57" s="5" t="str">
        <f t="shared" si="4"/>
        <v>Bandhkam</v>
      </c>
      <c r="AH57" s="5"/>
      <c r="AI57" s="8"/>
      <c r="AJ57" s="8"/>
      <c r="AL57" s="16"/>
      <c r="AM57" s="12">
        <f t="shared" si="5"/>
        <v>0</v>
      </c>
      <c r="AN57" s="7">
        <f t="shared" si="6"/>
        <v>450</v>
      </c>
      <c r="AO57" s="12">
        <f t="shared" si="7"/>
        <v>0</v>
      </c>
      <c r="AP57" s="12">
        <f t="shared" si="8"/>
        <v>0</v>
      </c>
      <c r="AQ57" s="15">
        <f t="shared" si="9"/>
        <v>35</v>
      </c>
      <c r="AR57" s="7">
        <f t="shared" si="10"/>
        <v>390</v>
      </c>
      <c r="AS57" s="5"/>
      <c r="AU57" s="5"/>
      <c r="AV57" s="17"/>
      <c r="AW57" s="17"/>
      <c r="AX57" s="5"/>
      <c r="AY57" s="5"/>
      <c r="AZ57" s="13"/>
      <c r="BA57" s="12"/>
      <c r="BB57" s="7"/>
      <c r="BC57" s="14"/>
      <c r="BD57" s="14"/>
      <c r="BF57" s="12"/>
      <c r="BG57" s="14"/>
      <c r="BH57" s="19"/>
      <c r="BI57" s="5"/>
      <c r="BM57" s="18"/>
      <c r="BN57" s="18"/>
      <c r="BO57" s="18"/>
      <c r="BP57" s="18"/>
      <c r="BQ57" s="5"/>
      <c r="BR57" s="18"/>
      <c r="BS57" s="18"/>
      <c r="BT57" s="35">
        <f t="shared" si="12"/>
        <v>0</v>
      </c>
    </row>
    <row r="58" spans="1:72" ht="43.5" x14ac:dyDescent="0.35">
      <c r="A58" s="5">
        <v>57</v>
      </c>
      <c r="B58" s="5"/>
      <c r="C58" s="5" t="s">
        <v>78</v>
      </c>
      <c r="D58" s="5">
        <v>3</v>
      </c>
      <c r="E58" s="5">
        <v>15</v>
      </c>
      <c r="F58" s="8" t="s">
        <v>264</v>
      </c>
      <c r="G58" s="8"/>
      <c r="H58" s="5" t="s">
        <v>12</v>
      </c>
      <c r="I58" s="5" t="str" cm="1">
        <f t="array" ref="I58">_xlfn.IFS(
  H58="Mahuva", "Mahuva",
  H58="Jesar", "Mahuva",
  H58="Palitana", "Palitana",
  H58="Gariyadhar", "Palitana",
  H58="Talaja", "Talaja",
  H58="Vallabhipur", "Vallabhipur",
  H58="Umrala", "Vallabhipur",
  H58="Shihor", "Shihor",
  H58="Ghogha", "Bhavnagar",
  H58="Bhavnagar", "Bhavnagar"
)</f>
        <v>Mahuva</v>
      </c>
      <c r="J58" s="5" t="s">
        <v>256</v>
      </c>
      <c r="K58" s="5" t="s">
        <v>624</v>
      </c>
      <c r="L58" s="5">
        <v>183955</v>
      </c>
      <c r="M58" s="5">
        <v>2</v>
      </c>
      <c r="N58" s="7">
        <v>45788</v>
      </c>
      <c r="O58" s="7">
        <v>45796</v>
      </c>
      <c r="Q58" s="7">
        <f t="shared" si="0"/>
        <v>45916</v>
      </c>
      <c r="R58" s="9">
        <v>1024912.96</v>
      </c>
      <c r="S58" s="33"/>
      <c r="T58" s="9">
        <v>1001749.93</v>
      </c>
      <c r="U58" s="10">
        <v>-2.2599999999999998</v>
      </c>
      <c r="V58" s="10" t="str">
        <f t="shared" si="1"/>
        <v>Below</v>
      </c>
      <c r="W58" s="11" t="str" cm="1">
        <f t="array" ref="W58">NumberToWords(T58)</f>
        <v>Ten Lakh One Thousand Seven Hundred Forty Nine Rupees and Ninety Three Paise Only</v>
      </c>
      <c r="X58" s="10" t="str">
        <f t="shared" si="2"/>
        <v>Division</v>
      </c>
      <c r="Z58" s="9">
        <f t="shared" si="3"/>
        <v>1001749.93</v>
      </c>
      <c r="AA58" s="5" t="s">
        <v>168</v>
      </c>
      <c r="AB58" s="8" t="str">
        <f>_xlfn.XLOOKUP(AA58, 'Agency List'!A$2:A$145, 'Agency List'!B$2:B$145, "Not Found")</f>
        <v>JAY DHIRUBHAI BHALIYA</v>
      </c>
      <c r="AC58" s="8" t="str">
        <f>_xlfn.XLOOKUP(AA58, 'Agency List'!A$2:A$145, 'Agency List'!C$2:C$145, "Not Found")</f>
        <v>Moti Jagdhar, Ta. Mahuva, Bhavnagar-364295</v>
      </c>
      <c r="AD58" s="8">
        <f>_xlfn.XLOOKUP(AA58, 'Agency List'!A$2:A$145, 'Agency List'!D$2:D$145, "Not Found")</f>
        <v>8140411024</v>
      </c>
      <c r="AE58" s="7"/>
      <c r="AF58" s="5"/>
      <c r="AG58" s="5" t="str">
        <f t="shared" si="4"/>
        <v>Bandhkam</v>
      </c>
      <c r="AH58" s="5"/>
      <c r="AI58" s="8"/>
      <c r="AJ58" s="8"/>
      <c r="AL58" s="16">
        <v>3</v>
      </c>
      <c r="AM58" s="12">
        <f t="shared" si="5"/>
        <v>51000</v>
      </c>
      <c r="AN58" s="7">
        <f t="shared" si="6"/>
        <v>46427</v>
      </c>
      <c r="AO58" s="12">
        <f t="shared" si="7"/>
        <v>2500</v>
      </c>
      <c r="AP58" s="12">
        <f t="shared" si="8"/>
        <v>0</v>
      </c>
      <c r="AQ58" s="15">
        <f t="shared" si="9"/>
        <v>46012</v>
      </c>
      <c r="AR58" s="7">
        <f t="shared" si="10"/>
        <v>46367</v>
      </c>
      <c r="AS58" s="5">
        <v>887</v>
      </c>
      <c r="AT58" s="7">
        <v>45831</v>
      </c>
      <c r="AU58" s="5" t="s">
        <v>78</v>
      </c>
      <c r="AV58" s="17">
        <v>91</v>
      </c>
      <c r="AW58" s="37">
        <v>45887</v>
      </c>
      <c r="AX58" s="5" t="s">
        <v>355</v>
      </c>
      <c r="AY58" s="5" t="s">
        <v>356</v>
      </c>
      <c r="AZ58" s="13">
        <v>78048721858</v>
      </c>
      <c r="BA58" s="12">
        <v>51000</v>
      </c>
      <c r="BB58" s="7">
        <v>45863</v>
      </c>
      <c r="BC58" s="14"/>
      <c r="BD58" s="14"/>
      <c r="BF58" s="12"/>
      <c r="BG58" s="14"/>
      <c r="BH58" s="19">
        <v>45887</v>
      </c>
      <c r="BI58" s="5">
        <v>1170</v>
      </c>
      <c r="BJ58" s="19">
        <v>45887</v>
      </c>
      <c r="BM58" s="18"/>
      <c r="BN58" s="18"/>
      <c r="BO58" s="18"/>
      <c r="BP58" s="18"/>
      <c r="BQ58" s="5"/>
      <c r="BR58" s="18"/>
      <c r="BS58" s="18"/>
      <c r="BT58" s="35">
        <f t="shared" si="12"/>
        <v>45977</v>
      </c>
    </row>
    <row r="59" spans="1:72" ht="29" x14ac:dyDescent="0.35">
      <c r="A59" s="5">
        <v>58</v>
      </c>
      <c r="B59" s="5"/>
      <c r="C59" s="5" t="s">
        <v>78</v>
      </c>
      <c r="D59" s="5">
        <v>3</v>
      </c>
      <c r="E59" s="5">
        <v>16</v>
      </c>
      <c r="F59" s="8" t="s">
        <v>275</v>
      </c>
      <c r="G59" s="8"/>
      <c r="H59" s="5" t="s">
        <v>12</v>
      </c>
      <c r="I59" s="5" t="str" cm="1">
        <f t="array" ref="I59">_xlfn.IFS(
  H59="Mahuva", "Mahuva",
  H59="Jesar", "Mahuva",
  H59="Palitana", "Palitana",
  H59="Gariyadhar", "Palitana",
  H59="Talaja", "Talaja",
  H59="Vallabhipur", "Vallabhipur",
  H59="Umrala", "Vallabhipur",
  H59="Shihor", "Shihor",
  H59="Ghogha", "Bhavnagar",
  H59="Bhavnagar", "Bhavnagar"
)</f>
        <v>Mahuva</v>
      </c>
      <c r="J59" s="5" t="s">
        <v>256</v>
      </c>
      <c r="K59" s="5" t="s">
        <v>624</v>
      </c>
      <c r="L59" s="5">
        <v>183956</v>
      </c>
      <c r="M59" s="5">
        <v>2</v>
      </c>
      <c r="Q59" s="7">
        <f t="shared" si="0"/>
        <v>120</v>
      </c>
      <c r="S59" s="33" t="s">
        <v>233</v>
      </c>
      <c r="U59" s="10"/>
      <c r="V59" s="10" t="str">
        <f t="shared" si="1"/>
        <v>Equals</v>
      </c>
      <c r="W59" s="11" t="str" cm="1">
        <f t="array" ref="W59">NumberToWords(T59)</f>
        <v>Zero Rupees Only</v>
      </c>
      <c r="X59" s="10" t="str">
        <f t="shared" si="2"/>
        <v>Division</v>
      </c>
      <c r="Z59" s="9">
        <f t="shared" si="3"/>
        <v>0</v>
      </c>
      <c r="AB59" s="8">
        <f>_xlfn.XLOOKUP(AA59, 'Agency List'!A$2:A$145, 'Agency List'!B$2:B$145, "Not Found")</f>
        <v>0</v>
      </c>
      <c r="AC59" s="8">
        <f>_xlfn.XLOOKUP(AA59, 'Agency List'!A$2:A$145, 'Agency List'!C$2:C$145, "Not Found")</f>
        <v>0</v>
      </c>
      <c r="AD59" s="8">
        <f>_xlfn.XLOOKUP(AA59, 'Agency List'!A$2:A$145, 'Agency List'!D$2:D$145, "Not Found")</f>
        <v>0</v>
      </c>
      <c r="AE59" s="7"/>
      <c r="AF59" s="5"/>
      <c r="AG59" s="5" t="str">
        <f t="shared" si="4"/>
        <v>Bandhkam</v>
      </c>
      <c r="AH59" s="5"/>
      <c r="AI59" s="8"/>
      <c r="AJ59" s="8"/>
      <c r="AL59" s="16"/>
      <c r="AM59" s="12">
        <f t="shared" si="5"/>
        <v>0</v>
      </c>
      <c r="AN59" s="7">
        <f t="shared" si="6"/>
        <v>450</v>
      </c>
      <c r="AO59" s="12">
        <f t="shared" si="7"/>
        <v>0</v>
      </c>
      <c r="AP59" s="12">
        <f t="shared" si="8"/>
        <v>0</v>
      </c>
      <c r="AQ59" s="15">
        <f t="shared" si="9"/>
        <v>35</v>
      </c>
      <c r="AR59" s="7">
        <f t="shared" si="10"/>
        <v>390</v>
      </c>
      <c r="AS59" s="5"/>
      <c r="AU59" s="5"/>
      <c r="AV59" s="17"/>
      <c r="AW59" s="17"/>
      <c r="AX59" s="5"/>
      <c r="AY59" s="5"/>
      <c r="AZ59" s="13"/>
      <c r="BA59" s="12"/>
      <c r="BB59" s="7"/>
      <c r="BC59" s="14"/>
      <c r="BD59" s="14"/>
      <c r="BF59" s="12"/>
      <c r="BG59" s="14"/>
      <c r="BH59" s="19"/>
      <c r="BI59" s="5"/>
      <c r="BM59" s="18"/>
      <c r="BN59" s="18"/>
      <c r="BO59" s="18"/>
      <c r="BP59" s="18"/>
      <c r="BQ59" s="5"/>
      <c r="BR59" s="18"/>
      <c r="BS59" s="18"/>
      <c r="BT59" s="35">
        <f t="shared" si="12"/>
        <v>0</v>
      </c>
    </row>
    <row r="60" spans="1:72" ht="29" x14ac:dyDescent="0.35">
      <c r="A60" s="5">
        <v>59</v>
      </c>
      <c r="B60" s="5"/>
      <c r="C60" s="5" t="s">
        <v>78</v>
      </c>
      <c r="D60" s="5">
        <v>3</v>
      </c>
      <c r="E60" s="5">
        <v>17</v>
      </c>
      <c r="F60" s="8" t="s">
        <v>265</v>
      </c>
      <c r="G60" s="8"/>
      <c r="H60" s="5" t="s">
        <v>12</v>
      </c>
      <c r="I60" s="5" t="str" cm="1">
        <f t="array" ref="I60">_xlfn.IFS(
  H60="Mahuva", "Mahuva",
  H60="Jesar", "Mahuva",
  H60="Palitana", "Palitana",
  H60="Gariyadhar", "Palitana",
  H60="Talaja", "Talaja",
  H60="Vallabhipur", "Vallabhipur",
  H60="Umrala", "Vallabhipur",
  H60="Shihor", "Shihor",
  H60="Ghogha", "Bhavnagar",
  H60="Bhavnagar", "Bhavnagar"
)</f>
        <v>Mahuva</v>
      </c>
      <c r="J60" s="5" t="s">
        <v>256</v>
      </c>
      <c r="K60" s="5" t="s">
        <v>624</v>
      </c>
      <c r="L60" s="5">
        <v>183957</v>
      </c>
      <c r="M60" s="5">
        <v>2</v>
      </c>
      <c r="N60" s="7">
        <v>45788</v>
      </c>
      <c r="O60" s="7">
        <v>45796</v>
      </c>
      <c r="Q60" s="7">
        <f t="shared" si="0"/>
        <v>45916</v>
      </c>
      <c r="R60" s="9">
        <v>1024912.96</v>
      </c>
      <c r="S60" s="33"/>
      <c r="T60" s="9">
        <v>1006772</v>
      </c>
      <c r="U60" s="10">
        <v>-1.77</v>
      </c>
      <c r="V60" s="10" t="str">
        <f t="shared" si="1"/>
        <v>Below</v>
      </c>
      <c r="W60" s="11" t="str" cm="1">
        <f t="array" ref="W60">NumberToWords(T60)</f>
        <v>Ten Lakh Six Thousand Seven Hundred Seventy Two Rupees Only</v>
      </c>
      <c r="X60" s="10" t="str">
        <f t="shared" si="2"/>
        <v>Division</v>
      </c>
      <c r="Z60" s="9">
        <f t="shared" si="3"/>
        <v>1006772</v>
      </c>
      <c r="AA60" s="5" t="s">
        <v>262</v>
      </c>
      <c r="AB60" s="8" t="str">
        <f>_xlfn.XLOOKUP(AA60, 'Agency List'!A$2:A$145, 'Agency List'!B$2:B$145, "Not Found")</f>
        <v>Hareshbhai Punabhai Hadiya</v>
      </c>
      <c r="AC60" s="8" t="str">
        <f>_xlfn.XLOOKUP(AA60, 'Agency List'!A$2:A$145, 'Agency List'!C$2:C$145, "Not Found")</f>
        <v>At. Kundaliyala, Tal. Rajula, Dist. Amreli</v>
      </c>
      <c r="AD60" s="8">
        <f>_xlfn.XLOOKUP(AA60, 'Agency List'!A$2:A$145, 'Agency List'!D$2:D$145, "Not Found")</f>
        <v>8320411442</v>
      </c>
      <c r="AE60" s="7"/>
      <c r="AF60" s="5"/>
      <c r="AG60" s="5" t="str">
        <f t="shared" si="4"/>
        <v>Bandhkam</v>
      </c>
      <c r="AH60" s="5"/>
      <c r="AI60" s="8"/>
      <c r="AJ60" s="8"/>
      <c r="AL60" s="16">
        <v>3</v>
      </c>
      <c r="AM60" s="12">
        <f t="shared" si="5"/>
        <v>51000</v>
      </c>
      <c r="AN60" s="7">
        <f t="shared" si="6"/>
        <v>46427</v>
      </c>
      <c r="AO60" s="12">
        <f t="shared" si="7"/>
        <v>2500</v>
      </c>
      <c r="AP60" s="12">
        <f t="shared" si="8"/>
        <v>0</v>
      </c>
      <c r="AQ60" s="15">
        <f t="shared" si="9"/>
        <v>46012</v>
      </c>
      <c r="AR60" s="7">
        <f t="shared" si="10"/>
        <v>46367</v>
      </c>
      <c r="AS60" s="5">
        <v>888</v>
      </c>
      <c r="AT60" s="7">
        <v>45831</v>
      </c>
      <c r="AU60" s="5" t="s">
        <v>78</v>
      </c>
      <c r="AV60" s="17">
        <v>84</v>
      </c>
      <c r="AW60" s="37">
        <v>45887</v>
      </c>
      <c r="AX60" s="5" t="s">
        <v>355</v>
      </c>
      <c r="AY60" s="5" t="s">
        <v>609</v>
      </c>
      <c r="AZ60" s="45" t="s">
        <v>611</v>
      </c>
      <c r="BA60" s="12">
        <v>51000</v>
      </c>
      <c r="BB60" s="7">
        <v>45881</v>
      </c>
      <c r="BC60" s="14"/>
      <c r="BD60" s="14"/>
      <c r="BF60" s="12"/>
      <c r="BG60" s="14"/>
      <c r="BH60" s="7">
        <v>45887</v>
      </c>
      <c r="BI60" s="5">
        <v>1063</v>
      </c>
      <c r="BJ60" s="19">
        <v>45887</v>
      </c>
      <c r="BM60" s="18"/>
      <c r="BN60" s="18"/>
      <c r="BO60" s="18"/>
      <c r="BP60" s="18"/>
      <c r="BQ60" s="5"/>
      <c r="BR60" s="18"/>
      <c r="BS60" s="18"/>
      <c r="BT60" s="35">
        <f t="shared" si="12"/>
        <v>45977</v>
      </c>
    </row>
    <row r="61" spans="1:72" ht="43.5" x14ac:dyDescent="0.35">
      <c r="A61" s="5">
        <v>60</v>
      </c>
      <c r="B61" s="5"/>
      <c r="C61" s="5" t="s">
        <v>78</v>
      </c>
      <c r="D61" s="5">
        <v>3</v>
      </c>
      <c r="E61" s="5">
        <v>18</v>
      </c>
      <c r="F61" s="8" t="s">
        <v>266</v>
      </c>
      <c r="G61" s="8"/>
      <c r="H61" s="5" t="s">
        <v>12</v>
      </c>
      <c r="I61" s="5" t="str" cm="1">
        <f t="array" ref="I61">_xlfn.IFS(
  H61="Mahuva", "Mahuva",
  H61="Jesar", "Mahuva",
  H61="Palitana", "Palitana",
  H61="Gariyadhar", "Palitana",
  H61="Talaja", "Talaja",
  H61="Vallabhipur", "Vallabhipur",
  H61="Umrala", "Vallabhipur",
  H61="Shihor", "Shihor",
  H61="Ghogha", "Bhavnagar",
  H61="Bhavnagar", "Bhavnagar"
)</f>
        <v>Mahuva</v>
      </c>
      <c r="J61" s="5" t="s">
        <v>256</v>
      </c>
      <c r="K61" s="5" t="s">
        <v>624</v>
      </c>
      <c r="L61" s="5">
        <v>183958</v>
      </c>
      <c r="M61" s="5">
        <v>2</v>
      </c>
      <c r="N61" s="7">
        <v>45788</v>
      </c>
      <c r="O61" s="7">
        <v>45796</v>
      </c>
      <c r="Q61" s="7">
        <f t="shared" si="0"/>
        <v>45916</v>
      </c>
      <c r="R61" s="9">
        <v>1024912.96</v>
      </c>
      <c r="S61" s="33"/>
      <c r="T61" s="9">
        <v>1001749.93</v>
      </c>
      <c r="U61" s="10">
        <v>-2.2599999999999998</v>
      </c>
      <c r="V61" s="10" t="str">
        <f t="shared" si="1"/>
        <v>Below</v>
      </c>
      <c r="W61" s="11" t="str" cm="1">
        <f t="array" ref="W61">NumberToWords(T61)</f>
        <v>Ten Lakh One Thousand Seven Hundred Forty Nine Rupees and Ninety Three Paise Only</v>
      </c>
      <c r="X61" s="10" t="str">
        <f t="shared" si="2"/>
        <v>Division</v>
      </c>
      <c r="Z61" s="9">
        <f t="shared" si="3"/>
        <v>1001749.93</v>
      </c>
      <c r="AA61" s="5" t="s">
        <v>168</v>
      </c>
      <c r="AB61" s="8" t="str">
        <f>_xlfn.XLOOKUP(AA61, 'Agency List'!A$2:A$145, 'Agency List'!B$2:B$145, "Not Found")</f>
        <v>JAY DHIRUBHAI BHALIYA</v>
      </c>
      <c r="AC61" s="8" t="str">
        <f>_xlfn.XLOOKUP(AA61, 'Agency List'!A$2:A$145, 'Agency List'!C$2:C$145, "Not Found")</f>
        <v>Moti Jagdhar, Ta. Mahuva, Bhavnagar-364295</v>
      </c>
      <c r="AD61" s="8">
        <f>_xlfn.XLOOKUP(AA61, 'Agency List'!A$2:A$145, 'Agency List'!D$2:D$145, "Not Found")</f>
        <v>8140411024</v>
      </c>
      <c r="AE61" s="7"/>
      <c r="AF61" s="5"/>
      <c r="AG61" s="5" t="str">
        <f t="shared" si="4"/>
        <v>Bandhkam</v>
      </c>
      <c r="AH61" s="5"/>
      <c r="AI61" s="8"/>
      <c r="AJ61" s="8"/>
      <c r="AL61" s="16">
        <v>3</v>
      </c>
      <c r="AM61" s="12">
        <f t="shared" si="5"/>
        <v>51000</v>
      </c>
      <c r="AN61" s="7">
        <f t="shared" si="6"/>
        <v>46427</v>
      </c>
      <c r="AO61" s="12">
        <f t="shared" si="7"/>
        <v>2500</v>
      </c>
      <c r="AP61" s="12">
        <f t="shared" si="8"/>
        <v>0</v>
      </c>
      <c r="AQ61" s="15">
        <f t="shared" si="9"/>
        <v>46012</v>
      </c>
      <c r="AR61" s="7">
        <f t="shared" si="10"/>
        <v>46367</v>
      </c>
      <c r="AS61" s="5">
        <v>889</v>
      </c>
      <c r="AT61" s="7">
        <v>45831</v>
      </c>
      <c r="AU61" s="5" t="s">
        <v>78</v>
      </c>
      <c r="AV61" s="17">
        <v>90</v>
      </c>
      <c r="AW61" s="37">
        <v>45887</v>
      </c>
      <c r="AX61" s="5" t="s">
        <v>355</v>
      </c>
      <c r="AY61" s="5" t="s">
        <v>356</v>
      </c>
      <c r="AZ61" s="13">
        <v>78048721870</v>
      </c>
      <c r="BA61" s="12">
        <v>51000</v>
      </c>
      <c r="BB61" s="7">
        <v>45863</v>
      </c>
      <c r="BC61" s="14"/>
      <c r="BD61" s="14"/>
      <c r="BF61" s="12"/>
      <c r="BG61" s="14"/>
      <c r="BH61" s="19">
        <v>45887</v>
      </c>
      <c r="BI61" s="5">
        <v>1169</v>
      </c>
      <c r="BJ61" s="19">
        <v>45887</v>
      </c>
      <c r="BM61" s="18"/>
      <c r="BN61" s="18"/>
      <c r="BO61" s="18"/>
      <c r="BP61" s="18"/>
      <c r="BQ61" s="5"/>
      <c r="BR61" s="18"/>
      <c r="BS61" s="18"/>
      <c r="BT61" s="35">
        <f t="shared" si="12"/>
        <v>45977</v>
      </c>
    </row>
    <row r="62" spans="1:72" ht="29" x14ac:dyDescent="0.35">
      <c r="A62" s="5">
        <v>61</v>
      </c>
      <c r="B62" s="5"/>
      <c r="C62" s="5" t="s">
        <v>78</v>
      </c>
      <c r="D62" s="5">
        <v>3</v>
      </c>
      <c r="E62" s="5">
        <v>19</v>
      </c>
      <c r="F62" s="8" t="s">
        <v>276</v>
      </c>
      <c r="G62" s="8"/>
      <c r="H62" s="5" t="s">
        <v>12</v>
      </c>
      <c r="I62" s="5" t="str" cm="1">
        <f t="array" ref="I62">_xlfn.IFS(
  H62="Mahuva", "Mahuva",
  H62="Jesar", "Mahuva",
  H62="Palitana", "Palitana",
  H62="Gariyadhar", "Palitana",
  H62="Talaja", "Talaja",
  H62="Vallabhipur", "Vallabhipur",
  H62="Umrala", "Vallabhipur",
  H62="Shihor", "Shihor",
  H62="Ghogha", "Bhavnagar",
  H62="Bhavnagar", "Bhavnagar"
)</f>
        <v>Mahuva</v>
      </c>
      <c r="J62" s="5" t="s">
        <v>256</v>
      </c>
      <c r="K62" s="5" t="s">
        <v>624</v>
      </c>
      <c r="L62" s="5">
        <v>183959</v>
      </c>
      <c r="M62" s="5">
        <v>2</v>
      </c>
      <c r="Q62" s="7">
        <f t="shared" si="0"/>
        <v>120</v>
      </c>
      <c r="S62" s="33" t="s">
        <v>233</v>
      </c>
      <c r="U62" s="10"/>
      <c r="V62" s="10" t="str">
        <f t="shared" si="1"/>
        <v>Equals</v>
      </c>
      <c r="W62" s="11" t="str" cm="1">
        <f t="array" ref="W62">NumberToWords(T62)</f>
        <v>Zero Rupees Only</v>
      </c>
      <c r="X62" s="10" t="str">
        <f t="shared" si="2"/>
        <v>Division</v>
      </c>
      <c r="Z62" s="9">
        <f t="shared" si="3"/>
        <v>0</v>
      </c>
      <c r="AB62" s="8">
        <f>_xlfn.XLOOKUP(AA62, 'Agency List'!A$2:A$145, 'Agency List'!B$2:B$145, "Not Found")</f>
        <v>0</v>
      </c>
      <c r="AC62" s="8">
        <f>_xlfn.XLOOKUP(AA62, 'Agency List'!A$2:A$145, 'Agency List'!C$2:C$145, "Not Found")</f>
        <v>0</v>
      </c>
      <c r="AD62" s="8">
        <f>_xlfn.XLOOKUP(AA62, 'Agency List'!A$2:A$145, 'Agency List'!D$2:D$145, "Not Found")</f>
        <v>0</v>
      </c>
      <c r="AE62" s="7"/>
      <c r="AF62" s="5"/>
      <c r="AG62" s="5" t="str">
        <f t="shared" si="4"/>
        <v>Bandhkam</v>
      </c>
      <c r="AH62" s="5"/>
      <c r="AI62" s="8"/>
      <c r="AJ62" s="8"/>
      <c r="AL62" s="16"/>
      <c r="AM62" s="12">
        <f t="shared" si="5"/>
        <v>0</v>
      </c>
      <c r="AN62" s="7">
        <f t="shared" si="6"/>
        <v>450</v>
      </c>
      <c r="AO62" s="12">
        <f t="shared" si="7"/>
        <v>0</v>
      </c>
      <c r="AP62" s="12">
        <f t="shared" si="8"/>
        <v>0</v>
      </c>
      <c r="AQ62" s="15">
        <f t="shared" si="9"/>
        <v>35</v>
      </c>
      <c r="AR62" s="7">
        <f t="shared" si="10"/>
        <v>390</v>
      </c>
      <c r="AS62" s="5"/>
      <c r="AU62" s="5"/>
      <c r="AV62" s="17"/>
      <c r="AW62" s="17"/>
      <c r="AX62" s="5"/>
      <c r="AY62" s="5"/>
      <c r="AZ62" s="13"/>
      <c r="BA62" s="12"/>
      <c r="BB62" s="7"/>
      <c r="BC62" s="14"/>
      <c r="BD62" s="14"/>
      <c r="BF62" s="12"/>
      <c r="BG62" s="14"/>
      <c r="BH62" s="19"/>
      <c r="BI62" s="5"/>
      <c r="BM62" s="18"/>
      <c r="BN62" s="18"/>
      <c r="BO62" s="18"/>
      <c r="BP62" s="18"/>
      <c r="BQ62" s="5"/>
      <c r="BR62" s="18"/>
      <c r="BS62" s="18"/>
      <c r="BT62" s="35">
        <f t="shared" si="12"/>
        <v>0</v>
      </c>
    </row>
    <row r="63" spans="1:72" x14ac:dyDescent="0.35">
      <c r="A63" s="5">
        <v>62</v>
      </c>
      <c r="B63" s="5"/>
      <c r="C63" s="5" t="s">
        <v>78</v>
      </c>
      <c r="D63" s="5">
        <v>4</v>
      </c>
      <c r="E63" s="5">
        <v>1</v>
      </c>
      <c r="F63" s="8"/>
      <c r="G63" s="8"/>
      <c r="H63" s="5"/>
      <c r="I63" s="5" t="e" cm="1">
        <f t="array" ref="I63">_xlfn.IFS(
  H63="Mahuva", "Mahuva",
  H63="Jesar", "Mahuva",
  H63="Palitana", "Palitana",
  H63="Gariyadhar", "Palitana",
  H63="Talaja", "Talaja",
  H63="Vallabhipur", "Vallabhipur",
  H63="Umrala", "Vallabhipur",
  H63="Shihor", "Shihor",
  H63="Ghogha", "Bhavnagar",
  H63="Bhavnagar", "Bhavnagar"
)</f>
        <v>#N/A</v>
      </c>
      <c r="J63" s="5" t="s">
        <v>256</v>
      </c>
      <c r="K63" s="5"/>
      <c r="M63" s="5"/>
      <c r="Q63" s="7">
        <f t="shared" si="0"/>
        <v>120</v>
      </c>
      <c r="S63" s="33" t="s">
        <v>233</v>
      </c>
      <c r="U63" s="10"/>
      <c r="V63" s="10" t="str">
        <f t="shared" si="1"/>
        <v>Equals</v>
      </c>
      <c r="W63" s="11" t="str" cm="1">
        <f t="array" ref="W63">NumberToWords(T63)</f>
        <v>Zero Rupees Only</v>
      </c>
      <c r="X63" s="10" t="str">
        <f t="shared" si="2"/>
        <v>Division</v>
      </c>
      <c r="Z63" s="9">
        <f t="shared" si="3"/>
        <v>0</v>
      </c>
      <c r="AB63" s="8">
        <f>_xlfn.XLOOKUP(AA63, 'Agency List'!A$2:A$145, 'Agency List'!B$2:B$145, "Not Found")</f>
        <v>0</v>
      </c>
      <c r="AC63" s="8">
        <f>_xlfn.XLOOKUP(AA63, 'Agency List'!A$2:A$145, 'Agency List'!C$2:C$145, "Not Found")</f>
        <v>0</v>
      </c>
      <c r="AD63" s="8">
        <f>_xlfn.XLOOKUP(AA63, 'Agency List'!A$2:A$145, 'Agency List'!D$2:D$145, "Not Found")</f>
        <v>0</v>
      </c>
      <c r="AE63" s="7"/>
      <c r="AF63" s="5"/>
      <c r="AG63" s="5" t="str">
        <f t="shared" si="4"/>
        <v>Bandhkam</v>
      </c>
      <c r="AH63" s="5"/>
      <c r="AI63" s="8"/>
      <c r="AJ63" s="8"/>
      <c r="AL63" s="16"/>
      <c r="AM63" s="12">
        <f t="shared" si="5"/>
        <v>0</v>
      </c>
      <c r="AN63" s="7">
        <f t="shared" si="6"/>
        <v>450</v>
      </c>
      <c r="AO63" s="12">
        <f t="shared" si="7"/>
        <v>0</v>
      </c>
      <c r="AP63" s="12">
        <f t="shared" si="8"/>
        <v>0</v>
      </c>
      <c r="AQ63" s="15">
        <f t="shared" si="9"/>
        <v>35</v>
      </c>
      <c r="AR63" s="7">
        <f t="shared" si="10"/>
        <v>390</v>
      </c>
      <c r="AS63" s="5"/>
      <c r="AU63" s="5"/>
      <c r="AV63" s="17"/>
      <c r="AW63" s="17"/>
      <c r="AX63" s="5"/>
      <c r="AY63" s="5"/>
      <c r="AZ63" s="13"/>
      <c r="BA63" s="12"/>
      <c r="BB63" s="7"/>
      <c r="BC63" s="14"/>
      <c r="BD63" s="14"/>
      <c r="BF63" s="12"/>
      <c r="BG63" s="14"/>
      <c r="BH63" s="19"/>
      <c r="BI63" s="5"/>
      <c r="BM63" s="18"/>
      <c r="BN63" s="18"/>
      <c r="BO63" s="18"/>
      <c r="BP63" s="18"/>
      <c r="BQ63" s="5"/>
      <c r="BR63" s="18"/>
      <c r="BS63" s="18"/>
      <c r="BT63" s="35">
        <f t="shared" si="12"/>
        <v>0</v>
      </c>
    </row>
    <row r="64" spans="1:72" x14ac:dyDescent="0.35">
      <c r="A64" s="5">
        <v>63</v>
      </c>
      <c r="B64" s="5"/>
      <c r="C64" s="5" t="s">
        <v>78</v>
      </c>
      <c r="D64" s="5">
        <v>4</v>
      </c>
      <c r="E64" s="5">
        <v>2</v>
      </c>
      <c r="F64" s="8"/>
      <c r="G64" s="8"/>
      <c r="H64" s="5"/>
      <c r="I64" s="5" t="e" cm="1">
        <f t="array" ref="I64">_xlfn.IFS(
  H64="Mahuva", "Mahuva",
  H64="Jesar", "Mahuva",
  H64="Palitana", "Palitana",
  H64="Gariyadhar", "Palitana",
  H64="Talaja", "Talaja",
  H64="Vallabhipur", "Vallabhipur",
  H64="Umrala", "Vallabhipur",
  H64="Shihor", "Shihor",
  H64="Ghogha", "Bhavnagar",
  H64="Bhavnagar", "Bhavnagar"
)</f>
        <v>#N/A</v>
      </c>
      <c r="J64" s="5" t="s">
        <v>256</v>
      </c>
      <c r="K64" s="5"/>
      <c r="M64" s="5"/>
      <c r="Q64" s="7">
        <f t="shared" si="0"/>
        <v>120</v>
      </c>
      <c r="S64" s="33" t="s">
        <v>233</v>
      </c>
      <c r="U64" s="10"/>
      <c r="V64" s="10" t="str">
        <f t="shared" si="1"/>
        <v>Equals</v>
      </c>
      <c r="W64" s="11" t="str" cm="1">
        <f t="array" ref="W64">NumberToWords(T64)</f>
        <v>Zero Rupees Only</v>
      </c>
      <c r="X64" s="10" t="str">
        <f t="shared" si="2"/>
        <v>Division</v>
      </c>
      <c r="Z64" s="9">
        <f t="shared" si="3"/>
        <v>0</v>
      </c>
      <c r="AB64" s="8">
        <f>_xlfn.XLOOKUP(AA64, 'Agency List'!A$2:A$145, 'Agency List'!B$2:B$145, "Not Found")</f>
        <v>0</v>
      </c>
      <c r="AC64" s="8">
        <f>_xlfn.XLOOKUP(AA64, 'Agency List'!A$2:A$145, 'Agency List'!C$2:C$145, "Not Found")</f>
        <v>0</v>
      </c>
      <c r="AD64" s="8">
        <f>_xlfn.XLOOKUP(AA64, 'Agency List'!A$2:A$145, 'Agency List'!D$2:D$145, "Not Found")</f>
        <v>0</v>
      </c>
      <c r="AE64" s="7"/>
      <c r="AF64" s="5"/>
      <c r="AG64" s="5" t="str">
        <f t="shared" si="4"/>
        <v>Bandhkam</v>
      </c>
      <c r="AH64" s="5"/>
      <c r="AI64" s="8"/>
      <c r="AJ64" s="8"/>
      <c r="AL64" s="16"/>
      <c r="AM64" s="12">
        <f t="shared" si="5"/>
        <v>0</v>
      </c>
      <c r="AN64" s="7">
        <f t="shared" si="6"/>
        <v>450</v>
      </c>
      <c r="AO64" s="12">
        <f t="shared" si="7"/>
        <v>0</v>
      </c>
      <c r="AP64" s="12">
        <f t="shared" si="8"/>
        <v>0</v>
      </c>
      <c r="AQ64" s="15">
        <f t="shared" si="9"/>
        <v>35</v>
      </c>
      <c r="AR64" s="7">
        <f t="shared" si="10"/>
        <v>390</v>
      </c>
      <c r="AS64" s="5"/>
      <c r="AU64" s="5"/>
      <c r="AV64" s="17"/>
      <c r="AW64" s="17"/>
      <c r="AX64" s="5"/>
      <c r="AY64" s="5"/>
      <c r="AZ64" s="13"/>
      <c r="BA64" s="12"/>
      <c r="BB64" s="7"/>
      <c r="BC64" s="14"/>
      <c r="BD64" s="14"/>
      <c r="BF64" s="12"/>
      <c r="BG64" s="14"/>
      <c r="BH64" s="19"/>
      <c r="BI64" s="5"/>
      <c r="BM64" s="18"/>
      <c r="BN64" s="18"/>
      <c r="BO64" s="18"/>
      <c r="BP64" s="18"/>
      <c r="BQ64" s="5"/>
      <c r="BR64" s="18"/>
      <c r="BS64" s="18"/>
      <c r="BT64" s="35">
        <f t="shared" si="12"/>
        <v>0</v>
      </c>
    </row>
    <row r="65" spans="1:72" x14ac:dyDescent="0.35">
      <c r="A65" s="5">
        <v>64</v>
      </c>
      <c r="B65" s="5"/>
      <c r="C65" s="5" t="s">
        <v>78</v>
      </c>
      <c r="D65" s="5">
        <v>4</v>
      </c>
      <c r="E65" s="5">
        <v>3</v>
      </c>
      <c r="F65" s="8"/>
      <c r="G65" s="8"/>
      <c r="H65" s="5"/>
      <c r="I65" s="5" t="e" cm="1">
        <f t="array" ref="I65">_xlfn.IFS(
  H65="Mahuva", "Mahuva",
  H65="Jesar", "Mahuva",
  H65="Palitana", "Palitana",
  H65="Gariyadhar", "Palitana",
  H65="Talaja", "Talaja",
  H65="Vallabhipur", "Vallabhipur",
  H65="Umrala", "Vallabhipur",
  H65="Shihor", "Shihor",
  H65="Ghogha", "Bhavnagar",
  H65="Bhavnagar", "Bhavnagar"
)</f>
        <v>#N/A</v>
      </c>
      <c r="J65" s="5" t="s">
        <v>256</v>
      </c>
      <c r="K65" s="5"/>
      <c r="M65" s="5"/>
      <c r="Q65" s="7">
        <f t="shared" si="0"/>
        <v>120</v>
      </c>
      <c r="S65" s="33" t="s">
        <v>233</v>
      </c>
      <c r="U65" s="10"/>
      <c r="V65" s="10" t="str">
        <f t="shared" si="1"/>
        <v>Equals</v>
      </c>
      <c r="W65" s="11" t="str" cm="1">
        <f t="array" ref="W65">NumberToWords(T65)</f>
        <v>Zero Rupees Only</v>
      </c>
      <c r="X65" s="10" t="str">
        <f t="shared" si="2"/>
        <v>Division</v>
      </c>
      <c r="Z65" s="9">
        <f t="shared" si="3"/>
        <v>0</v>
      </c>
      <c r="AB65" s="8">
        <f>_xlfn.XLOOKUP(AA65, 'Agency List'!A$2:A$145, 'Agency List'!B$2:B$145, "Not Found")</f>
        <v>0</v>
      </c>
      <c r="AC65" s="8">
        <f>_xlfn.XLOOKUP(AA65, 'Agency List'!A$2:A$145, 'Agency List'!C$2:C$145, "Not Found")</f>
        <v>0</v>
      </c>
      <c r="AD65" s="8">
        <f>_xlfn.XLOOKUP(AA65, 'Agency List'!A$2:A$145, 'Agency List'!D$2:D$145, "Not Found")</f>
        <v>0</v>
      </c>
      <c r="AE65" s="7"/>
      <c r="AF65" s="5"/>
      <c r="AG65" s="5" t="str">
        <f t="shared" si="4"/>
        <v>Bandhkam</v>
      </c>
      <c r="AH65" s="5"/>
      <c r="AI65" s="8"/>
      <c r="AJ65" s="8"/>
      <c r="AL65" s="16"/>
      <c r="AM65" s="12">
        <f t="shared" si="5"/>
        <v>0</v>
      </c>
      <c r="AN65" s="7">
        <f t="shared" si="6"/>
        <v>450</v>
      </c>
      <c r="AO65" s="12">
        <f t="shared" si="7"/>
        <v>0</v>
      </c>
      <c r="AP65" s="12">
        <f t="shared" si="8"/>
        <v>0</v>
      </c>
      <c r="AQ65" s="15">
        <f t="shared" si="9"/>
        <v>35</v>
      </c>
      <c r="AR65" s="7">
        <f t="shared" si="10"/>
        <v>390</v>
      </c>
      <c r="AS65" s="5"/>
      <c r="AU65" s="5"/>
      <c r="AV65" s="17"/>
      <c r="AW65" s="17"/>
      <c r="AX65" s="5"/>
      <c r="AY65" s="5"/>
      <c r="AZ65" s="13"/>
      <c r="BA65" s="12"/>
      <c r="BB65" s="7"/>
      <c r="BC65" s="14"/>
      <c r="BD65" s="14"/>
      <c r="BF65" s="12"/>
      <c r="BG65" s="14"/>
      <c r="BH65" s="19"/>
      <c r="BI65" s="5"/>
      <c r="BM65" s="18"/>
      <c r="BN65" s="18"/>
      <c r="BO65" s="18"/>
      <c r="BP65" s="18"/>
      <c r="BQ65" s="5"/>
      <c r="BR65" s="18"/>
      <c r="BS65" s="18"/>
      <c r="BT65" s="35">
        <f t="shared" si="12"/>
        <v>0</v>
      </c>
    </row>
    <row r="66" spans="1:72" ht="43.5" x14ac:dyDescent="0.35">
      <c r="A66" s="5">
        <v>65</v>
      </c>
      <c r="B66" s="5"/>
      <c r="C66" s="5" t="s">
        <v>78</v>
      </c>
      <c r="D66" s="5">
        <v>4</v>
      </c>
      <c r="E66" s="5">
        <v>4</v>
      </c>
      <c r="F66" s="8" t="s">
        <v>277</v>
      </c>
      <c r="G66" s="8"/>
      <c r="H66" s="5" t="s">
        <v>278</v>
      </c>
      <c r="I66" s="5" t="str" cm="1">
        <f t="array" ref="I66">_xlfn.IFS(
  H66="Mahuva", "Mahuva",
  H66="Jesar", "Mahuva",
  H66="Palitana", "Palitana",
  H66="Gariyadhar", "Palitana",
  H66="Talaja", "Talaja",
  H66="Vallabhipur", "Vallabhipur",
  H66="Umrala", "Vallabhipur",
  H66="Shihor", "Shihor",
  H66="Ghogha", "Bhavnagar",
  H66="Bhavnagar", "Bhavnagar"
)</f>
        <v>Mahuva</v>
      </c>
      <c r="J66" s="5" t="s">
        <v>256</v>
      </c>
      <c r="K66" s="5" t="s">
        <v>418</v>
      </c>
      <c r="L66" s="5">
        <v>187879</v>
      </c>
      <c r="M66" s="5">
        <v>1</v>
      </c>
      <c r="Q66" s="7">
        <f t="shared" ref="Q66:Q129" si="13">O66+120</f>
        <v>120</v>
      </c>
      <c r="R66" s="9">
        <v>2079935.08</v>
      </c>
      <c r="S66" s="33"/>
      <c r="T66" s="9">
        <v>1755465.21</v>
      </c>
      <c r="U66" s="10">
        <v>-15.6</v>
      </c>
      <c r="V66" s="10" t="str">
        <f t="shared" ref="V66:V129" si="14">IF(U66&lt;0,"Below",IF(U66&gt;0,"Above","Equals"))</f>
        <v>Below</v>
      </c>
      <c r="W66" s="11" t="str" cm="1">
        <f t="array" ref="W66">NumberToWords(T66)</f>
        <v>Seventeen Lakh Fifty Five Thousand Four Hundred Sixty Five Rupees and Twenty One Paise Only</v>
      </c>
      <c r="X66" s="10" t="str">
        <f t="shared" ref="X66:X129" si="15">IF(T66&lt;5000000,"Division",IF(T66&lt;=20000000,"Circle","Government"))</f>
        <v>Division</v>
      </c>
      <c r="Z66" s="9">
        <f t="shared" ref="Z66:Z129" si="16">T66+Y66</f>
        <v>1755465.21</v>
      </c>
      <c r="AA66" s="5" t="s">
        <v>279</v>
      </c>
      <c r="AB66" s="8" t="str">
        <f>_xlfn.XLOOKUP(AA66, 'Agency List'!A$2:A$145, 'Agency List'!B$2:B$145, "Not Found")</f>
        <v>ALIGBHAI LAKHUBHAI BARAL</v>
      </c>
      <c r="AC66" s="8" t="str">
        <f>_xlfn.XLOOKUP(AA66, 'Agency List'!A$2:A$145, 'Agency List'!C$2:C$145, "Not Found")</f>
        <v>At Bhandariya, Ta. Palitana, Dist. Bhavnagar</v>
      </c>
      <c r="AD66" s="8">
        <f>_xlfn.XLOOKUP(AA66, 'Agency List'!A$2:A$145, 'Agency List'!D$2:D$145, "Not Found")</f>
        <v>9828109453</v>
      </c>
      <c r="AE66" s="7"/>
      <c r="AF66" s="1" t="s">
        <v>357</v>
      </c>
      <c r="AG66" s="5" t="str">
        <f t="shared" ref="AG66:AG129" si="17">IF(AND(
   AF66&lt;&gt;"5054 MMGSY NORMAL",
   AF66&lt;&gt;"3054 MMGSY NORMAL",
   AF66&lt;&gt;"5054 MMGSY SCSP",
   AF66&lt;&gt;"5054 Suvidhapath"
),
   IF(T66&gt;2500000,"Karobari","Bandhkam"),
   "NA"
)</f>
        <v>Bandhkam</v>
      </c>
      <c r="AH66" s="1"/>
      <c r="AI66" s="8"/>
      <c r="AJ66" s="8"/>
      <c r="AL66" s="16">
        <v>4</v>
      </c>
      <c r="AM66" s="12">
        <f t="shared" ref="AM66:AM129" si="18">CEILING(T66*5/100, 1000)</f>
        <v>88000</v>
      </c>
      <c r="AN66" s="7">
        <f t="shared" ref="AN66:AN129" si="19">AR66+60</f>
        <v>46422</v>
      </c>
      <c r="AO66" s="12">
        <f t="shared" ref="AO66:AO129" si="20">CEILING(((AM66+AP66)*4.9/100),100)</f>
        <v>5500</v>
      </c>
      <c r="AP66" s="12">
        <f t="shared" ref="AP66:AP129" si="21">IF(U66&lt;-20,(CEILING(((R66*90/100)-T66)*30/100, 1000)),IF(U66&lt;-10,(CEILING(((R66*90/100)-T66)*20/100, 1000)),0))</f>
        <v>24000</v>
      </c>
      <c r="AQ66" s="15">
        <f t="shared" ref="AQ66:AQ129" si="22">BH66+AL66*30+35</f>
        <v>46007</v>
      </c>
      <c r="AR66" s="7">
        <f t="shared" ref="AR66:AR129" si="23" xml:space="preserve">   IF(R66&gt;10000000,
      BH66 + AL66*30 + 36*30 + 30,
      BH66 + AL66*30 + 12*30 + 30
   )</f>
        <v>46362</v>
      </c>
      <c r="AS66" s="5">
        <v>899</v>
      </c>
      <c r="AT66" s="7">
        <v>45835</v>
      </c>
      <c r="AU66" s="5" t="s">
        <v>78</v>
      </c>
      <c r="AV66" s="17">
        <v>45</v>
      </c>
      <c r="AW66" s="37">
        <v>45852</v>
      </c>
      <c r="AX66" s="5" t="s">
        <v>355</v>
      </c>
      <c r="AY66" s="5" t="s">
        <v>356</v>
      </c>
      <c r="AZ66" s="13">
        <v>78048407397</v>
      </c>
      <c r="BA66" s="12">
        <v>88000</v>
      </c>
      <c r="BB66" s="7">
        <v>45845</v>
      </c>
      <c r="BC66" s="5" t="s">
        <v>355</v>
      </c>
      <c r="BD66" s="5" t="s">
        <v>356</v>
      </c>
      <c r="BE66" s="13">
        <v>78048460248</v>
      </c>
      <c r="BF66" s="12">
        <v>24000</v>
      </c>
      <c r="BG66" s="7">
        <v>45848</v>
      </c>
      <c r="BH66" s="19">
        <v>45852</v>
      </c>
      <c r="BI66" s="5">
        <v>949</v>
      </c>
      <c r="BJ66" s="19">
        <v>45852</v>
      </c>
      <c r="BM66" s="18"/>
      <c r="BN66" s="18"/>
      <c r="BO66" s="18"/>
      <c r="BP66" s="18"/>
      <c r="BQ66" s="5"/>
      <c r="BR66" s="18"/>
      <c r="BS66" s="18"/>
      <c r="BT66" s="35">
        <f t="shared" si="12"/>
        <v>45972</v>
      </c>
    </row>
    <row r="67" spans="1:72" x14ac:dyDescent="0.35">
      <c r="A67" s="5">
        <v>66</v>
      </c>
      <c r="B67" s="5"/>
      <c r="C67" s="5" t="s">
        <v>78</v>
      </c>
      <c r="D67" s="5">
        <v>4</v>
      </c>
      <c r="E67" s="5">
        <v>5</v>
      </c>
      <c r="F67" s="8"/>
      <c r="G67" s="8"/>
      <c r="H67" s="5"/>
      <c r="I67" s="5" t="e" cm="1">
        <f t="array" ref="I67">_xlfn.IFS(
  H67="Mahuva", "Mahuva",
  H67="Jesar", "Mahuva",
  H67="Palitana", "Palitana",
  H67="Gariyadhar", "Palitana",
  H67="Talaja", "Talaja",
  H67="Vallabhipur", "Vallabhipur",
  H67="Umrala", "Vallabhipur",
  H67="Shihor", "Shihor",
  H67="Ghogha", "Bhavnagar",
  H67="Bhavnagar", "Bhavnagar"
)</f>
        <v>#N/A</v>
      </c>
      <c r="J67" s="5" t="s">
        <v>256</v>
      </c>
      <c r="K67" s="5"/>
      <c r="M67" s="5"/>
      <c r="Q67" s="7">
        <f t="shared" si="13"/>
        <v>120</v>
      </c>
      <c r="S67" s="33" t="s">
        <v>233</v>
      </c>
      <c r="U67" s="10"/>
      <c r="V67" s="10" t="str">
        <f t="shared" si="14"/>
        <v>Equals</v>
      </c>
      <c r="W67" s="11" t="str" cm="1">
        <f t="array" ref="W67">NumberToWords(T67)</f>
        <v>Zero Rupees Only</v>
      </c>
      <c r="X67" s="10" t="str">
        <f t="shared" si="15"/>
        <v>Division</v>
      </c>
      <c r="Z67" s="9">
        <f t="shared" si="16"/>
        <v>0</v>
      </c>
      <c r="AB67" s="8">
        <f>_xlfn.XLOOKUP(AA67, 'Agency List'!A$2:A$145, 'Agency List'!B$2:B$145, "Not Found")</f>
        <v>0</v>
      </c>
      <c r="AC67" s="8">
        <f>_xlfn.XLOOKUP(AA67, 'Agency List'!A$2:A$145, 'Agency List'!C$2:C$145, "Not Found")</f>
        <v>0</v>
      </c>
      <c r="AD67" s="8">
        <f>_xlfn.XLOOKUP(AA67, 'Agency List'!A$2:A$145, 'Agency List'!D$2:D$145, "Not Found")</f>
        <v>0</v>
      </c>
      <c r="AE67" s="7"/>
      <c r="AF67" s="5"/>
      <c r="AG67" s="5" t="str">
        <f t="shared" si="17"/>
        <v>Bandhkam</v>
      </c>
      <c r="AH67" s="5"/>
      <c r="AI67" s="8"/>
      <c r="AJ67" s="8"/>
      <c r="AL67" s="16"/>
      <c r="AM67" s="12">
        <f t="shared" si="18"/>
        <v>0</v>
      </c>
      <c r="AN67" s="7">
        <f t="shared" si="19"/>
        <v>450</v>
      </c>
      <c r="AO67" s="12">
        <f t="shared" si="20"/>
        <v>0</v>
      </c>
      <c r="AP67" s="12">
        <f t="shared" si="21"/>
        <v>0</v>
      </c>
      <c r="AQ67" s="15">
        <f t="shared" si="22"/>
        <v>35</v>
      </c>
      <c r="AR67" s="7">
        <f t="shared" si="23"/>
        <v>390</v>
      </c>
      <c r="AS67" s="5"/>
      <c r="AU67" s="5"/>
      <c r="AV67" s="17"/>
      <c r="AW67" s="17"/>
      <c r="AX67" s="5"/>
      <c r="AY67" s="5"/>
      <c r="AZ67" s="13"/>
      <c r="BA67" s="12"/>
      <c r="BB67" s="7"/>
      <c r="BC67" s="14"/>
      <c r="BD67" s="14"/>
      <c r="BF67" s="12"/>
      <c r="BG67" s="14"/>
      <c r="BH67" s="19"/>
      <c r="BI67" s="5"/>
      <c r="BM67" s="18"/>
      <c r="BN67" s="18"/>
      <c r="BO67" s="18"/>
      <c r="BP67" s="18"/>
      <c r="BQ67" s="5"/>
      <c r="BR67" s="18"/>
      <c r="BS67" s="18"/>
      <c r="BT67" s="35">
        <f t="shared" si="12"/>
        <v>0</v>
      </c>
    </row>
    <row r="68" spans="1:72" ht="58" x14ac:dyDescent="0.35">
      <c r="A68" s="5">
        <v>67</v>
      </c>
      <c r="B68" s="5"/>
      <c r="C68" s="5" t="s">
        <v>78</v>
      </c>
      <c r="D68" s="5">
        <v>4</v>
      </c>
      <c r="E68" s="5">
        <v>6</v>
      </c>
      <c r="F68" s="8" t="s">
        <v>280</v>
      </c>
      <c r="G68" s="8"/>
      <c r="H68" s="5" t="s">
        <v>278</v>
      </c>
      <c r="I68" s="5" t="str" cm="1">
        <f t="array" ref="I68">_xlfn.IFS(
  H68="Mahuva", "Mahuva",
  H68="Jesar", "Mahuva",
  H68="Palitana", "Palitana",
  H68="Gariyadhar", "Palitana",
  H68="Talaja", "Talaja",
  H68="Vallabhipur", "Vallabhipur",
  H68="Umrala", "Vallabhipur",
  H68="Shihor", "Shihor",
  H68="Ghogha", "Bhavnagar",
  H68="Bhavnagar", "Bhavnagar"
)</f>
        <v>Mahuva</v>
      </c>
      <c r="J68" s="5" t="s">
        <v>256</v>
      </c>
      <c r="K68" s="5" t="s">
        <v>418</v>
      </c>
      <c r="L68" s="5">
        <v>187881</v>
      </c>
      <c r="M68" s="5">
        <v>1</v>
      </c>
      <c r="Q68" s="7">
        <f t="shared" si="13"/>
        <v>120</v>
      </c>
      <c r="R68" s="9">
        <v>2079935.08</v>
      </c>
      <c r="S68" s="33"/>
      <c r="T68" s="9">
        <v>1965330.66</v>
      </c>
      <c r="U68" s="10">
        <v>-5.51</v>
      </c>
      <c r="V68" s="10" t="str">
        <f t="shared" si="14"/>
        <v>Below</v>
      </c>
      <c r="W68" s="11" t="str" cm="1">
        <f t="array" ref="W68">NumberToWords(T68)</f>
        <v>Nineteen Lakh Sixty Five Thousand Three Hundred Thirty Rupees and Sixty Six Paise Only</v>
      </c>
      <c r="X68" s="10" t="str">
        <f t="shared" si="15"/>
        <v>Division</v>
      </c>
      <c r="Z68" s="9">
        <f t="shared" si="16"/>
        <v>1965330.66</v>
      </c>
      <c r="AA68" s="5" t="s">
        <v>281</v>
      </c>
      <c r="AB68" s="8" t="str">
        <f>_xlfn.XLOOKUP(AA68, 'Agency List'!A$2:A$145, 'Agency List'!B$2:B$145, "Not Found")</f>
        <v>UDAYBHAI RAMKUBHAI LUNSAR</v>
      </c>
      <c r="AC68" s="8" t="str">
        <f>_xlfn.XLOOKUP(AA68, 'Agency List'!A$2:A$145, 'Agency List'!C$2:C$145, "Not Found")</f>
        <v>Shop No. 5, First Floor, Nilkanth Arcade, Opp. Arjun Tokiz, Palitana Road, Gariyadhar- 364505</v>
      </c>
      <c r="AD68" s="8">
        <f>_xlfn.XLOOKUP(AA68, 'Agency List'!A$2:A$145, 'Agency List'!D$2:D$145, "Not Found")</f>
        <v>9824226646</v>
      </c>
      <c r="AE68" s="7"/>
      <c r="AF68" s="5"/>
      <c r="AG68" s="5" t="str">
        <f t="shared" si="17"/>
        <v>Bandhkam</v>
      </c>
      <c r="AH68" s="5"/>
      <c r="AI68" s="8"/>
      <c r="AJ68" s="8"/>
      <c r="AL68" s="16">
        <v>4</v>
      </c>
      <c r="AM68" s="12">
        <f t="shared" si="18"/>
        <v>99000</v>
      </c>
      <c r="AN68" s="7">
        <f t="shared" si="19"/>
        <v>46457</v>
      </c>
      <c r="AO68" s="12">
        <f t="shared" si="20"/>
        <v>4900</v>
      </c>
      <c r="AP68" s="12">
        <f t="shared" si="21"/>
        <v>0</v>
      </c>
      <c r="AQ68" s="15">
        <f t="shared" si="22"/>
        <v>46042</v>
      </c>
      <c r="AR68" s="7">
        <f t="shared" si="23"/>
        <v>46397</v>
      </c>
      <c r="AS68" s="5">
        <v>900</v>
      </c>
      <c r="AT68" s="7">
        <v>45835</v>
      </c>
      <c r="AU68" s="5" t="s">
        <v>78</v>
      </c>
      <c r="AV68" s="17">
        <v>94</v>
      </c>
      <c r="AW68" s="37">
        <v>45887</v>
      </c>
      <c r="AX68" s="5" t="s">
        <v>355</v>
      </c>
      <c r="AY68" s="5" t="s">
        <v>356</v>
      </c>
      <c r="AZ68" s="13">
        <v>78048506863</v>
      </c>
      <c r="BA68" s="12">
        <v>99000</v>
      </c>
      <c r="BB68" s="7">
        <v>45852</v>
      </c>
      <c r="BC68" s="14"/>
      <c r="BD68" s="14"/>
      <c r="BF68" s="12"/>
      <c r="BG68" s="14"/>
      <c r="BH68" s="37">
        <v>45887</v>
      </c>
      <c r="BI68" s="5">
        <v>1173</v>
      </c>
      <c r="BJ68" s="19">
        <v>45887</v>
      </c>
      <c r="BM68" s="18"/>
      <c r="BN68" s="18"/>
      <c r="BO68" s="18"/>
      <c r="BP68" s="18"/>
      <c r="BQ68" s="5"/>
      <c r="BR68" s="18"/>
      <c r="BS68" s="18"/>
      <c r="BT68" s="35">
        <f t="shared" si="12"/>
        <v>46007</v>
      </c>
    </row>
    <row r="69" spans="1:72" x14ac:dyDescent="0.35">
      <c r="A69" s="5">
        <v>68</v>
      </c>
      <c r="B69" s="5"/>
      <c r="C69" s="5" t="s">
        <v>78</v>
      </c>
      <c r="D69" s="5">
        <v>4</v>
      </c>
      <c r="E69" s="5">
        <v>7</v>
      </c>
      <c r="F69" s="8"/>
      <c r="G69" s="8"/>
      <c r="H69" s="5"/>
      <c r="I69" s="5" t="e" cm="1">
        <f t="array" ref="I69">_xlfn.IFS(
  H69="Mahuva", "Mahuva",
  H69="Jesar", "Mahuva",
  H69="Palitana", "Palitana",
  H69="Gariyadhar", "Palitana",
  H69="Talaja", "Talaja",
  H69="Vallabhipur", "Vallabhipur",
  H69="Umrala", "Vallabhipur",
  H69="Shihor", "Shihor",
  H69="Ghogha", "Bhavnagar",
  H69="Bhavnagar", "Bhavnagar"
)</f>
        <v>#N/A</v>
      </c>
      <c r="J69" s="5" t="s">
        <v>256</v>
      </c>
      <c r="K69" s="5"/>
      <c r="M69" s="5"/>
      <c r="Q69" s="7">
        <f t="shared" si="13"/>
        <v>120</v>
      </c>
      <c r="S69" s="33" t="s">
        <v>233</v>
      </c>
      <c r="U69" s="10"/>
      <c r="V69" s="10" t="str">
        <f t="shared" si="14"/>
        <v>Equals</v>
      </c>
      <c r="W69" s="11" t="str" cm="1">
        <f t="array" ref="W69">NumberToWords(T69)</f>
        <v>Zero Rupees Only</v>
      </c>
      <c r="X69" s="10" t="str">
        <f t="shared" si="15"/>
        <v>Division</v>
      </c>
      <c r="Z69" s="9">
        <f t="shared" si="16"/>
        <v>0</v>
      </c>
      <c r="AB69" s="8">
        <f>_xlfn.XLOOKUP(AA69, 'Agency List'!A$2:A$145, 'Agency List'!B$2:B$145, "Not Found")</f>
        <v>0</v>
      </c>
      <c r="AC69" s="8">
        <f>_xlfn.XLOOKUP(AA69, 'Agency List'!A$2:A$145, 'Agency List'!C$2:C$145, "Not Found")</f>
        <v>0</v>
      </c>
      <c r="AD69" s="8">
        <f>_xlfn.XLOOKUP(AA69, 'Agency List'!A$2:A$145, 'Agency List'!D$2:D$145, "Not Found")</f>
        <v>0</v>
      </c>
      <c r="AE69" s="7"/>
      <c r="AF69" s="5"/>
      <c r="AG69" s="5" t="str">
        <f t="shared" si="17"/>
        <v>Bandhkam</v>
      </c>
      <c r="AH69" s="5"/>
      <c r="AI69" s="8"/>
      <c r="AJ69" s="8"/>
      <c r="AL69" s="16"/>
      <c r="AM69" s="12">
        <f t="shared" si="18"/>
        <v>0</v>
      </c>
      <c r="AN69" s="7">
        <f t="shared" si="19"/>
        <v>450</v>
      </c>
      <c r="AO69" s="12">
        <f t="shared" si="20"/>
        <v>0</v>
      </c>
      <c r="AP69" s="12">
        <f t="shared" si="21"/>
        <v>0</v>
      </c>
      <c r="AQ69" s="15">
        <f t="shared" si="22"/>
        <v>35</v>
      </c>
      <c r="AR69" s="7">
        <f t="shared" si="23"/>
        <v>390</v>
      </c>
      <c r="AS69" s="5"/>
      <c r="AU69" s="5"/>
      <c r="AV69" s="17"/>
      <c r="AW69" s="17"/>
      <c r="AX69" s="5"/>
      <c r="AY69" s="5"/>
      <c r="AZ69" s="13"/>
      <c r="BA69" s="12"/>
      <c r="BB69" s="7"/>
      <c r="BC69" s="14"/>
      <c r="BD69" s="14"/>
      <c r="BF69" s="12"/>
      <c r="BG69" s="14"/>
      <c r="BH69" s="19"/>
      <c r="BI69" s="5"/>
      <c r="BM69" s="18"/>
      <c r="BN69" s="18"/>
      <c r="BO69" s="18"/>
      <c r="BP69" s="18"/>
      <c r="BQ69" s="5"/>
      <c r="BR69" s="18"/>
      <c r="BS69" s="18"/>
      <c r="BT69" s="35">
        <f t="shared" si="12"/>
        <v>0</v>
      </c>
    </row>
    <row r="70" spans="1:72" ht="43.5" x14ac:dyDescent="0.35">
      <c r="A70" s="5">
        <v>69</v>
      </c>
      <c r="B70" s="5"/>
      <c r="C70" s="5" t="s">
        <v>78</v>
      </c>
      <c r="D70" s="5">
        <v>4</v>
      </c>
      <c r="E70" s="5">
        <v>8</v>
      </c>
      <c r="F70" s="8" t="s">
        <v>282</v>
      </c>
      <c r="G70" s="8"/>
      <c r="H70" s="5" t="s">
        <v>278</v>
      </c>
      <c r="I70" s="5" t="str" cm="1">
        <f t="array" ref="I70">_xlfn.IFS(
  H70="Mahuva", "Mahuva",
  H70="Jesar", "Mahuva",
  H70="Palitana", "Palitana",
  H70="Gariyadhar", "Palitana",
  H70="Talaja", "Talaja",
  H70="Vallabhipur", "Vallabhipur",
  H70="Umrala", "Vallabhipur",
  H70="Shihor", "Shihor",
  H70="Ghogha", "Bhavnagar",
  H70="Bhavnagar", "Bhavnagar"
)</f>
        <v>Mahuva</v>
      </c>
      <c r="J70" s="5" t="s">
        <v>256</v>
      </c>
      <c r="K70" s="5" t="s">
        <v>418</v>
      </c>
      <c r="L70" s="5">
        <v>187883</v>
      </c>
      <c r="M70" s="5">
        <v>1</v>
      </c>
      <c r="Q70" s="7">
        <f t="shared" si="13"/>
        <v>120</v>
      </c>
      <c r="R70" s="9">
        <v>2079935.08</v>
      </c>
      <c r="S70" s="33"/>
      <c r="T70" s="9">
        <v>1892532.93</v>
      </c>
      <c r="U70" s="10">
        <v>-9.01</v>
      </c>
      <c r="V70" s="10" t="str">
        <f t="shared" si="14"/>
        <v>Below</v>
      </c>
      <c r="W70" s="11" t="str" cm="1">
        <f t="array" ref="W70">NumberToWords(T70)</f>
        <v>Eighteen Lakh Ninety Two Thousand Five Hundred Thirty Two Rupees and Ninety Three Paise Only</v>
      </c>
      <c r="X70" s="10" t="str">
        <f t="shared" si="15"/>
        <v>Division</v>
      </c>
      <c r="Z70" s="9">
        <f t="shared" si="16"/>
        <v>1892532.93</v>
      </c>
      <c r="AA70" s="5" t="s">
        <v>15</v>
      </c>
      <c r="AB70" s="8" t="str">
        <f>_xlfn.XLOOKUP(AA70, 'Agency List'!A$2:A$145, 'Agency List'!B$2:B$145, "Not Found")</f>
        <v>CHATURBHAI MOHANBHAI VAGHELA</v>
      </c>
      <c r="AC70" s="8" t="str">
        <f>_xlfn.XLOOKUP(AA70, 'Agency List'!A$2:A$145, 'Agency List'!C$2:C$145, "Not Found")</f>
        <v>MOTI PANIYALI, Via. Po. SHETRUNJI, Ta. PALITANA, Dist. BHAVNAGAR-364270</v>
      </c>
      <c r="AD70" s="8">
        <f>_xlfn.XLOOKUP(AA70, 'Agency List'!A$2:A$145, 'Agency List'!D$2:D$145, "Not Found")</f>
        <v>9925448120</v>
      </c>
      <c r="AE70" s="7"/>
      <c r="AF70" s="5" t="s">
        <v>357</v>
      </c>
      <c r="AG70" s="5" t="str">
        <f t="shared" si="17"/>
        <v>Bandhkam</v>
      </c>
      <c r="AH70" s="5"/>
      <c r="AI70" s="8"/>
      <c r="AJ70" s="8"/>
      <c r="AL70" s="16">
        <v>4</v>
      </c>
      <c r="AM70" s="12">
        <f t="shared" si="18"/>
        <v>95000</v>
      </c>
      <c r="AN70" s="7">
        <f t="shared" si="19"/>
        <v>46515</v>
      </c>
      <c r="AO70" s="12">
        <f t="shared" si="20"/>
        <v>4700</v>
      </c>
      <c r="AP70" s="12">
        <f t="shared" si="21"/>
        <v>0</v>
      </c>
      <c r="AQ70" s="15">
        <f t="shared" si="22"/>
        <v>46100</v>
      </c>
      <c r="AR70" s="7">
        <f t="shared" si="23"/>
        <v>46455</v>
      </c>
      <c r="AS70" s="5">
        <v>901</v>
      </c>
      <c r="AT70" s="7">
        <v>45835</v>
      </c>
      <c r="AU70" s="5" t="s">
        <v>78</v>
      </c>
      <c r="AV70" s="17">
        <v>193</v>
      </c>
      <c r="AW70" s="37">
        <v>45943</v>
      </c>
      <c r="AX70" s="5" t="s">
        <v>355</v>
      </c>
      <c r="AY70" s="5" t="s">
        <v>458</v>
      </c>
      <c r="AZ70" s="45" t="s">
        <v>813</v>
      </c>
      <c r="BA70" s="12">
        <v>95000</v>
      </c>
      <c r="BB70" s="7">
        <v>45926</v>
      </c>
      <c r="BC70" s="14"/>
      <c r="BD70" s="14"/>
      <c r="BF70" s="12"/>
      <c r="BG70" s="14"/>
      <c r="BH70" s="19">
        <v>45945</v>
      </c>
      <c r="BI70" s="5">
        <v>1476</v>
      </c>
      <c r="BJ70" s="19">
        <v>45943</v>
      </c>
      <c r="BM70" s="18"/>
      <c r="BN70" s="18"/>
      <c r="BO70" s="18"/>
      <c r="BP70" s="18"/>
      <c r="BQ70" s="5"/>
      <c r="BR70" s="18"/>
      <c r="BS70" s="18"/>
      <c r="BT70" s="35">
        <f t="shared" si="12"/>
        <v>46065</v>
      </c>
    </row>
    <row r="71" spans="1:72" ht="58" x14ac:dyDescent="0.35">
      <c r="A71" s="5">
        <v>70</v>
      </c>
      <c r="B71" s="5"/>
      <c r="C71" s="5" t="s">
        <v>78</v>
      </c>
      <c r="D71" s="5">
        <v>4</v>
      </c>
      <c r="E71" s="5">
        <v>9</v>
      </c>
      <c r="F71" s="8" t="s">
        <v>283</v>
      </c>
      <c r="G71" s="8"/>
      <c r="H71" s="5" t="s">
        <v>3</v>
      </c>
      <c r="I71" s="5" t="str" cm="1">
        <f t="array" ref="I71">_xlfn.IFS(
  H71="Mahuva", "Mahuva",
  H71="Jesar", "Mahuva",
  H71="Palitana", "Palitana",
  H71="Gariyadhar", "Palitana",
  H71="Talaja", "Talaja",
  H71="Vallabhipur", "Vallabhipur",
  H71="Umrala", "Vallabhipur",
  H71="Shihor", "Shihor",
  H71="Ghogha", "Bhavnagar",
  H71="Bhavnagar", "Bhavnagar"
)</f>
        <v>Palitana</v>
      </c>
      <c r="J71" s="5" t="s">
        <v>256</v>
      </c>
      <c r="K71" s="5" t="s">
        <v>418</v>
      </c>
      <c r="L71" s="5">
        <v>187884</v>
      </c>
      <c r="M71" s="5">
        <v>1</v>
      </c>
      <c r="Q71" s="7">
        <f t="shared" si="13"/>
        <v>120</v>
      </c>
      <c r="R71" s="9">
        <v>2079935.08</v>
      </c>
      <c r="S71" s="33"/>
      <c r="T71" s="9">
        <v>1965330.66</v>
      </c>
      <c r="U71" s="10">
        <v>-5.51</v>
      </c>
      <c r="V71" s="10" t="str">
        <f t="shared" si="14"/>
        <v>Below</v>
      </c>
      <c r="W71" s="11" t="str" cm="1">
        <f t="array" ref="W71">NumberToWords(T71)</f>
        <v>Nineteen Lakh Sixty Five Thousand Three Hundred Thirty Rupees and Sixty Six Paise Only</v>
      </c>
      <c r="X71" s="10" t="str">
        <f t="shared" si="15"/>
        <v>Division</v>
      </c>
      <c r="Z71" s="9">
        <f t="shared" si="16"/>
        <v>1965330.66</v>
      </c>
      <c r="AA71" s="5" t="s">
        <v>281</v>
      </c>
      <c r="AB71" s="8" t="str">
        <f>_xlfn.XLOOKUP(AA71, 'Agency List'!A$2:A$145, 'Agency List'!B$2:B$145, "Not Found")</f>
        <v>UDAYBHAI RAMKUBHAI LUNSAR</v>
      </c>
      <c r="AC71" s="8" t="str">
        <f>_xlfn.XLOOKUP(AA71, 'Agency List'!A$2:A$145, 'Agency List'!C$2:C$145, "Not Found")</f>
        <v>Shop No. 5, First Floor, Nilkanth Arcade, Opp. Arjun Tokiz, Palitana Road, Gariyadhar- 364505</v>
      </c>
      <c r="AD71" s="8">
        <f>_xlfn.XLOOKUP(AA71, 'Agency List'!A$2:A$145, 'Agency List'!D$2:D$145, "Not Found")</f>
        <v>9824226646</v>
      </c>
      <c r="AE71" s="7"/>
      <c r="AF71" s="5"/>
      <c r="AG71" s="5" t="str">
        <f t="shared" si="17"/>
        <v>Bandhkam</v>
      </c>
      <c r="AH71" s="5"/>
      <c r="AI71" s="8"/>
      <c r="AJ71" s="8"/>
      <c r="AL71" s="16">
        <v>4</v>
      </c>
      <c r="AM71" s="12">
        <f t="shared" si="18"/>
        <v>99000</v>
      </c>
      <c r="AN71" s="7">
        <f t="shared" si="19"/>
        <v>46457</v>
      </c>
      <c r="AO71" s="12">
        <f t="shared" si="20"/>
        <v>4900</v>
      </c>
      <c r="AP71" s="12">
        <f t="shared" si="21"/>
        <v>0</v>
      </c>
      <c r="AQ71" s="15">
        <f t="shared" si="22"/>
        <v>46042</v>
      </c>
      <c r="AR71" s="7">
        <f t="shared" si="23"/>
        <v>46397</v>
      </c>
      <c r="AS71" s="5">
        <v>902</v>
      </c>
      <c r="AT71" s="7">
        <v>45835</v>
      </c>
      <c r="AU71" s="5" t="s">
        <v>78</v>
      </c>
      <c r="AV71" s="17">
        <v>95</v>
      </c>
      <c r="AW71" s="37">
        <v>45887</v>
      </c>
      <c r="AX71" s="5" t="s">
        <v>355</v>
      </c>
      <c r="AY71" s="5" t="s">
        <v>356</v>
      </c>
      <c r="AZ71" s="13">
        <v>78048506829</v>
      </c>
      <c r="BA71" s="12">
        <v>99000</v>
      </c>
      <c r="BB71" s="7">
        <v>45852</v>
      </c>
      <c r="BC71" s="14"/>
      <c r="BD71" s="14"/>
      <c r="BF71" s="12"/>
      <c r="BG71" s="14"/>
      <c r="BH71" s="37">
        <v>45887</v>
      </c>
      <c r="BI71" s="5">
        <v>1174</v>
      </c>
      <c r="BJ71" s="19">
        <v>45887</v>
      </c>
      <c r="BM71" s="18"/>
      <c r="BN71" s="18"/>
      <c r="BO71" s="18"/>
      <c r="BP71" s="18"/>
      <c r="BQ71" s="5"/>
      <c r="BR71" s="18"/>
      <c r="BS71" s="18"/>
      <c r="BT71" s="35">
        <f t="shared" si="12"/>
        <v>46007</v>
      </c>
    </row>
    <row r="72" spans="1:72" ht="58" x14ac:dyDescent="0.35">
      <c r="A72" s="5">
        <v>71</v>
      </c>
      <c r="B72" s="5"/>
      <c r="C72" s="5" t="s">
        <v>78</v>
      </c>
      <c r="D72" s="5">
        <v>4</v>
      </c>
      <c r="E72" s="5">
        <v>10</v>
      </c>
      <c r="F72" s="8" t="s">
        <v>351</v>
      </c>
      <c r="G72" s="8"/>
      <c r="H72" s="5" t="s">
        <v>3</v>
      </c>
      <c r="I72" s="5" t="str" cm="1">
        <f t="array" ref="I72">_xlfn.IFS(
  H72="Mahuva", "Mahuva",
  H72="Jesar", "Mahuva",
  H72="Palitana", "Palitana",
  H72="Gariyadhar", "Palitana",
  H72="Talaja", "Talaja",
  H72="Vallabhipur", "Vallabhipur",
  H72="Umrala", "Vallabhipur",
  H72="Shihor", "Shihor",
  H72="Ghogha", "Bhavnagar",
  H72="Bhavnagar", "Bhavnagar"
)</f>
        <v>Palitana</v>
      </c>
      <c r="J72" s="5" t="s">
        <v>256</v>
      </c>
      <c r="K72" s="5" t="s">
        <v>418</v>
      </c>
      <c r="L72" s="5">
        <v>187885</v>
      </c>
      <c r="M72" s="5">
        <v>1</v>
      </c>
      <c r="Q72" s="7">
        <f t="shared" si="13"/>
        <v>120</v>
      </c>
      <c r="R72" s="9">
        <v>2079935.08</v>
      </c>
      <c r="S72" s="33"/>
      <c r="T72" s="9">
        <v>1965330.66</v>
      </c>
      <c r="U72" s="10">
        <v>-5.51</v>
      </c>
      <c r="V72" s="10" t="str">
        <f t="shared" si="14"/>
        <v>Below</v>
      </c>
      <c r="W72" s="11" t="str" cm="1">
        <f t="array" ref="W72">NumberToWords(T72)</f>
        <v>Nineteen Lakh Sixty Five Thousand Three Hundred Thirty Rupees and Sixty Six Paise Only</v>
      </c>
      <c r="X72" s="10" t="str">
        <f t="shared" si="15"/>
        <v>Division</v>
      </c>
      <c r="Z72" s="9">
        <f t="shared" si="16"/>
        <v>1965330.66</v>
      </c>
      <c r="AA72" s="5" t="s">
        <v>281</v>
      </c>
      <c r="AB72" s="8" t="str">
        <f>_xlfn.XLOOKUP(AA72, 'Agency List'!A$2:A$145, 'Agency List'!B$2:B$145, "Not Found")</f>
        <v>UDAYBHAI RAMKUBHAI LUNSAR</v>
      </c>
      <c r="AC72" s="8" t="str">
        <f>_xlfn.XLOOKUP(AA72, 'Agency List'!A$2:A$145, 'Agency List'!C$2:C$145, "Not Found")</f>
        <v>Shop No. 5, First Floor, Nilkanth Arcade, Opp. Arjun Tokiz, Palitana Road, Gariyadhar- 364505</v>
      </c>
      <c r="AD72" s="8">
        <f>_xlfn.XLOOKUP(AA72, 'Agency List'!A$2:A$145, 'Agency List'!D$2:D$145, "Not Found")</f>
        <v>9824226646</v>
      </c>
      <c r="AE72" s="7"/>
      <c r="AF72" s="5"/>
      <c r="AG72" s="5" t="str">
        <f t="shared" si="17"/>
        <v>Bandhkam</v>
      </c>
      <c r="AH72" s="5"/>
      <c r="AI72" s="8"/>
      <c r="AJ72" s="8"/>
      <c r="AL72" s="16">
        <v>4</v>
      </c>
      <c r="AM72" s="12">
        <f t="shared" si="18"/>
        <v>99000</v>
      </c>
      <c r="AN72" s="7">
        <f t="shared" si="19"/>
        <v>46457</v>
      </c>
      <c r="AO72" s="12">
        <f t="shared" si="20"/>
        <v>4900</v>
      </c>
      <c r="AP72" s="12">
        <f t="shared" si="21"/>
        <v>0</v>
      </c>
      <c r="AQ72" s="15">
        <f t="shared" si="22"/>
        <v>46042</v>
      </c>
      <c r="AR72" s="7">
        <f t="shared" si="23"/>
        <v>46397</v>
      </c>
      <c r="AS72" s="5">
        <v>903</v>
      </c>
      <c r="AT72" s="7">
        <v>45835</v>
      </c>
      <c r="AU72" s="5" t="s">
        <v>78</v>
      </c>
      <c r="AV72" s="17">
        <v>96</v>
      </c>
      <c r="AW72" s="37">
        <v>45887</v>
      </c>
      <c r="AX72" s="5" t="s">
        <v>355</v>
      </c>
      <c r="AY72" s="5" t="s">
        <v>356</v>
      </c>
      <c r="AZ72" s="13">
        <v>78048506193</v>
      </c>
      <c r="BA72" s="12">
        <v>99000</v>
      </c>
      <c r="BB72" s="7">
        <v>45852</v>
      </c>
      <c r="BC72" s="14"/>
      <c r="BD72" s="14"/>
      <c r="BF72" s="12"/>
      <c r="BG72" s="14"/>
      <c r="BH72" s="37">
        <v>45887</v>
      </c>
      <c r="BI72" s="5">
        <v>1175</v>
      </c>
      <c r="BJ72" s="19">
        <v>45887</v>
      </c>
      <c r="BM72" s="18"/>
      <c r="BN72" s="18"/>
      <c r="BO72" s="18"/>
      <c r="BP72" s="18"/>
      <c r="BQ72" s="5"/>
      <c r="BR72" s="18"/>
      <c r="BS72" s="18"/>
      <c r="BT72" s="35">
        <f t="shared" si="12"/>
        <v>46007</v>
      </c>
    </row>
    <row r="73" spans="1:72" ht="43.5" x14ac:dyDescent="0.35">
      <c r="A73" s="5">
        <v>72</v>
      </c>
      <c r="B73" s="5"/>
      <c r="C73" s="5" t="s">
        <v>78</v>
      </c>
      <c r="D73" s="5">
        <v>4</v>
      </c>
      <c r="E73" s="5">
        <v>11</v>
      </c>
      <c r="F73" s="8" t="s">
        <v>284</v>
      </c>
      <c r="G73" s="8"/>
      <c r="H73" s="5" t="s">
        <v>3</v>
      </c>
      <c r="I73" s="5" t="str" cm="1">
        <f t="array" ref="I73">_xlfn.IFS(
  H73="Mahuva", "Mahuva",
  H73="Jesar", "Mahuva",
  H73="Palitana", "Palitana",
  H73="Gariyadhar", "Palitana",
  H73="Talaja", "Talaja",
  H73="Vallabhipur", "Vallabhipur",
  H73="Umrala", "Vallabhipur",
  H73="Shihor", "Shihor",
  H73="Ghogha", "Bhavnagar",
  H73="Bhavnagar", "Bhavnagar"
)</f>
        <v>Palitana</v>
      </c>
      <c r="J73" s="5" t="s">
        <v>256</v>
      </c>
      <c r="K73" s="5" t="s">
        <v>418</v>
      </c>
      <c r="L73" s="5">
        <v>187886</v>
      </c>
      <c r="M73" s="5">
        <v>1</v>
      </c>
      <c r="Q73" s="7">
        <f t="shared" si="13"/>
        <v>120</v>
      </c>
      <c r="R73" s="9">
        <v>2079935.08</v>
      </c>
      <c r="S73" s="33"/>
      <c r="T73" s="9">
        <v>1755465.21</v>
      </c>
      <c r="U73" s="10">
        <v>-15.6</v>
      </c>
      <c r="V73" s="10" t="str">
        <f t="shared" si="14"/>
        <v>Below</v>
      </c>
      <c r="W73" s="11" t="str" cm="1">
        <f t="array" ref="W73">NumberToWords(T73)</f>
        <v>Seventeen Lakh Fifty Five Thousand Four Hundred Sixty Five Rupees and Twenty One Paise Only</v>
      </c>
      <c r="X73" s="10" t="str">
        <f t="shared" si="15"/>
        <v>Division</v>
      </c>
      <c r="Z73" s="9">
        <f t="shared" si="16"/>
        <v>1755465.21</v>
      </c>
      <c r="AA73" s="5" t="s">
        <v>279</v>
      </c>
      <c r="AB73" s="8" t="str">
        <f>_xlfn.XLOOKUP(AA73, 'Agency List'!A$2:A$145, 'Agency List'!B$2:B$145, "Not Found")</f>
        <v>ALIGBHAI LAKHUBHAI BARAL</v>
      </c>
      <c r="AC73" s="8" t="str">
        <f>_xlfn.XLOOKUP(AA73, 'Agency List'!A$2:A$145, 'Agency List'!C$2:C$145, "Not Found")</f>
        <v>At Bhandariya, Ta. Palitana, Dist. Bhavnagar</v>
      </c>
      <c r="AD73" s="8">
        <f>_xlfn.XLOOKUP(AA73, 'Agency List'!A$2:A$145, 'Agency List'!D$2:D$145, "Not Found")</f>
        <v>9828109453</v>
      </c>
      <c r="AE73" s="7"/>
      <c r="AF73" s="1" t="s">
        <v>357</v>
      </c>
      <c r="AG73" s="5" t="str">
        <f t="shared" si="17"/>
        <v>Bandhkam</v>
      </c>
      <c r="AH73" s="1"/>
      <c r="AI73" s="8"/>
      <c r="AJ73" s="8"/>
      <c r="AL73" s="16">
        <v>4</v>
      </c>
      <c r="AM73" s="12">
        <f t="shared" si="18"/>
        <v>88000</v>
      </c>
      <c r="AN73" s="7">
        <f t="shared" si="19"/>
        <v>46422</v>
      </c>
      <c r="AO73" s="12">
        <f t="shared" si="20"/>
        <v>5500</v>
      </c>
      <c r="AP73" s="12">
        <f t="shared" si="21"/>
        <v>24000</v>
      </c>
      <c r="AQ73" s="15">
        <f t="shared" si="22"/>
        <v>46007</v>
      </c>
      <c r="AR73" s="7">
        <f t="shared" si="23"/>
        <v>46362</v>
      </c>
      <c r="AS73" s="5">
        <v>904</v>
      </c>
      <c r="AT73" s="7">
        <v>45835</v>
      </c>
      <c r="AU73" s="5" t="s">
        <v>78</v>
      </c>
      <c r="AV73" s="17">
        <v>46</v>
      </c>
      <c r="AW73" s="37">
        <v>45852</v>
      </c>
      <c r="AX73" s="5" t="s">
        <v>355</v>
      </c>
      <c r="AY73" s="5" t="s">
        <v>356</v>
      </c>
      <c r="AZ73" s="13">
        <v>78048407364</v>
      </c>
      <c r="BA73" s="12">
        <v>88000</v>
      </c>
      <c r="BB73" s="7">
        <v>45845</v>
      </c>
      <c r="BC73" s="5" t="s">
        <v>355</v>
      </c>
      <c r="BD73" s="5" t="s">
        <v>356</v>
      </c>
      <c r="BE73" s="13">
        <v>78048459947</v>
      </c>
      <c r="BF73" s="12">
        <v>24000</v>
      </c>
      <c r="BG73" s="7">
        <v>45848</v>
      </c>
      <c r="BH73" s="19">
        <v>45852</v>
      </c>
      <c r="BI73" s="5">
        <v>950</v>
      </c>
      <c r="BJ73" s="19">
        <v>45852</v>
      </c>
      <c r="BM73" s="18"/>
      <c r="BN73" s="18"/>
      <c r="BO73" s="18"/>
      <c r="BP73" s="18"/>
      <c r="BQ73" s="5"/>
      <c r="BR73" s="18"/>
      <c r="BS73" s="18"/>
      <c r="BT73" s="35">
        <f t="shared" si="12"/>
        <v>45972</v>
      </c>
    </row>
    <row r="74" spans="1:72" ht="43.5" x14ac:dyDescent="0.35">
      <c r="A74" s="5">
        <v>73</v>
      </c>
      <c r="B74" s="5"/>
      <c r="C74" s="5" t="s">
        <v>78</v>
      </c>
      <c r="D74" s="5">
        <v>4</v>
      </c>
      <c r="E74" s="5">
        <v>12</v>
      </c>
      <c r="F74" s="8" t="s">
        <v>285</v>
      </c>
      <c r="G74" s="8"/>
      <c r="H74" s="5" t="s">
        <v>3</v>
      </c>
      <c r="I74" s="5" t="str" cm="1">
        <f t="array" ref="I74">_xlfn.IFS(
  H74="Mahuva", "Mahuva",
  H74="Jesar", "Mahuva",
  H74="Palitana", "Palitana",
  H74="Gariyadhar", "Palitana",
  H74="Talaja", "Talaja",
  H74="Vallabhipur", "Vallabhipur",
  H74="Umrala", "Vallabhipur",
  H74="Shihor", "Shihor",
  H74="Ghogha", "Bhavnagar",
  H74="Bhavnagar", "Bhavnagar"
)</f>
        <v>Palitana</v>
      </c>
      <c r="J74" s="5" t="s">
        <v>256</v>
      </c>
      <c r="K74" s="5" t="s">
        <v>418</v>
      </c>
      <c r="L74" s="5">
        <v>187887</v>
      </c>
      <c r="M74" s="5">
        <v>1</v>
      </c>
      <c r="Q74" s="7">
        <f t="shared" si="13"/>
        <v>120</v>
      </c>
      <c r="R74" s="9">
        <v>2079935.08</v>
      </c>
      <c r="S74" s="33"/>
      <c r="T74" s="9">
        <v>1755465.21</v>
      </c>
      <c r="U74" s="10">
        <v>-15.6</v>
      </c>
      <c r="V74" s="10" t="str">
        <f t="shared" si="14"/>
        <v>Below</v>
      </c>
      <c r="W74" s="11" t="str" cm="1">
        <f t="array" ref="W74">NumberToWords(T74)</f>
        <v>Seventeen Lakh Fifty Five Thousand Four Hundred Sixty Five Rupees and Twenty One Paise Only</v>
      </c>
      <c r="X74" s="10" t="str">
        <f t="shared" si="15"/>
        <v>Division</v>
      </c>
      <c r="Z74" s="9">
        <f t="shared" si="16"/>
        <v>1755465.21</v>
      </c>
      <c r="AA74" s="5" t="s">
        <v>279</v>
      </c>
      <c r="AB74" s="8" t="str">
        <f>_xlfn.XLOOKUP(AA74, 'Agency List'!A$2:A$145, 'Agency List'!B$2:B$145, "Not Found")</f>
        <v>ALIGBHAI LAKHUBHAI BARAL</v>
      </c>
      <c r="AC74" s="8" t="str">
        <f>_xlfn.XLOOKUP(AA74, 'Agency List'!A$2:A$145, 'Agency List'!C$2:C$145, "Not Found")</f>
        <v>At Bhandariya, Ta. Palitana, Dist. Bhavnagar</v>
      </c>
      <c r="AD74" s="8">
        <f>_xlfn.XLOOKUP(AA74, 'Agency List'!A$2:A$145, 'Agency List'!D$2:D$145, "Not Found")</f>
        <v>9828109453</v>
      </c>
      <c r="AE74" s="7"/>
      <c r="AF74" s="1" t="s">
        <v>357</v>
      </c>
      <c r="AG74" s="5" t="str">
        <f t="shared" si="17"/>
        <v>Bandhkam</v>
      </c>
      <c r="AH74" s="1"/>
      <c r="AI74" s="8"/>
      <c r="AJ74" s="8"/>
      <c r="AL74" s="16">
        <v>4</v>
      </c>
      <c r="AM74" s="12">
        <f t="shared" si="18"/>
        <v>88000</v>
      </c>
      <c r="AN74" s="7">
        <f t="shared" si="19"/>
        <v>46422</v>
      </c>
      <c r="AO74" s="12">
        <f t="shared" si="20"/>
        <v>5500</v>
      </c>
      <c r="AP74" s="12">
        <f t="shared" si="21"/>
        <v>24000</v>
      </c>
      <c r="AQ74" s="15">
        <f t="shared" si="22"/>
        <v>46007</v>
      </c>
      <c r="AR74" s="7">
        <f t="shared" si="23"/>
        <v>46362</v>
      </c>
      <c r="AS74" s="5">
        <v>905</v>
      </c>
      <c r="AT74" s="7">
        <v>45835</v>
      </c>
      <c r="AU74" s="5" t="s">
        <v>78</v>
      </c>
      <c r="AV74" s="17">
        <v>47</v>
      </c>
      <c r="AW74" s="37">
        <v>45852</v>
      </c>
      <c r="AX74" s="5" t="s">
        <v>355</v>
      </c>
      <c r="AY74" s="5" t="s">
        <v>356</v>
      </c>
      <c r="AZ74" s="13">
        <v>78048407353</v>
      </c>
      <c r="BA74" s="12">
        <v>88000</v>
      </c>
      <c r="BB74" s="7">
        <v>45845</v>
      </c>
      <c r="BC74" s="5" t="s">
        <v>355</v>
      </c>
      <c r="BD74" s="5" t="s">
        <v>356</v>
      </c>
      <c r="BE74" s="13">
        <v>78048460306</v>
      </c>
      <c r="BF74" s="12">
        <v>24000</v>
      </c>
      <c r="BG74" s="7">
        <v>45848</v>
      </c>
      <c r="BH74" s="19">
        <v>45852</v>
      </c>
      <c r="BI74" s="5">
        <v>951</v>
      </c>
      <c r="BJ74" s="19">
        <v>45852</v>
      </c>
      <c r="BM74" s="18"/>
      <c r="BN74" s="18"/>
      <c r="BO74" s="18"/>
      <c r="BP74" s="18"/>
      <c r="BQ74" s="5"/>
      <c r="BR74" s="18"/>
      <c r="BS74" s="18"/>
      <c r="BT74" s="35">
        <f t="shared" si="12"/>
        <v>45972</v>
      </c>
    </row>
    <row r="75" spans="1:72" ht="43.5" x14ac:dyDescent="0.35">
      <c r="A75" s="5">
        <v>74</v>
      </c>
      <c r="B75" s="5"/>
      <c r="C75" s="5" t="s">
        <v>78</v>
      </c>
      <c r="D75" s="5">
        <v>4</v>
      </c>
      <c r="E75" s="5">
        <v>13</v>
      </c>
      <c r="F75" s="8" t="s">
        <v>286</v>
      </c>
      <c r="G75" s="8"/>
      <c r="H75" s="5" t="s">
        <v>3</v>
      </c>
      <c r="I75" s="5" t="str" cm="1">
        <f t="array" ref="I75">_xlfn.IFS(
  H75="Mahuva", "Mahuva",
  H75="Jesar", "Mahuva",
  H75="Palitana", "Palitana",
  H75="Gariyadhar", "Palitana",
  H75="Talaja", "Talaja",
  H75="Vallabhipur", "Vallabhipur",
  H75="Umrala", "Vallabhipur",
  H75="Shihor", "Shihor",
  H75="Ghogha", "Bhavnagar",
  H75="Bhavnagar", "Bhavnagar"
)</f>
        <v>Palitana</v>
      </c>
      <c r="J75" s="5" t="s">
        <v>256</v>
      </c>
      <c r="K75" s="5" t="s">
        <v>418</v>
      </c>
      <c r="L75" s="5">
        <v>187888</v>
      </c>
      <c r="M75" s="5">
        <v>1</v>
      </c>
      <c r="Q75" s="7">
        <f t="shared" si="13"/>
        <v>120</v>
      </c>
      <c r="R75" s="9">
        <v>2079935.08</v>
      </c>
      <c r="S75" s="33"/>
      <c r="T75" s="9">
        <v>1923731.96</v>
      </c>
      <c r="U75" s="10">
        <v>-7.51</v>
      </c>
      <c r="V75" s="10" t="str">
        <f t="shared" si="14"/>
        <v>Below</v>
      </c>
      <c r="W75" s="11" t="str" cm="1">
        <f t="array" ref="W75">NumberToWords(T75)</f>
        <v>Nineteen Lakh Twenty Three Thousand Seven Hundred Thirty One Rupees and Ninety Six Paise Only</v>
      </c>
      <c r="X75" s="10" t="str">
        <f t="shared" si="15"/>
        <v>Division</v>
      </c>
      <c r="Z75" s="9">
        <f t="shared" si="16"/>
        <v>1923731.96</v>
      </c>
      <c r="AA75" s="5" t="s">
        <v>287</v>
      </c>
      <c r="AB75" s="8" t="str">
        <f>_xlfn.XLOOKUP(AA75, 'Agency List'!A$2:A$145, 'Agency List'!B$2:B$145, "Not Found")</f>
        <v>SANDIP DINESHBHAI VANZARA</v>
      </c>
      <c r="AC75" s="8" t="str">
        <f>_xlfn.XLOOKUP(AA75, 'Agency List'!A$2:A$145, 'Agency List'!C$2:C$145, "Not Found")</f>
        <v>Opp. HP PUMP, Palitana Road, Gariyadhar</v>
      </c>
      <c r="AD75" s="8">
        <f>_xlfn.XLOOKUP(AA75, 'Agency List'!A$2:A$145, 'Agency List'!D$2:D$145, "Not Found")</f>
        <v>8866209297</v>
      </c>
      <c r="AE75" s="7"/>
      <c r="AF75" s="5" t="s">
        <v>357</v>
      </c>
      <c r="AG75" s="5" t="str">
        <f t="shared" si="17"/>
        <v>Bandhkam</v>
      </c>
      <c r="AH75" s="5"/>
      <c r="AI75" s="8"/>
      <c r="AJ75" s="8"/>
      <c r="AL75" s="16">
        <v>4</v>
      </c>
      <c r="AM75" s="12">
        <f t="shared" si="18"/>
        <v>97000</v>
      </c>
      <c r="AN75" s="7">
        <f t="shared" si="19"/>
        <v>46457</v>
      </c>
      <c r="AO75" s="12">
        <f t="shared" si="20"/>
        <v>4800</v>
      </c>
      <c r="AP75" s="12">
        <f t="shared" si="21"/>
        <v>0</v>
      </c>
      <c r="AQ75" s="15">
        <f t="shared" si="22"/>
        <v>46042</v>
      </c>
      <c r="AR75" s="7">
        <f t="shared" si="23"/>
        <v>46397</v>
      </c>
      <c r="AS75" s="5">
        <v>906</v>
      </c>
      <c r="AT75" s="7">
        <v>45835</v>
      </c>
      <c r="AU75" s="5" t="s">
        <v>78</v>
      </c>
      <c r="AV75" s="17">
        <v>93</v>
      </c>
      <c r="AW75" s="37">
        <v>45887</v>
      </c>
      <c r="AX75" s="5" t="s">
        <v>355</v>
      </c>
      <c r="AY75" s="5" t="s">
        <v>369</v>
      </c>
      <c r="AZ75" s="45" t="s">
        <v>614</v>
      </c>
      <c r="BA75" s="12">
        <v>97000</v>
      </c>
      <c r="BB75" s="7">
        <v>45857</v>
      </c>
      <c r="BC75" s="14"/>
      <c r="BD75" s="14"/>
      <c r="BF75" s="12"/>
      <c r="BG75" s="14"/>
      <c r="BH75" s="19">
        <v>45887</v>
      </c>
      <c r="BI75" s="5">
        <v>1172</v>
      </c>
      <c r="BJ75" s="19">
        <v>45887</v>
      </c>
      <c r="BM75" s="18"/>
      <c r="BN75" s="18"/>
      <c r="BO75" s="18"/>
      <c r="BP75" s="18"/>
      <c r="BQ75" s="5"/>
      <c r="BR75" s="18"/>
      <c r="BS75" s="18"/>
      <c r="BT75" s="35">
        <f t="shared" si="12"/>
        <v>46007</v>
      </c>
    </row>
    <row r="76" spans="1:72" x14ac:dyDescent="0.35">
      <c r="A76" s="5">
        <v>75</v>
      </c>
      <c r="B76" s="5"/>
      <c r="C76" s="5" t="s">
        <v>78</v>
      </c>
      <c r="D76" s="5">
        <v>4</v>
      </c>
      <c r="E76" s="5">
        <v>14</v>
      </c>
      <c r="F76" s="8"/>
      <c r="G76" s="8"/>
      <c r="H76" s="5"/>
      <c r="I76" s="5" t="e" cm="1">
        <f t="array" ref="I76">_xlfn.IFS(
  H76="Mahuva", "Mahuva",
  H76="Jesar", "Mahuva",
  H76="Palitana", "Palitana",
  H76="Gariyadhar", "Palitana",
  H76="Talaja", "Talaja",
  H76="Vallabhipur", "Vallabhipur",
  H76="Umrala", "Vallabhipur",
  H76="Shihor", "Shihor",
  H76="Ghogha", "Bhavnagar",
  H76="Bhavnagar", "Bhavnagar"
)</f>
        <v>#N/A</v>
      </c>
      <c r="J76" s="5" t="s">
        <v>256</v>
      </c>
      <c r="K76" s="5"/>
      <c r="M76" s="5"/>
      <c r="Q76" s="7">
        <f t="shared" si="13"/>
        <v>120</v>
      </c>
      <c r="S76" s="33" t="s">
        <v>233</v>
      </c>
      <c r="U76" s="10"/>
      <c r="V76" s="10" t="str">
        <f t="shared" si="14"/>
        <v>Equals</v>
      </c>
      <c r="W76" s="11" t="str" cm="1">
        <f t="array" ref="W76">NumberToWords(T76)</f>
        <v>Zero Rupees Only</v>
      </c>
      <c r="X76" s="10" t="str">
        <f t="shared" si="15"/>
        <v>Division</v>
      </c>
      <c r="Z76" s="9">
        <f t="shared" si="16"/>
        <v>0</v>
      </c>
      <c r="AB76" s="8">
        <f>_xlfn.XLOOKUP(AA76, 'Agency List'!A$2:A$145, 'Agency List'!B$2:B$145, "Not Found")</f>
        <v>0</v>
      </c>
      <c r="AC76" s="8">
        <f>_xlfn.XLOOKUP(AA76, 'Agency List'!A$2:A$145, 'Agency List'!C$2:C$145, "Not Found")</f>
        <v>0</v>
      </c>
      <c r="AD76" s="8">
        <f>_xlfn.XLOOKUP(AA76, 'Agency List'!A$2:A$145, 'Agency List'!D$2:D$145, "Not Found")</f>
        <v>0</v>
      </c>
      <c r="AE76" s="7"/>
      <c r="AF76" s="5"/>
      <c r="AG76" s="5" t="str">
        <f t="shared" si="17"/>
        <v>Bandhkam</v>
      </c>
      <c r="AH76" s="5"/>
      <c r="AI76" s="8"/>
      <c r="AJ76" s="8"/>
      <c r="AL76" s="16"/>
      <c r="AM76" s="12">
        <f t="shared" si="18"/>
        <v>0</v>
      </c>
      <c r="AN76" s="7">
        <f t="shared" si="19"/>
        <v>450</v>
      </c>
      <c r="AO76" s="12">
        <f t="shared" si="20"/>
        <v>0</v>
      </c>
      <c r="AP76" s="12">
        <f t="shared" si="21"/>
        <v>0</v>
      </c>
      <c r="AQ76" s="15">
        <f t="shared" si="22"/>
        <v>35</v>
      </c>
      <c r="AR76" s="7">
        <f t="shared" si="23"/>
        <v>390</v>
      </c>
      <c r="AS76" s="5"/>
      <c r="AU76" s="5"/>
      <c r="AV76" s="17"/>
      <c r="AW76" s="17"/>
      <c r="AX76" s="5"/>
      <c r="AY76" s="5"/>
      <c r="AZ76" s="13"/>
      <c r="BA76" s="12"/>
      <c r="BB76" s="7"/>
      <c r="BC76" s="14"/>
      <c r="BD76" s="14"/>
      <c r="BF76" s="12"/>
      <c r="BG76" s="14"/>
      <c r="BH76" s="19"/>
      <c r="BI76" s="5"/>
      <c r="BM76" s="18"/>
      <c r="BN76" s="18"/>
      <c r="BO76" s="18"/>
      <c r="BP76" s="18"/>
      <c r="BQ76" s="5"/>
      <c r="BR76" s="18"/>
      <c r="BS76" s="18"/>
      <c r="BT76" s="35">
        <f t="shared" ref="BT76:BT98" si="24">BH76+AL76*30</f>
        <v>0</v>
      </c>
    </row>
    <row r="77" spans="1:72" x14ac:dyDescent="0.35">
      <c r="A77" s="5">
        <v>76</v>
      </c>
      <c r="B77" s="5"/>
      <c r="C77" s="5" t="s">
        <v>78</v>
      </c>
      <c r="D77" s="5">
        <v>4</v>
      </c>
      <c r="E77" s="5">
        <v>15</v>
      </c>
      <c r="F77" s="8"/>
      <c r="G77" s="8"/>
      <c r="H77" s="5"/>
      <c r="I77" s="5" t="e" cm="1">
        <f t="array" ref="I77">_xlfn.IFS(
  H77="Mahuva", "Mahuva",
  H77="Jesar", "Mahuva",
  H77="Palitana", "Palitana",
  H77="Gariyadhar", "Palitana",
  H77="Talaja", "Talaja",
  H77="Vallabhipur", "Vallabhipur",
  H77="Umrala", "Vallabhipur",
  H77="Shihor", "Shihor",
  H77="Ghogha", "Bhavnagar",
  H77="Bhavnagar", "Bhavnagar"
)</f>
        <v>#N/A</v>
      </c>
      <c r="J77" s="5" t="s">
        <v>256</v>
      </c>
      <c r="K77" s="5"/>
      <c r="M77" s="5"/>
      <c r="Q77" s="7">
        <f t="shared" si="13"/>
        <v>120</v>
      </c>
      <c r="S77" s="33" t="s">
        <v>233</v>
      </c>
      <c r="U77" s="10"/>
      <c r="V77" s="10" t="str">
        <f t="shared" si="14"/>
        <v>Equals</v>
      </c>
      <c r="W77" s="11" t="str" cm="1">
        <f t="array" ref="W77">NumberToWords(T77)</f>
        <v>Zero Rupees Only</v>
      </c>
      <c r="X77" s="10" t="str">
        <f t="shared" si="15"/>
        <v>Division</v>
      </c>
      <c r="Z77" s="9">
        <f t="shared" si="16"/>
        <v>0</v>
      </c>
      <c r="AB77" s="8">
        <f>_xlfn.XLOOKUP(AA77, 'Agency List'!A$2:A$145, 'Agency List'!B$2:B$145, "Not Found")</f>
        <v>0</v>
      </c>
      <c r="AC77" s="8">
        <f>_xlfn.XLOOKUP(AA77, 'Agency List'!A$2:A$145, 'Agency List'!C$2:C$145, "Not Found")</f>
        <v>0</v>
      </c>
      <c r="AD77" s="8">
        <f>_xlfn.XLOOKUP(AA77, 'Agency List'!A$2:A$145, 'Agency List'!D$2:D$145, "Not Found")</f>
        <v>0</v>
      </c>
      <c r="AE77" s="7"/>
      <c r="AF77" s="5"/>
      <c r="AG77" s="5" t="str">
        <f t="shared" si="17"/>
        <v>Bandhkam</v>
      </c>
      <c r="AH77" s="5"/>
      <c r="AI77" s="8"/>
      <c r="AJ77" s="8"/>
      <c r="AL77" s="16"/>
      <c r="AM77" s="12">
        <f t="shared" si="18"/>
        <v>0</v>
      </c>
      <c r="AN77" s="7">
        <f t="shared" si="19"/>
        <v>450</v>
      </c>
      <c r="AO77" s="12">
        <f t="shared" si="20"/>
        <v>0</v>
      </c>
      <c r="AP77" s="12">
        <f t="shared" si="21"/>
        <v>0</v>
      </c>
      <c r="AQ77" s="15">
        <f t="shared" si="22"/>
        <v>35</v>
      </c>
      <c r="AR77" s="7">
        <f t="shared" si="23"/>
        <v>390</v>
      </c>
      <c r="AS77" s="5"/>
      <c r="AU77" s="5"/>
      <c r="AV77" s="17"/>
      <c r="AW77" s="17"/>
      <c r="AX77" s="5"/>
      <c r="AY77" s="5"/>
      <c r="AZ77" s="13"/>
      <c r="BA77" s="12"/>
      <c r="BB77" s="7"/>
      <c r="BC77" s="14"/>
      <c r="BD77" s="14"/>
      <c r="BF77" s="12"/>
      <c r="BG77" s="14"/>
      <c r="BH77" s="19"/>
      <c r="BI77" s="5"/>
      <c r="BM77" s="18"/>
      <c r="BN77" s="18"/>
      <c r="BO77" s="18"/>
      <c r="BP77" s="18"/>
      <c r="BQ77" s="5"/>
      <c r="BR77" s="18"/>
      <c r="BS77" s="18"/>
      <c r="BT77" s="35">
        <f t="shared" si="24"/>
        <v>0</v>
      </c>
    </row>
    <row r="78" spans="1:72" ht="43.5" x14ac:dyDescent="0.35">
      <c r="A78" s="5">
        <v>77</v>
      </c>
      <c r="B78" s="5"/>
      <c r="C78" s="5" t="s">
        <v>78</v>
      </c>
      <c r="D78" s="5">
        <v>4</v>
      </c>
      <c r="E78" s="5">
        <v>16</v>
      </c>
      <c r="F78" s="8" t="s">
        <v>288</v>
      </c>
      <c r="G78" s="8"/>
      <c r="H78" s="5" t="s">
        <v>3</v>
      </c>
      <c r="I78" s="5" t="str" cm="1">
        <f t="array" ref="I78">_xlfn.IFS(
  H78="Mahuva", "Mahuva",
  H78="Jesar", "Mahuva",
  H78="Palitana", "Palitana",
  H78="Gariyadhar", "Palitana",
  H78="Talaja", "Talaja",
  H78="Vallabhipur", "Vallabhipur",
  H78="Umrala", "Vallabhipur",
  H78="Shihor", "Shihor",
  H78="Ghogha", "Bhavnagar",
  H78="Bhavnagar", "Bhavnagar"
)</f>
        <v>Palitana</v>
      </c>
      <c r="J78" s="5" t="s">
        <v>256</v>
      </c>
      <c r="K78" s="5" t="s">
        <v>418</v>
      </c>
      <c r="L78" s="5">
        <v>187891</v>
      </c>
      <c r="M78" s="5">
        <v>1</v>
      </c>
      <c r="Q78" s="7">
        <f t="shared" si="13"/>
        <v>120</v>
      </c>
      <c r="R78" s="9">
        <v>2079935.08</v>
      </c>
      <c r="S78" s="33"/>
      <c r="T78" s="9">
        <v>1755465.21</v>
      </c>
      <c r="U78" s="10">
        <v>-15.6</v>
      </c>
      <c r="V78" s="10" t="str">
        <f t="shared" si="14"/>
        <v>Below</v>
      </c>
      <c r="W78" s="11" t="str" cm="1">
        <f t="array" ref="W78">NumberToWords(T78)</f>
        <v>Seventeen Lakh Fifty Five Thousand Four Hundred Sixty Five Rupees and Twenty One Paise Only</v>
      </c>
      <c r="X78" s="10" t="str">
        <f t="shared" si="15"/>
        <v>Division</v>
      </c>
      <c r="Z78" s="9">
        <f t="shared" si="16"/>
        <v>1755465.21</v>
      </c>
      <c r="AA78" s="5" t="s">
        <v>279</v>
      </c>
      <c r="AB78" s="8" t="str">
        <f>_xlfn.XLOOKUP(AA78, 'Agency List'!A$2:A$145, 'Agency List'!B$2:B$145, "Not Found")</f>
        <v>ALIGBHAI LAKHUBHAI BARAL</v>
      </c>
      <c r="AC78" s="8" t="str">
        <f>_xlfn.XLOOKUP(AA78, 'Agency List'!A$2:A$145, 'Agency List'!C$2:C$145, "Not Found")</f>
        <v>At Bhandariya, Ta. Palitana, Dist. Bhavnagar</v>
      </c>
      <c r="AD78" s="8">
        <f>_xlfn.XLOOKUP(AA78, 'Agency List'!A$2:A$145, 'Agency List'!D$2:D$145, "Not Found")</f>
        <v>9828109453</v>
      </c>
      <c r="AE78" s="7"/>
      <c r="AF78" s="1" t="s">
        <v>357</v>
      </c>
      <c r="AG78" s="5" t="str">
        <f t="shared" si="17"/>
        <v>Bandhkam</v>
      </c>
      <c r="AH78" s="1"/>
      <c r="AI78" s="8"/>
      <c r="AJ78" s="8"/>
      <c r="AL78" s="16">
        <v>4</v>
      </c>
      <c r="AM78" s="12">
        <f t="shared" si="18"/>
        <v>88000</v>
      </c>
      <c r="AN78" s="7">
        <f t="shared" si="19"/>
        <v>46422</v>
      </c>
      <c r="AO78" s="12">
        <f t="shared" si="20"/>
        <v>5500</v>
      </c>
      <c r="AP78" s="12">
        <f t="shared" si="21"/>
        <v>24000</v>
      </c>
      <c r="AQ78" s="15">
        <f t="shared" si="22"/>
        <v>46007</v>
      </c>
      <c r="AR78" s="7">
        <f t="shared" si="23"/>
        <v>46362</v>
      </c>
      <c r="AS78" s="5">
        <v>907</v>
      </c>
      <c r="AT78" s="7">
        <v>45835</v>
      </c>
      <c r="AU78" s="5" t="s">
        <v>78</v>
      </c>
      <c r="AV78" s="17">
        <v>48</v>
      </c>
      <c r="AW78" s="37">
        <v>45852</v>
      </c>
      <c r="AX78" s="5" t="s">
        <v>355</v>
      </c>
      <c r="AY78" s="5" t="s">
        <v>356</v>
      </c>
      <c r="AZ78" s="13">
        <v>78048407342</v>
      </c>
      <c r="BA78" s="12">
        <v>88000</v>
      </c>
      <c r="BB78" s="7">
        <v>45845</v>
      </c>
      <c r="BC78" s="5" t="s">
        <v>355</v>
      </c>
      <c r="BD78" s="5" t="s">
        <v>356</v>
      </c>
      <c r="BE78" s="13">
        <v>78048460328</v>
      </c>
      <c r="BF78" s="12">
        <v>24000</v>
      </c>
      <c r="BG78" s="7">
        <v>45848</v>
      </c>
      <c r="BH78" s="19">
        <v>45852</v>
      </c>
      <c r="BI78" s="5">
        <v>952</v>
      </c>
      <c r="BJ78" s="19">
        <v>45852</v>
      </c>
      <c r="BM78" s="18"/>
      <c r="BN78" s="18"/>
      <c r="BO78" s="18"/>
      <c r="BP78" s="18"/>
      <c r="BQ78" s="5"/>
      <c r="BR78" s="18"/>
      <c r="BS78" s="18"/>
      <c r="BT78" s="35">
        <f t="shared" si="24"/>
        <v>45972</v>
      </c>
    </row>
    <row r="79" spans="1:72" x14ac:dyDescent="0.35">
      <c r="A79" s="5">
        <v>78</v>
      </c>
      <c r="B79" s="5"/>
      <c r="C79" s="5" t="s">
        <v>78</v>
      </c>
      <c r="D79" s="5">
        <v>4</v>
      </c>
      <c r="E79" s="5">
        <v>17</v>
      </c>
      <c r="F79" s="8"/>
      <c r="G79" s="8"/>
      <c r="H79" s="5"/>
      <c r="I79" s="5" t="e" cm="1">
        <f t="array" ref="I79">_xlfn.IFS(
  H79="Mahuva", "Mahuva",
  H79="Jesar", "Mahuva",
  H79="Palitana", "Palitana",
  H79="Gariyadhar", "Palitana",
  H79="Talaja", "Talaja",
  H79="Vallabhipur", "Vallabhipur",
  H79="Umrala", "Vallabhipur",
  H79="Shihor", "Shihor",
  H79="Ghogha", "Bhavnagar",
  H79="Bhavnagar", "Bhavnagar"
)</f>
        <v>#N/A</v>
      </c>
      <c r="J79" s="5" t="s">
        <v>256</v>
      </c>
      <c r="K79" s="5"/>
      <c r="M79" s="5"/>
      <c r="Q79" s="7">
        <f t="shared" si="13"/>
        <v>120</v>
      </c>
      <c r="S79" s="33" t="s">
        <v>233</v>
      </c>
      <c r="U79" s="10"/>
      <c r="V79" s="10" t="str">
        <f t="shared" si="14"/>
        <v>Equals</v>
      </c>
      <c r="W79" s="11" t="str" cm="1">
        <f t="array" ref="W79">NumberToWords(T79)</f>
        <v>Zero Rupees Only</v>
      </c>
      <c r="X79" s="10" t="str">
        <f t="shared" si="15"/>
        <v>Division</v>
      </c>
      <c r="Z79" s="9">
        <f t="shared" si="16"/>
        <v>0</v>
      </c>
      <c r="AB79" s="8">
        <f>_xlfn.XLOOKUP(AA79, 'Agency List'!A$2:A$145, 'Agency List'!B$2:B$145, "Not Found")</f>
        <v>0</v>
      </c>
      <c r="AC79" s="8">
        <f>_xlfn.XLOOKUP(AA79, 'Agency List'!A$2:A$145, 'Agency List'!C$2:C$145, "Not Found")</f>
        <v>0</v>
      </c>
      <c r="AD79" s="8">
        <f>_xlfn.XLOOKUP(AA79, 'Agency List'!A$2:A$145, 'Agency List'!D$2:D$145, "Not Found")</f>
        <v>0</v>
      </c>
      <c r="AE79" s="7"/>
      <c r="AF79" s="5"/>
      <c r="AG79" s="5" t="str">
        <f t="shared" si="17"/>
        <v>Bandhkam</v>
      </c>
      <c r="AH79" s="5"/>
      <c r="AI79" s="8"/>
      <c r="AJ79" s="8"/>
      <c r="AL79" s="16"/>
      <c r="AM79" s="12">
        <f t="shared" si="18"/>
        <v>0</v>
      </c>
      <c r="AN79" s="7">
        <f t="shared" si="19"/>
        <v>450</v>
      </c>
      <c r="AO79" s="12">
        <f t="shared" si="20"/>
        <v>0</v>
      </c>
      <c r="AP79" s="12">
        <f t="shared" si="21"/>
        <v>0</v>
      </c>
      <c r="AQ79" s="15">
        <f t="shared" si="22"/>
        <v>35</v>
      </c>
      <c r="AR79" s="7">
        <f t="shared" si="23"/>
        <v>390</v>
      </c>
      <c r="AS79" s="5"/>
      <c r="AU79" s="5"/>
      <c r="AV79" s="17"/>
      <c r="AW79" s="17"/>
      <c r="AX79" s="5"/>
      <c r="AY79" s="5"/>
      <c r="AZ79" s="13"/>
      <c r="BA79" s="12"/>
      <c r="BB79" s="7"/>
      <c r="BC79" s="14"/>
      <c r="BD79" s="14"/>
      <c r="BF79" s="12"/>
      <c r="BG79" s="14"/>
      <c r="BH79" s="19"/>
      <c r="BI79" s="5"/>
      <c r="BM79" s="18"/>
      <c r="BN79" s="18"/>
      <c r="BO79" s="18"/>
      <c r="BP79" s="18"/>
      <c r="BQ79" s="5"/>
      <c r="BR79" s="18"/>
      <c r="BS79" s="18"/>
      <c r="BT79" s="35">
        <f t="shared" si="24"/>
        <v>0</v>
      </c>
    </row>
    <row r="80" spans="1:72" x14ac:dyDescent="0.35">
      <c r="A80" s="5">
        <v>79</v>
      </c>
      <c r="B80" s="5"/>
      <c r="C80" s="5" t="s">
        <v>78</v>
      </c>
      <c r="D80" s="5">
        <v>4</v>
      </c>
      <c r="E80" s="5">
        <v>18</v>
      </c>
      <c r="F80" s="8"/>
      <c r="G80" s="8"/>
      <c r="H80" s="5"/>
      <c r="I80" s="5" t="e" cm="1">
        <f t="array" ref="I80">_xlfn.IFS(
  H80="Mahuva", "Mahuva",
  H80="Jesar", "Mahuva",
  H80="Palitana", "Palitana",
  H80="Gariyadhar", "Palitana",
  H80="Talaja", "Talaja",
  H80="Vallabhipur", "Vallabhipur",
  H80="Umrala", "Vallabhipur",
  H80="Shihor", "Shihor",
  H80="Ghogha", "Bhavnagar",
  H80="Bhavnagar", "Bhavnagar"
)</f>
        <v>#N/A</v>
      </c>
      <c r="J80" s="5" t="s">
        <v>256</v>
      </c>
      <c r="K80" s="5"/>
      <c r="M80" s="5"/>
      <c r="Q80" s="7">
        <f t="shared" si="13"/>
        <v>120</v>
      </c>
      <c r="S80" s="33" t="s">
        <v>233</v>
      </c>
      <c r="U80" s="10"/>
      <c r="V80" s="10" t="str">
        <f t="shared" si="14"/>
        <v>Equals</v>
      </c>
      <c r="W80" s="11" t="str" cm="1">
        <f t="array" ref="W80">NumberToWords(T80)</f>
        <v>Zero Rupees Only</v>
      </c>
      <c r="X80" s="10" t="str">
        <f t="shared" si="15"/>
        <v>Division</v>
      </c>
      <c r="Z80" s="9">
        <f t="shared" si="16"/>
        <v>0</v>
      </c>
      <c r="AB80" s="8">
        <f>_xlfn.XLOOKUP(AA80, 'Agency List'!A$2:A$145, 'Agency List'!B$2:B$145, "Not Found")</f>
        <v>0</v>
      </c>
      <c r="AC80" s="8">
        <f>_xlfn.XLOOKUP(AA80, 'Agency List'!A$2:A$145, 'Agency List'!C$2:C$145, "Not Found")</f>
        <v>0</v>
      </c>
      <c r="AD80" s="8">
        <f>_xlfn.XLOOKUP(AA80, 'Agency List'!A$2:A$145, 'Agency List'!D$2:D$145, "Not Found")</f>
        <v>0</v>
      </c>
      <c r="AE80" s="7"/>
      <c r="AF80" s="5"/>
      <c r="AG80" s="5" t="str">
        <f t="shared" si="17"/>
        <v>Bandhkam</v>
      </c>
      <c r="AH80" s="5"/>
      <c r="AI80" s="8"/>
      <c r="AJ80" s="8"/>
      <c r="AL80" s="16"/>
      <c r="AM80" s="12">
        <f t="shared" si="18"/>
        <v>0</v>
      </c>
      <c r="AN80" s="7">
        <f t="shared" si="19"/>
        <v>450</v>
      </c>
      <c r="AO80" s="12">
        <f t="shared" si="20"/>
        <v>0</v>
      </c>
      <c r="AP80" s="12">
        <f t="shared" si="21"/>
        <v>0</v>
      </c>
      <c r="AQ80" s="15">
        <f t="shared" si="22"/>
        <v>35</v>
      </c>
      <c r="AR80" s="7">
        <f t="shared" si="23"/>
        <v>390</v>
      </c>
      <c r="AS80" s="5"/>
      <c r="AU80" s="5"/>
      <c r="AV80" s="17"/>
      <c r="AW80" s="17"/>
      <c r="AX80" s="5"/>
      <c r="AY80" s="5"/>
      <c r="AZ80" s="13"/>
      <c r="BA80" s="12"/>
      <c r="BB80" s="7"/>
      <c r="BC80" s="14"/>
      <c r="BD80" s="14"/>
      <c r="BF80" s="12"/>
      <c r="BG80" s="14"/>
      <c r="BH80" s="19"/>
      <c r="BI80" s="5"/>
      <c r="BM80" s="18"/>
      <c r="BN80" s="18"/>
      <c r="BO80" s="18"/>
      <c r="BP80" s="18"/>
      <c r="BQ80" s="5"/>
      <c r="BR80" s="18"/>
      <c r="BS80" s="18"/>
      <c r="BT80" s="35">
        <f t="shared" si="24"/>
        <v>0</v>
      </c>
    </row>
    <row r="81" spans="1:72" ht="58" x14ac:dyDescent="0.35">
      <c r="A81" s="5">
        <v>80</v>
      </c>
      <c r="B81" s="5"/>
      <c r="C81" s="5" t="s">
        <v>78</v>
      </c>
      <c r="D81" s="5">
        <v>4</v>
      </c>
      <c r="E81" s="5">
        <v>19</v>
      </c>
      <c r="F81" s="8" t="s">
        <v>289</v>
      </c>
      <c r="G81" s="8"/>
      <c r="H81" s="5" t="s">
        <v>3</v>
      </c>
      <c r="I81" s="5" t="str" cm="1">
        <f t="array" ref="I81">_xlfn.IFS(
  H81="Mahuva", "Mahuva",
  H81="Jesar", "Mahuva",
  H81="Palitana", "Palitana",
  H81="Gariyadhar", "Palitana",
  H81="Talaja", "Talaja",
  H81="Vallabhipur", "Vallabhipur",
  H81="Umrala", "Vallabhipur",
  H81="Shihor", "Shihor",
  H81="Ghogha", "Bhavnagar",
  H81="Bhavnagar", "Bhavnagar"
)</f>
        <v>Palitana</v>
      </c>
      <c r="J81" s="5" t="s">
        <v>256</v>
      </c>
      <c r="K81" s="5" t="s">
        <v>418</v>
      </c>
      <c r="L81" s="5">
        <v>187894</v>
      </c>
      <c r="M81" s="5">
        <v>1</v>
      </c>
      <c r="Q81" s="7">
        <f t="shared" si="13"/>
        <v>120</v>
      </c>
      <c r="R81" s="9">
        <v>2079935.08</v>
      </c>
      <c r="S81" s="33"/>
      <c r="T81" s="9">
        <v>1923939.95</v>
      </c>
      <c r="U81" s="10">
        <v>-7.5</v>
      </c>
      <c r="V81" s="10" t="str">
        <f t="shared" si="14"/>
        <v>Below</v>
      </c>
      <c r="W81" s="11" t="str" cm="1">
        <f t="array" ref="W81">NumberToWords(T81)</f>
        <v>Nineteen Lakh Twenty Three Thousand Nine Hundred Thirty Nine Rupees and Ninety Five Paise Only</v>
      </c>
      <c r="X81" s="10" t="str">
        <f t="shared" si="15"/>
        <v>Division</v>
      </c>
      <c r="Z81" s="9">
        <f t="shared" si="16"/>
        <v>1923939.95</v>
      </c>
      <c r="AA81" s="5" t="s">
        <v>281</v>
      </c>
      <c r="AB81" s="8" t="str">
        <f>_xlfn.XLOOKUP(AA81, 'Agency List'!A$2:A$145, 'Agency List'!B$2:B$145, "Not Found")</f>
        <v>UDAYBHAI RAMKUBHAI LUNSAR</v>
      </c>
      <c r="AC81" s="8" t="str">
        <f>_xlfn.XLOOKUP(AA81, 'Agency List'!A$2:A$145, 'Agency List'!C$2:C$145, "Not Found")</f>
        <v>Shop No. 5, First Floor, Nilkanth Arcade, Opp. Arjun Tokiz, Palitana Road, Gariyadhar- 364505</v>
      </c>
      <c r="AD81" s="8">
        <f>_xlfn.XLOOKUP(AA81, 'Agency List'!A$2:A$145, 'Agency List'!D$2:D$145, "Not Found")</f>
        <v>9824226646</v>
      </c>
      <c r="AE81" s="7"/>
      <c r="AF81" s="5"/>
      <c r="AG81" s="5" t="str">
        <f t="shared" si="17"/>
        <v>Bandhkam</v>
      </c>
      <c r="AH81" s="5"/>
      <c r="AI81" s="8"/>
      <c r="AJ81" s="8"/>
      <c r="AL81" s="16">
        <v>4</v>
      </c>
      <c r="AM81" s="12">
        <f t="shared" si="18"/>
        <v>97000</v>
      </c>
      <c r="AN81" s="7">
        <f t="shared" si="19"/>
        <v>46457</v>
      </c>
      <c r="AO81" s="12">
        <f t="shared" si="20"/>
        <v>4800</v>
      </c>
      <c r="AP81" s="12">
        <f t="shared" si="21"/>
        <v>0</v>
      </c>
      <c r="AQ81" s="15">
        <f t="shared" si="22"/>
        <v>46042</v>
      </c>
      <c r="AR81" s="7">
        <f t="shared" si="23"/>
        <v>46397</v>
      </c>
      <c r="AS81" s="5">
        <v>908</v>
      </c>
      <c r="AT81" s="7">
        <v>45835</v>
      </c>
      <c r="AU81" s="5" t="s">
        <v>78</v>
      </c>
      <c r="AV81" s="17">
        <v>97</v>
      </c>
      <c r="AW81" s="37">
        <v>45887</v>
      </c>
      <c r="AX81" s="5" t="s">
        <v>355</v>
      </c>
      <c r="AY81" s="5" t="s">
        <v>356</v>
      </c>
      <c r="AZ81" s="13">
        <v>78048506910</v>
      </c>
      <c r="BA81" s="12">
        <v>97000</v>
      </c>
      <c r="BB81" s="7">
        <v>45852</v>
      </c>
      <c r="BC81" s="14"/>
      <c r="BD81" s="14"/>
      <c r="BF81" s="12"/>
      <c r="BG81" s="14"/>
      <c r="BH81" s="37">
        <v>45887</v>
      </c>
      <c r="BI81" s="5">
        <v>1176</v>
      </c>
      <c r="BJ81" s="19">
        <v>45887</v>
      </c>
      <c r="BM81" s="18"/>
      <c r="BN81" s="18"/>
      <c r="BO81" s="18"/>
      <c r="BP81" s="18"/>
      <c r="BQ81" s="5"/>
      <c r="BR81" s="18"/>
      <c r="BS81" s="18"/>
      <c r="BT81" s="35">
        <f t="shared" si="24"/>
        <v>46007</v>
      </c>
    </row>
    <row r="82" spans="1:72" ht="43.5" x14ac:dyDescent="0.35">
      <c r="A82" s="5">
        <v>81</v>
      </c>
      <c r="B82" s="5"/>
      <c r="C82" s="5" t="s">
        <v>78</v>
      </c>
      <c r="D82" s="5">
        <v>4</v>
      </c>
      <c r="E82" s="5">
        <v>20</v>
      </c>
      <c r="F82" s="8" t="s">
        <v>290</v>
      </c>
      <c r="G82" s="8"/>
      <c r="H82" s="5" t="s">
        <v>3</v>
      </c>
      <c r="I82" s="5" t="str" cm="1">
        <f t="array" ref="I82">_xlfn.IFS(
  H82="Mahuva", "Mahuva",
  H82="Jesar", "Mahuva",
  H82="Palitana", "Palitana",
  H82="Gariyadhar", "Palitana",
  H82="Talaja", "Talaja",
  H82="Vallabhipur", "Vallabhipur",
  H82="Umrala", "Vallabhipur",
  H82="Shihor", "Shihor",
  H82="Ghogha", "Bhavnagar",
  H82="Bhavnagar", "Bhavnagar"
)</f>
        <v>Palitana</v>
      </c>
      <c r="J82" s="5" t="s">
        <v>256</v>
      </c>
      <c r="K82" s="5" t="s">
        <v>418</v>
      </c>
      <c r="L82" s="5">
        <v>187895</v>
      </c>
      <c r="M82" s="5">
        <v>1</v>
      </c>
      <c r="Q82" s="7">
        <f t="shared" si="13"/>
        <v>120</v>
      </c>
      <c r="R82" s="9">
        <v>2079935.08</v>
      </c>
      <c r="S82" s="9"/>
      <c r="T82" s="9">
        <v>1755465.21</v>
      </c>
      <c r="U82" s="10">
        <v>-15.6</v>
      </c>
      <c r="V82" s="10" t="str">
        <f t="shared" si="14"/>
        <v>Below</v>
      </c>
      <c r="W82" s="11" t="str" cm="1">
        <f t="array" ref="W82">NumberToWords(T82)</f>
        <v>Seventeen Lakh Fifty Five Thousand Four Hundred Sixty Five Rupees and Twenty One Paise Only</v>
      </c>
      <c r="X82" s="10" t="str">
        <f t="shared" si="15"/>
        <v>Division</v>
      </c>
      <c r="Z82" s="9">
        <f t="shared" si="16"/>
        <v>1755465.21</v>
      </c>
      <c r="AA82" s="5" t="s">
        <v>279</v>
      </c>
      <c r="AB82" s="8" t="str">
        <f>_xlfn.XLOOKUP(AA82, 'Agency List'!A$2:A$145, 'Agency List'!B$2:B$145, "Not Found")</f>
        <v>ALIGBHAI LAKHUBHAI BARAL</v>
      </c>
      <c r="AC82" s="8" t="str">
        <f>_xlfn.XLOOKUP(AA82, 'Agency List'!A$2:A$145, 'Agency List'!C$2:C$145, "Not Found")</f>
        <v>At Bhandariya, Ta. Palitana, Dist. Bhavnagar</v>
      </c>
      <c r="AD82" s="8">
        <f>_xlfn.XLOOKUP(AA82, 'Agency List'!A$2:A$145, 'Agency List'!D$2:D$145, "Not Found")</f>
        <v>9828109453</v>
      </c>
      <c r="AE82" s="7"/>
      <c r="AF82" s="1" t="s">
        <v>357</v>
      </c>
      <c r="AG82" s="5" t="str">
        <f t="shared" si="17"/>
        <v>Bandhkam</v>
      </c>
      <c r="AH82" s="1"/>
      <c r="AI82" s="8"/>
      <c r="AJ82" s="8"/>
      <c r="AL82" s="16">
        <v>4</v>
      </c>
      <c r="AM82" s="12">
        <f t="shared" si="18"/>
        <v>88000</v>
      </c>
      <c r="AN82" s="7">
        <f t="shared" si="19"/>
        <v>46422</v>
      </c>
      <c r="AO82" s="12">
        <f t="shared" si="20"/>
        <v>5500</v>
      </c>
      <c r="AP82" s="12">
        <f t="shared" si="21"/>
        <v>24000</v>
      </c>
      <c r="AQ82" s="15">
        <f t="shared" si="22"/>
        <v>46007</v>
      </c>
      <c r="AR82" s="7">
        <f t="shared" si="23"/>
        <v>46362</v>
      </c>
      <c r="AS82" s="5">
        <v>909</v>
      </c>
      <c r="AT82" s="7">
        <v>45835</v>
      </c>
      <c r="AU82" s="5" t="s">
        <v>78</v>
      </c>
      <c r="AV82" s="17">
        <v>49</v>
      </c>
      <c r="AW82" s="37">
        <v>45852</v>
      </c>
      <c r="AX82" s="5" t="s">
        <v>355</v>
      </c>
      <c r="AY82" s="5" t="s">
        <v>356</v>
      </c>
      <c r="AZ82" s="13">
        <v>78048407331</v>
      </c>
      <c r="BA82" s="12">
        <v>88000</v>
      </c>
      <c r="BB82" s="7">
        <v>45845</v>
      </c>
      <c r="BC82" s="5" t="s">
        <v>355</v>
      </c>
      <c r="BD82" s="5" t="s">
        <v>356</v>
      </c>
      <c r="BE82" s="13">
        <v>78048460282</v>
      </c>
      <c r="BF82" s="12">
        <v>24000</v>
      </c>
      <c r="BG82" s="7">
        <v>45848</v>
      </c>
      <c r="BH82" s="19">
        <v>45852</v>
      </c>
      <c r="BI82" s="5">
        <v>953</v>
      </c>
      <c r="BJ82" s="19">
        <v>45852</v>
      </c>
      <c r="BM82" s="18"/>
      <c r="BN82" s="18"/>
      <c r="BO82" s="18"/>
      <c r="BP82" s="18"/>
      <c r="BQ82" s="5"/>
      <c r="BR82" s="18"/>
      <c r="BS82" s="18"/>
      <c r="BT82" s="35">
        <f t="shared" si="24"/>
        <v>45972</v>
      </c>
    </row>
    <row r="83" spans="1:72" x14ac:dyDescent="0.35">
      <c r="A83" s="5">
        <v>82</v>
      </c>
      <c r="B83" s="5"/>
      <c r="C83" s="5" t="s">
        <v>78</v>
      </c>
      <c r="D83" s="5">
        <v>4</v>
      </c>
      <c r="E83" s="5">
        <v>21</v>
      </c>
      <c r="F83" s="8"/>
      <c r="G83" s="8"/>
      <c r="H83" s="5"/>
      <c r="I83" s="5" t="e" cm="1">
        <f t="array" ref="I83">_xlfn.IFS(
  H83="Mahuva", "Mahuva",
  H83="Jesar", "Mahuva",
  H83="Palitana", "Palitana",
  H83="Gariyadhar", "Palitana",
  H83="Talaja", "Talaja",
  H83="Vallabhipur", "Vallabhipur",
  H83="Umrala", "Vallabhipur",
  H83="Shihor", "Shihor",
  H83="Ghogha", "Bhavnagar",
  H83="Bhavnagar", "Bhavnagar"
)</f>
        <v>#N/A</v>
      </c>
      <c r="J83" s="5" t="s">
        <v>256</v>
      </c>
      <c r="K83" s="5"/>
      <c r="M83" s="5"/>
      <c r="Q83" s="7">
        <f t="shared" si="13"/>
        <v>120</v>
      </c>
      <c r="S83" s="33" t="s">
        <v>233</v>
      </c>
      <c r="U83" s="10"/>
      <c r="V83" s="10" t="str">
        <f t="shared" si="14"/>
        <v>Equals</v>
      </c>
      <c r="W83" s="11" t="str" cm="1">
        <f t="array" ref="W83">NumberToWords(T83)</f>
        <v>Zero Rupees Only</v>
      </c>
      <c r="X83" s="10" t="str">
        <f t="shared" si="15"/>
        <v>Division</v>
      </c>
      <c r="Z83" s="9">
        <f t="shared" si="16"/>
        <v>0</v>
      </c>
      <c r="AB83" s="8">
        <f>_xlfn.XLOOKUP(AA83, 'Agency List'!A$2:A$145, 'Agency List'!B$2:B$145, "Not Found")</f>
        <v>0</v>
      </c>
      <c r="AC83" s="8">
        <f>_xlfn.XLOOKUP(AA83, 'Agency List'!A$2:A$145, 'Agency List'!C$2:C$145, "Not Found")</f>
        <v>0</v>
      </c>
      <c r="AD83" s="8">
        <f>_xlfn.XLOOKUP(AA83, 'Agency List'!A$2:A$145, 'Agency List'!D$2:D$145, "Not Found")</f>
        <v>0</v>
      </c>
      <c r="AE83" s="7"/>
      <c r="AF83" s="5"/>
      <c r="AG83" s="5" t="str">
        <f t="shared" si="17"/>
        <v>Bandhkam</v>
      </c>
      <c r="AH83" s="5"/>
      <c r="AI83" s="8"/>
      <c r="AJ83" s="8"/>
      <c r="AL83" s="16"/>
      <c r="AM83" s="12">
        <f t="shared" si="18"/>
        <v>0</v>
      </c>
      <c r="AN83" s="7">
        <f t="shared" si="19"/>
        <v>450</v>
      </c>
      <c r="AO83" s="12">
        <f t="shared" si="20"/>
        <v>0</v>
      </c>
      <c r="AP83" s="12">
        <f t="shared" si="21"/>
        <v>0</v>
      </c>
      <c r="AQ83" s="15">
        <f t="shared" si="22"/>
        <v>35</v>
      </c>
      <c r="AR83" s="7">
        <f t="shared" si="23"/>
        <v>390</v>
      </c>
      <c r="AS83" s="5"/>
      <c r="AU83" s="5"/>
      <c r="AV83" s="17"/>
      <c r="AW83" s="17"/>
      <c r="AX83" s="5"/>
      <c r="AY83" s="5"/>
      <c r="AZ83" s="13"/>
      <c r="BA83" s="12"/>
      <c r="BB83" s="7"/>
      <c r="BC83" s="14"/>
      <c r="BD83" s="14"/>
      <c r="BF83" s="12"/>
      <c r="BG83" s="14"/>
      <c r="BH83" s="19"/>
      <c r="BI83" s="5"/>
      <c r="BM83" s="18"/>
      <c r="BN83" s="18"/>
      <c r="BO83" s="18"/>
      <c r="BP83" s="18"/>
      <c r="BQ83" s="5"/>
      <c r="BR83" s="18"/>
      <c r="BS83" s="18"/>
      <c r="BT83" s="35">
        <f t="shared" si="24"/>
        <v>0</v>
      </c>
    </row>
    <row r="84" spans="1:72" ht="43.5" x14ac:dyDescent="0.35">
      <c r="A84" s="5">
        <v>83</v>
      </c>
      <c r="B84" s="5"/>
      <c r="C84" s="5" t="s">
        <v>78</v>
      </c>
      <c r="D84" s="5">
        <v>4</v>
      </c>
      <c r="E84" s="5">
        <v>22</v>
      </c>
      <c r="F84" s="8" t="s">
        <v>291</v>
      </c>
      <c r="G84" s="8"/>
      <c r="H84" s="5" t="s">
        <v>3</v>
      </c>
      <c r="I84" s="5" t="str" cm="1">
        <f t="array" ref="I84">_xlfn.IFS(
  H84="Mahuva", "Mahuva",
  H84="Jesar", "Mahuva",
  H84="Palitana", "Palitana",
  H84="Gariyadhar", "Palitana",
  H84="Talaja", "Talaja",
  H84="Vallabhipur", "Vallabhipur",
  H84="Umrala", "Vallabhipur",
  H84="Shihor", "Shihor",
  H84="Ghogha", "Bhavnagar",
  H84="Bhavnagar", "Bhavnagar"
)</f>
        <v>Palitana</v>
      </c>
      <c r="J84" s="5" t="s">
        <v>256</v>
      </c>
      <c r="K84" s="5" t="s">
        <v>418</v>
      </c>
      <c r="L84" s="5">
        <v>187897</v>
      </c>
      <c r="M84" s="5">
        <v>1</v>
      </c>
      <c r="Q84" s="7">
        <f t="shared" si="13"/>
        <v>120</v>
      </c>
      <c r="R84" s="9">
        <v>2079935.08</v>
      </c>
      <c r="S84" s="33"/>
      <c r="T84" s="9">
        <v>1980930.17</v>
      </c>
      <c r="U84" s="10">
        <v>-4.76</v>
      </c>
      <c r="V84" s="10" t="str">
        <f t="shared" si="14"/>
        <v>Below</v>
      </c>
      <c r="W84" s="11" t="str" cm="1">
        <f t="array" ref="W84">NumberToWords(T84)</f>
        <v>Nineteen Lakh Eighty Thousand Nine Hundred Thirty Rupees and Seventeen Paise Only</v>
      </c>
      <c r="X84" s="10" t="str">
        <f t="shared" si="15"/>
        <v>Division</v>
      </c>
      <c r="Z84" s="9">
        <f t="shared" si="16"/>
        <v>1980930.17</v>
      </c>
      <c r="AA84" s="5" t="s">
        <v>292</v>
      </c>
      <c r="AB84" s="8" t="str">
        <f>_xlfn.XLOOKUP(AA84, 'Agency List'!A$2:A$145, 'Agency List'!B$2:B$145, "Not Found")</f>
        <v>ASHOKBHAI PARSHOTAMBHAI
BARAIYA</v>
      </c>
      <c r="AC84" s="8" t="str">
        <f>_xlfn.XLOOKUP(AA84, 'Agency List'!A$2:A$145, 'Agency List'!C$2:C$145, "Not Found")</f>
        <v>At Lapaliya, Post- Nani Rajsthali, Tal. Palitana - 364270</v>
      </c>
      <c r="AD84" s="8">
        <f>_xlfn.XLOOKUP(AA84, 'Agency List'!A$2:A$145, 'Agency List'!D$2:D$145, "Not Found")</f>
        <v>9898775037</v>
      </c>
      <c r="AE84" s="7"/>
      <c r="AF84" s="5" t="s">
        <v>357</v>
      </c>
      <c r="AG84" s="5" t="str">
        <f t="shared" si="17"/>
        <v>Bandhkam</v>
      </c>
      <c r="AH84" s="5"/>
      <c r="AI84" s="8"/>
      <c r="AJ84" s="8"/>
      <c r="AL84" s="16">
        <v>4</v>
      </c>
      <c r="AM84" s="12">
        <f t="shared" si="18"/>
        <v>100000</v>
      </c>
      <c r="AN84" s="7">
        <f t="shared" si="19"/>
        <v>46574</v>
      </c>
      <c r="AO84" s="12">
        <f t="shared" si="20"/>
        <v>4900</v>
      </c>
      <c r="AP84" s="12">
        <f t="shared" si="21"/>
        <v>0</v>
      </c>
      <c r="AQ84" s="15">
        <f t="shared" si="22"/>
        <v>46159</v>
      </c>
      <c r="AR84" s="7">
        <f t="shared" si="23"/>
        <v>46514</v>
      </c>
      <c r="AS84" s="5">
        <v>910</v>
      </c>
      <c r="AT84" s="7">
        <v>45835</v>
      </c>
      <c r="AU84" s="5" t="s">
        <v>78</v>
      </c>
      <c r="AV84" s="17">
        <v>236</v>
      </c>
      <c r="AW84" s="37">
        <v>46004</v>
      </c>
      <c r="AX84" s="5" t="s">
        <v>355</v>
      </c>
      <c r="AY84" s="5" t="s">
        <v>803</v>
      </c>
      <c r="AZ84" s="45" t="s">
        <v>920</v>
      </c>
      <c r="BA84" s="12">
        <v>100000</v>
      </c>
      <c r="BB84" s="7">
        <v>45996</v>
      </c>
      <c r="BC84" s="14"/>
      <c r="BD84" s="14"/>
      <c r="BF84" s="12"/>
      <c r="BG84" s="14"/>
      <c r="BH84" s="37">
        <v>46004</v>
      </c>
      <c r="BI84" s="5">
        <v>1701</v>
      </c>
      <c r="BJ84" s="37">
        <v>46004</v>
      </c>
      <c r="BM84" s="18"/>
      <c r="BN84" s="18"/>
      <c r="BO84" s="18"/>
      <c r="BP84" s="18"/>
      <c r="BQ84" s="5"/>
      <c r="BR84" s="18"/>
      <c r="BS84" s="18"/>
      <c r="BT84" s="35">
        <f t="shared" si="24"/>
        <v>46124</v>
      </c>
    </row>
    <row r="85" spans="1:72" x14ac:dyDescent="0.35">
      <c r="A85" s="5">
        <v>84</v>
      </c>
      <c r="B85" s="5"/>
      <c r="C85" s="5" t="s">
        <v>78</v>
      </c>
      <c r="D85" s="5">
        <v>4</v>
      </c>
      <c r="E85" s="5">
        <v>23</v>
      </c>
      <c r="F85" s="8"/>
      <c r="G85" s="8"/>
      <c r="H85" s="5"/>
      <c r="I85" s="5" t="e" cm="1">
        <f t="array" ref="I85">_xlfn.IFS(
  H85="Mahuva", "Mahuva",
  H85="Jesar", "Mahuva",
  H85="Palitana", "Palitana",
  H85="Gariyadhar", "Palitana",
  H85="Talaja", "Talaja",
  H85="Vallabhipur", "Vallabhipur",
  H85="Umrala", "Vallabhipur",
  H85="Shihor", "Shihor",
  H85="Ghogha", "Bhavnagar",
  H85="Bhavnagar", "Bhavnagar"
)</f>
        <v>#N/A</v>
      </c>
      <c r="J85" s="5" t="s">
        <v>256</v>
      </c>
      <c r="K85" s="5"/>
      <c r="M85" s="5"/>
      <c r="Q85" s="7">
        <f t="shared" si="13"/>
        <v>120</v>
      </c>
      <c r="S85" s="33" t="s">
        <v>233</v>
      </c>
      <c r="U85" s="10"/>
      <c r="V85" s="10" t="str">
        <f t="shared" si="14"/>
        <v>Equals</v>
      </c>
      <c r="W85" s="11" t="str" cm="1">
        <f t="array" ref="W85">NumberToWords(T85)</f>
        <v>Zero Rupees Only</v>
      </c>
      <c r="X85" s="10" t="str">
        <f t="shared" si="15"/>
        <v>Division</v>
      </c>
      <c r="Z85" s="9">
        <f t="shared" si="16"/>
        <v>0</v>
      </c>
      <c r="AB85" s="8">
        <f>_xlfn.XLOOKUP(AA85, 'Agency List'!A$2:A$145, 'Agency List'!B$2:B$145, "Not Found")</f>
        <v>0</v>
      </c>
      <c r="AC85" s="8">
        <f>_xlfn.XLOOKUP(AA85, 'Agency List'!A$2:A$145, 'Agency List'!C$2:C$145, "Not Found")</f>
        <v>0</v>
      </c>
      <c r="AD85" s="8">
        <f>_xlfn.XLOOKUP(AA85, 'Agency List'!A$2:A$145, 'Agency List'!D$2:D$145, "Not Found")</f>
        <v>0</v>
      </c>
      <c r="AE85" s="7"/>
      <c r="AF85" s="5"/>
      <c r="AG85" s="5" t="str">
        <f t="shared" si="17"/>
        <v>Bandhkam</v>
      </c>
      <c r="AH85" s="5"/>
      <c r="AI85" s="8"/>
      <c r="AJ85" s="8"/>
      <c r="AL85" s="16"/>
      <c r="AM85" s="12">
        <f t="shared" si="18"/>
        <v>0</v>
      </c>
      <c r="AN85" s="7">
        <f t="shared" si="19"/>
        <v>450</v>
      </c>
      <c r="AO85" s="12">
        <f t="shared" si="20"/>
        <v>0</v>
      </c>
      <c r="AP85" s="12">
        <f t="shared" si="21"/>
        <v>0</v>
      </c>
      <c r="AQ85" s="15">
        <f t="shared" si="22"/>
        <v>35</v>
      </c>
      <c r="AR85" s="7">
        <f t="shared" si="23"/>
        <v>390</v>
      </c>
      <c r="AS85" s="5"/>
      <c r="AU85" s="5"/>
      <c r="AV85" s="17"/>
      <c r="AW85" s="17"/>
      <c r="AX85" s="5"/>
      <c r="AY85" s="5"/>
      <c r="AZ85" s="13"/>
      <c r="BA85" s="12"/>
      <c r="BB85" s="7"/>
      <c r="BC85" s="14"/>
      <c r="BD85" s="14"/>
      <c r="BF85" s="12"/>
      <c r="BG85" s="14"/>
      <c r="BH85" s="19"/>
      <c r="BI85" s="5"/>
      <c r="BM85" s="18"/>
      <c r="BN85" s="18"/>
      <c r="BO85" s="18"/>
      <c r="BP85" s="18"/>
      <c r="BQ85" s="5"/>
      <c r="BR85" s="18"/>
      <c r="BS85" s="18"/>
      <c r="BT85" s="35">
        <f t="shared" si="24"/>
        <v>0</v>
      </c>
    </row>
    <row r="86" spans="1:72" x14ac:dyDescent="0.35">
      <c r="A86" s="5">
        <v>85</v>
      </c>
      <c r="B86" s="5"/>
      <c r="C86" s="5" t="s">
        <v>78</v>
      </c>
      <c r="D86" s="5">
        <v>4</v>
      </c>
      <c r="E86" s="5">
        <v>24</v>
      </c>
      <c r="F86" s="8"/>
      <c r="G86" s="8"/>
      <c r="H86" s="5"/>
      <c r="I86" s="5" t="e" cm="1">
        <f t="array" ref="I86">_xlfn.IFS(
  H86="Mahuva", "Mahuva",
  H86="Jesar", "Mahuva",
  H86="Palitana", "Palitana",
  H86="Gariyadhar", "Palitana",
  H86="Talaja", "Talaja",
  H86="Vallabhipur", "Vallabhipur",
  H86="Umrala", "Vallabhipur",
  H86="Shihor", "Shihor",
  H86="Ghogha", "Bhavnagar",
  H86="Bhavnagar", "Bhavnagar"
)</f>
        <v>#N/A</v>
      </c>
      <c r="J86" s="5" t="s">
        <v>256</v>
      </c>
      <c r="K86" s="5"/>
      <c r="M86" s="5"/>
      <c r="Q86" s="7">
        <f t="shared" si="13"/>
        <v>120</v>
      </c>
      <c r="S86" s="33" t="s">
        <v>233</v>
      </c>
      <c r="U86" s="10"/>
      <c r="V86" s="10" t="str">
        <f t="shared" si="14"/>
        <v>Equals</v>
      </c>
      <c r="W86" s="11" t="str" cm="1">
        <f t="array" ref="W86">NumberToWords(T86)</f>
        <v>Zero Rupees Only</v>
      </c>
      <c r="X86" s="10" t="str">
        <f t="shared" si="15"/>
        <v>Division</v>
      </c>
      <c r="Z86" s="9">
        <f t="shared" si="16"/>
        <v>0</v>
      </c>
      <c r="AB86" s="8">
        <f>_xlfn.XLOOKUP(AA86, 'Agency List'!A$2:A$145, 'Agency List'!B$2:B$145, "Not Found")</f>
        <v>0</v>
      </c>
      <c r="AC86" s="8">
        <f>_xlfn.XLOOKUP(AA86, 'Agency List'!A$2:A$145, 'Agency List'!C$2:C$145, "Not Found")</f>
        <v>0</v>
      </c>
      <c r="AD86" s="8">
        <f>_xlfn.XLOOKUP(AA86, 'Agency List'!A$2:A$145, 'Agency List'!D$2:D$145, "Not Found")</f>
        <v>0</v>
      </c>
      <c r="AE86" s="7"/>
      <c r="AF86" s="5"/>
      <c r="AG86" s="5" t="str">
        <f t="shared" si="17"/>
        <v>Bandhkam</v>
      </c>
      <c r="AH86" s="5"/>
      <c r="AI86" s="8"/>
      <c r="AJ86" s="8"/>
      <c r="AL86" s="16"/>
      <c r="AM86" s="12">
        <f t="shared" si="18"/>
        <v>0</v>
      </c>
      <c r="AN86" s="7">
        <f t="shared" si="19"/>
        <v>450</v>
      </c>
      <c r="AO86" s="12">
        <f t="shared" si="20"/>
        <v>0</v>
      </c>
      <c r="AP86" s="12">
        <f t="shared" si="21"/>
        <v>0</v>
      </c>
      <c r="AQ86" s="15">
        <f t="shared" si="22"/>
        <v>35</v>
      </c>
      <c r="AR86" s="7">
        <f t="shared" si="23"/>
        <v>390</v>
      </c>
      <c r="AS86" s="5"/>
      <c r="AU86" s="5"/>
      <c r="AV86" s="17"/>
      <c r="AW86" s="17"/>
      <c r="AX86" s="5"/>
      <c r="AY86" s="5"/>
      <c r="AZ86" s="13"/>
      <c r="BA86" s="12"/>
      <c r="BB86" s="7"/>
      <c r="BC86" s="14"/>
      <c r="BD86" s="14"/>
      <c r="BF86" s="12"/>
      <c r="BG86" s="14"/>
      <c r="BH86" s="19"/>
      <c r="BI86" s="5"/>
      <c r="BM86" s="18"/>
      <c r="BN86" s="18"/>
      <c r="BO86" s="18"/>
      <c r="BP86" s="18"/>
      <c r="BQ86" s="5"/>
      <c r="BR86" s="18"/>
      <c r="BS86" s="18"/>
      <c r="BT86" s="35">
        <f t="shared" si="24"/>
        <v>0</v>
      </c>
    </row>
    <row r="87" spans="1:72" x14ac:dyDescent="0.35">
      <c r="A87" s="5">
        <v>86</v>
      </c>
      <c r="B87" s="5"/>
      <c r="C87" s="5" t="s">
        <v>78</v>
      </c>
      <c r="D87" s="5">
        <v>4</v>
      </c>
      <c r="E87" s="5">
        <v>25</v>
      </c>
      <c r="F87" s="8"/>
      <c r="G87" s="8"/>
      <c r="H87" s="5"/>
      <c r="I87" s="5" t="e" cm="1">
        <f t="array" ref="I87">_xlfn.IFS(
  H87="Mahuva", "Mahuva",
  H87="Jesar", "Mahuva",
  H87="Palitana", "Palitana",
  H87="Gariyadhar", "Palitana",
  H87="Talaja", "Talaja",
  H87="Vallabhipur", "Vallabhipur",
  H87="Umrala", "Vallabhipur",
  H87="Shihor", "Shihor",
  H87="Ghogha", "Bhavnagar",
  H87="Bhavnagar", "Bhavnagar"
)</f>
        <v>#N/A</v>
      </c>
      <c r="J87" s="5" t="s">
        <v>256</v>
      </c>
      <c r="K87" s="5"/>
      <c r="M87" s="5"/>
      <c r="Q87" s="7">
        <f t="shared" si="13"/>
        <v>120</v>
      </c>
      <c r="S87" s="33" t="s">
        <v>233</v>
      </c>
      <c r="U87" s="10"/>
      <c r="V87" s="10" t="str">
        <f t="shared" si="14"/>
        <v>Equals</v>
      </c>
      <c r="W87" s="11" t="str" cm="1">
        <f t="array" ref="W87">NumberToWords(T87)</f>
        <v>Zero Rupees Only</v>
      </c>
      <c r="X87" s="10" t="str">
        <f t="shared" si="15"/>
        <v>Division</v>
      </c>
      <c r="Z87" s="9">
        <f t="shared" si="16"/>
        <v>0</v>
      </c>
      <c r="AB87" s="8">
        <f>_xlfn.XLOOKUP(AA87, 'Agency List'!A$2:A$145, 'Agency List'!B$2:B$145, "Not Found")</f>
        <v>0</v>
      </c>
      <c r="AC87" s="8">
        <f>_xlfn.XLOOKUP(AA87, 'Agency List'!A$2:A$145, 'Agency List'!C$2:C$145, "Not Found")</f>
        <v>0</v>
      </c>
      <c r="AD87" s="8">
        <f>_xlfn.XLOOKUP(AA87, 'Agency List'!A$2:A$145, 'Agency List'!D$2:D$145, "Not Found")</f>
        <v>0</v>
      </c>
      <c r="AE87" s="7"/>
      <c r="AF87" s="5"/>
      <c r="AG87" s="5" t="str">
        <f t="shared" si="17"/>
        <v>Bandhkam</v>
      </c>
      <c r="AH87" s="5"/>
      <c r="AI87" s="8"/>
      <c r="AJ87" s="8"/>
      <c r="AL87" s="16"/>
      <c r="AM87" s="12">
        <f t="shared" si="18"/>
        <v>0</v>
      </c>
      <c r="AN87" s="7">
        <f t="shared" si="19"/>
        <v>450</v>
      </c>
      <c r="AO87" s="12">
        <f t="shared" si="20"/>
        <v>0</v>
      </c>
      <c r="AP87" s="12">
        <f t="shared" si="21"/>
        <v>0</v>
      </c>
      <c r="AQ87" s="15">
        <f t="shared" si="22"/>
        <v>35</v>
      </c>
      <c r="AR87" s="7">
        <f t="shared" si="23"/>
        <v>390</v>
      </c>
      <c r="AS87" s="5"/>
      <c r="AU87" s="5"/>
      <c r="AV87" s="17"/>
      <c r="AW87" s="17"/>
      <c r="AX87" s="5"/>
      <c r="AY87" s="5"/>
      <c r="AZ87" s="13"/>
      <c r="BA87" s="12"/>
      <c r="BB87" s="7"/>
      <c r="BC87" s="14"/>
      <c r="BD87" s="14"/>
      <c r="BF87" s="12"/>
      <c r="BG87" s="14"/>
      <c r="BH87" s="19"/>
      <c r="BI87" s="5"/>
      <c r="BM87" s="18"/>
      <c r="BN87" s="18"/>
      <c r="BO87" s="18"/>
      <c r="BP87" s="18"/>
      <c r="BQ87" s="5"/>
      <c r="BR87" s="18"/>
      <c r="BS87" s="18"/>
      <c r="BT87" s="35">
        <f t="shared" si="24"/>
        <v>0</v>
      </c>
    </row>
    <row r="88" spans="1:72" x14ac:dyDescent="0.35">
      <c r="A88" s="5">
        <v>87</v>
      </c>
      <c r="B88" s="5"/>
      <c r="C88" s="5" t="s">
        <v>78</v>
      </c>
      <c r="D88" s="5">
        <v>4</v>
      </c>
      <c r="E88" s="5">
        <v>26</v>
      </c>
      <c r="F88" s="8"/>
      <c r="G88" s="8"/>
      <c r="H88" s="5"/>
      <c r="I88" s="5" t="e" cm="1">
        <f t="array" ref="I88">_xlfn.IFS(
  H88="Mahuva", "Mahuva",
  H88="Jesar", "Mahuva",
  H88="Palitana", "Palitana",
  H88="Gariyadhar", "Palitana",
  H88="Talaja", "Talaja",
  H88="Vallabhipur", "Vallabhipur",
  H88="Umrala", "Vallabhipur",
  H88="Shihor", "Shihor",
  H88="Ghogha", "Bhavnagar",
  H88="Bhavnagar", "Bhavnagar"
)</f>
        <v>#N/A</v>
      </c>
      <c r="J88" s="5" t="s">
        <v>256</v>
      </c>
      <c r="K88" s="5"/>
      <c r="M88" s="5"/>
      <c r="Q88" s="7">
        <f t="shared" si="13"/>
        <v>120</v>
      </c>
      <c r="S88" s="33" t="s">
        <v>233</v>
      </c>
      <c r="U88" s="10"/>
      <c r="V88" s="10" t="str">
        <f t="shared" si="14"/>
        <v>Equals</v>
      </c>
      <c r="W88" s="11" t="str" cm="1">
        <f t="array" ref="W88">NumberToWords(T88)</f>
        <v>Zero Rupees Only</v>
      </c>
      <c r="X88" s="10" t="str">
        <f t="shared" si="15"/>
        <v>Division</v>
      </c>
      <c r="Z88" s="9">
        <f t="shared" si="16"/>
        <v>0</v>
      </c>
      <c r="AB88" s="8">
        <f>_xlfn.XLOOKUP(AA88, 'Agency List'!A$2:A$145, 'Agency List'!B$2:B$145, "Not Found")</f>
        <v>0</v>
      </c>
      <c r="AC88" s="8">
        <f>_xlfn.XLOOKUP(AA88, 'Agency List'!A$2:A$145, 'Agency List'!C$2:C$145, "Not Found")</f>
        <v>0</v>
      </c>
      <c r="AD88" s="8">
        <f>_xlfn.XLOOKUP(AA88, 'Agency List'!A$2:A$145, 'Agency List'!D$2:D$145, "Not Found")</f>
        <v>0</v>
      </c>
      <c r="AE88" s="7"/>
      <c r="AF88" s="5"/>
      <c r="AG88" s="5" t="str">
        <f t="shared" si="17"/>
        <v>Bandhkam</v>
      </c>
      <c r="AH88" s="5"/>
      <c r="AI88" s="8"/>
      <c r="AJ88" s="8"/>
      <c r="AL88" s="16"/>
      <c r="AM88" s="12">
        <f t="shared" si="18"/>
        <v>0</v>
      </c>
      <c r="AN88" s="7">
        <f t="shared" si="19"/>
        <v>450</v>
      </c>
      <c r="AO88" s="12">
        <f t="shared" si="20"/>
        <v>0</v>
      </c>
      <c r="AP88" s="12">
        <f t="shared" si="21"/>
        <v>0</v>
      </c>
      <c r="AQ88" s="15">
        <f t="shared" si="22"/>
        <v>35</v>
      </c>
      <c r="AR88" s="7">
        <f t="shared" si="23"/>
        <v>390</v>
      </c>
      <c r="AS88" s="5"/>
      <c r="AU88" s="5"/>
      <c r="AV88" s="17"/>
      <c r="AW88" s="17"/>
      <c r="AX88" s="5"/>
      <c r="AY88" s="5"/>
      <c r="AZ88" s="13"/>
      <c r="BA88" s="12"/>
      <c r="BB88" s="7"/>
      <c r="BC88" s="14"/>
      <c r="BD88" s="14"/>
      <c r="BF88" s="12"/>
      <c r="BG88" s="14"/>
      <c r="BH88" s="19"/>
      <c r="BI88" s="5"/>
      <c r="BM88" s="18"/>
      <c r="BN88" s="18"/>
      <c r="BO88" s="18"/>
      <c r="BP88" s="18"/>
      <c r="BQ88" s="5"/>
      <c r="BR88" s="18"/>
      <c r="BS88" s="18"/>
      <c r="BT88" s="35">
        <f t="shared" si="24"/>
        <v>0</v>
      </c>
    </row>
    <row r="89" spans="1:72" x14ac:dyDescent="0.35">
      <c r="A89" s="5">
        <v>88</v>
      </c>
      <c r="B89" s="5"/>
      <c r="C89" s="5" t="s">
        <v>78</v>
      </c>
      <c r="D89" s="5">
        <v>4</v>
      </c>
      <c r="E89" s="5">
        <v>27</v>
      </c>
      <c r="F89" s="8"/>
      <c r="G89" s="8"/>
      <c r="H89" s="5"/>
      <c r="I89" s="5" t="e" cm="1">
        <f t="array" ref="I89">_xlfn.IFS(
  H89="Mahuva", "Mahuva",
  H89="Jesar", "Mahuva",
  H89="Palitana", "Palitana",
  H89="Gariyadhar", "Palitana",
  H89="Talaja", "Talaja",
  H89="Vallabhipur", "Vallabhipur",
  H89="Umrala", "Vallabhipur",
  H89="Shihor", "Shihor",
  H89="Ghogha", "Bhavnagar",
  H89="Bhavnagar", "Bhavnagar"
)</f>
        <v>#N/A</v>
      </c>
      <c r="J89" s="5" t="s">
        <v>256</v>
      </c>
      <c r="K89" s="5"/>
      <c r="M89" s="5"/>
      <c r="Q89" s="7">
        <f t="shared" si="13"/>
        <v>120</v>
      </c>
      <c r="S89" s="33" t="s">
        <v>233</v>
      </c>
      <c r="U89" s="10"/>
      <c r="V89" s="10" t="str">
        <f t="shared" si="14"/>
        <v>Equals</v>
      </c>
      <c r="W89" s="11" t="str" cm="1">
        <f t="array" ref="W89">NumberToWords(T89)</f>
        <v>Zero Rupees Only</v>
      </c>
      <c r="X89" s="10" t="str">
        <f t="shared" si="15"/>
        <v>Division</v>
      </c>
      <c r="Z89" s="9">
        <f t="shared" si="16"/>
        <v>0</v>
      </c>
      <c r="AB89" s="8">
        <f>_xlfn.XLOOKUP(AA89, 'Agency List'!A$2:A$145, 'Agency List'!B$2:B$145, "Not Found")</f>
        <v>0</v>
      </c>
      <c r="AC89" s="8">
        <f>_xlfn.XLOOKUP(AA89, 'Agency List'!A$2:A$145, 'Agency List'!C$2:C$145, "Not Found")</f>
        <v>0</v>
      </c>
      <c r="AD89" s="8">
        <f>_xlfn.XLOOKUP(AA89, 'Agency List'!A$2:A$145, 'Agency List'!D$2:D$145, "Not Found")</f>
        <v>0</v>
      </c>
      <c r="AE89" s="7"/>
      <c r="AF89" s="5"/>
      <c r="AG89" s="5" t="str">
        <f t="shared" si="17"/>
        <v>Bandhkam</v>
      </c>
      <c r="AH89" s="5"/>
      <c r="AI89" s="8"/>
      <c r="AJ89" s="8"/>
      <c r="AL89" s="16"/>
      <c r="AM89" s="12">
        <f t="shared" si="18"/>
        <v>0</v>
      </c>
      <c r="AN89" s="7">
        <f t="shared" si="19"/>
        <v>450</v>
      </c>
      <c r="AO89" s="12">
        <f t="shared" si="20"/>
        <v>0</v>
      </c>
      <c r="AP89" s="12">
        <f t="shared" si="21"/>
        <v>0</v>
      </c>
      <c r="AQ89" s="15">
        <f t="shared" si="22"/>
        <v>35</v>
      </c>
      <c r="AR89" s="7">
        <f t="shared" si="23"/>
        <v>390</v>
      </c>
      <c r="AS89" s="5"/>
      <c r="AU89" s="5"/>
      <c r="AV89" s="17"/>
      <c r="AW89" s="17"/>
      <c r="AX89" s="5"/>
      <c r="AY89" s="5"/>
      <c r="AZ89" s="13"/>
      <c r="BA89" s="12"/>
      <c r="BB89" s="7"/>
      <c r="BC89" s="14"/>
      <c r="BD89" s="14"/>
      <c r="BF89" s="12"/>
      <c r="BG89" s="14"/>
      <c r="BH89" s="19"/>
      <c r="BI89" s="5"/>
      <c r="BM89" s="18"/>
      <c r="BN89" s="18"/>
      <c r="BO89" s="18"/>
      <c r="BP89" s="18"/>
      <c r="BQ89" s="5"/>
      <c r="BR89" s="18"/>
      <c r="BS89" s="18"/>
      <c r="BT89" s="35">
        <f t="shared" si="24"/>
        <v>0</v>
      </c>
    </row>
    <row r="90" spans="1:72" ht="43.5" x14ac:dyDescent="0.35">
      <c r="A90" s="5">
        <v>89</v>
      </c>
      <c r="B90" s="5"/>
      <c r="C90" s="5" t="s">
        <v>78</v>
      </c>
      <c r="D90" s="5">
        <v>4</v>
      </c>
      <c r="E90" s="5">
        <v>28</v>
      </c>
      <c r="F90" s="8" t="s">
        <v>293</v>
      </c>
      <c r="G90" s="8"/>
      <c r="H90" s="5" t="s">
        <v>12</v>
      </c>
      <c r="I90" s="5" t="str" cm="1">
        <f t="array" ref="I90">_xlfn.IFS(
  H90="Mahuva", "Mahuva",
  H90="Jesar", "Mahuva",
  H90="Palitana", "Palitana",
  H90="Gariyadhar", "Palitana",
  H90="Talaja", "Talaja",
  H90="Vallabhipur", "Vallabhipur",
  H90="Umrala", "Vallabhipur",
  H90="Shihor", "Shihor",
  H90="Ghogha", "Bhavnagar",
  H90="Bhavnagar", "Bhavnagar"
)</f>
        <v>Mahuva</v>
      </c>
      <c r="J90" s="5" t="s">
        <v>256</v>
      </c>
      <c r="K90" s="5" t="s">
        <v>418</v>
      </c>
      <c r="L90" s="5">
        <v>187904</v>
      </c>
      <c r="M90" s="5">
        <v>1</v>
      </c>
      <c r="N90" s="7">
        <v>45795</v>
      </c>
      <c r="O90" s="7">
        <v>45803</v>
      </c>
      <c r="P90" s="7">
        <v>45804</v>
      </c>
      <c r="Q90" s="7">
        <f t="shared" si="13"/>
        <v>45923</v>
      </c>
      <c r="R90" s="9">
        <v>2079935.08</v>
      </c>
      <c r="S90" s="33"/>
      <c r="T90" s="9">
        <v>1967618.59</v>
      </c>
      <c r="U90" s="10">
        <v>-5.4</v>
      </c>
      <c r="V90" s="10" t="str">
        <f t="shared" si="14"/>
        <v>Below</v>
      </c>
      <c r="W90" s="11" t="str" cm="1">
        <f t="array" ref="W90">NumberToWords(T90)</f>
        <v>Nineteen Lakh Sixty Seven Thousand Six Hundred Eighteen Rupees and Fifty Nine Paise Only</v>
      </c>
      <c r="X90" s="10" t="str">
        <f t="shared" si="15"/>
        <v>Division</v>
      </c>
      <c r="Z90" s="9">
        <f t="shared" si="16"/>
        <v>1967618.59</v>
      </c>
      <c r="AA90" s="5" t="s">
        <v>294</v>
      </c>
      <c r="AB90" s="8">
        <f>_xlfn.XLOOKUP(AA90, 'Agency List'!A$2:A$145, 'Agency List'!B$2:B$145, "Not Found")</f>
        <v>0</v>
      </c>
      <c r="AC90" s="8" t="str">
        <f>_xlfn.XLOOKUP(AA90, 'Agency List'!A$2:A$145, 'Agency List'!C$2:C$145, "Not Found")</f>
        <v>314, Rise On Plaza, Sarthana Jakatnaka, Surat - 395006</v>
      </c>
      <c r="AD90" s="8">
        <f>_xlfn.XLOOKUP(AA90, 'Agency List'!A$2:A$145, 'Agency List'!D$2:D$145, "Not Found")</f>
        <v>9099381567</v>
      </c>
      <c r="AE90" s="7"/>
      <c r="AF90" s="5" t="s">
        <v>357</v>
      </c>
      <c r="AG90" s="5" t="str">
        <f t="shared" si="17"/>
        <v>Bandhkam</v>
      </c>
      <c r="AH90" s="5"/>
      <c r="AI90" s="8"/>
      <c r="AJ90" s="8"/>
      <c r="AL90" s="16">
        <v>4</v>
      </c>
      <c r="AM90" s="12">
        <f t="shared" si="18"/>
        <v>99000</v>
      </c>
      <c r="AN90" s="7">
        <f t="shared" si="19"/>
        <v>46549</v>
      </c>
      <c r="AO90" s="12">
        <f t="shared" si="20"/>
        <v>4900</v>
      </c>
      <c r="AP90" s="12">
        <f t="shared" si="21"/>
        <v>0</v>
      </c>
      <c r="AQ90" s="15">
        <f t="shared" si="22"/>
        <v>46134</v>
      </c>
      <c r="AR90" s="7">
        <f t="shared" si="23"/>
        <v>46489</v>
      </c>
      <c r="AS90" s="5">
        <v>911</v>
      </c>
      <c r="AT90" s="7">
        <v>45835</v>
      </c>
      <c r="AU90" s="5" t="s">
        <v>78</v>
      </c>
      <c r="AV90" s="17">
        <v>206</v>
      </c>
      <c r="AW90" s="37">
        <v>45974</v>
      </c>
      <c r="AX90" s="5" t="s">
        <v>355</v>
      </c>
      <c r="AY90" s="5" t="s">
        <v>369</v>
      </c>
      <c r="AZ90" s="13">
        <v>44496602672</v>
      </c>
      <c r="BA90" s="12">
        <v>99000</v>
      </c>
      <c r="BB90" s="7">
        <v>45924</v>
      </c>
      <c r="BC90" s="14"/>
      <c r="BD90" s="14"/>
      <c r="BF90" s="12"/>
      <c r="BG90" s="14"/>
      <c r="BH90" s="19">
        <v>45979</v>
      </c>
      <c r="BI90" s="5">
        <v>1534</v>
      </c>
      <c r="BJ90" s="19">
        <v>45974</v>
      </c>
      <c r="BM90" s="18"/>
      <c r="BN90" s="18"/>
      <c r="BO90" s="18"/>
      <c r="BP90" s="18"/>
      <c r="BQ90" s="5"/>
      <c r="BR90" s="18"/>
      <c r="BS90" s="18"/>
      <c r="BT90" s="35">
        <f t="shared" si="24"/>
        <v>46099</v>
      </c>
    </row>
    <row r="91" spans="1:72" ht="43.5" x14ac:dyDescent="0.35">
      <c r="A91" s="5">
        <v>90</v>
      </c>
      <c r="B91" s="5"/>
      <c r="C91" s="5" t="s">
        <v>78</v>
      </c>
      <c r="D91" s="5">
        <v>4</v>
      </c>
      <c r="E91" s="5">
        <v>29</v>
      </c>
      <c r="F91" s="8" t="s">
        <v>295</v>
      </c>
      <c r="G91" s="8"/>
      <c r="H91" s="5" t="s">
        <v>12</v>
      </c>
      <c r="I91" s="5" t="str" cm="1">
        <f t="array" ref="I91">_xlfn.IFS(
  H91="Mahuva", "Mahuva",
  H91="Jesar", "Mahuva",
  H91="Palitana", "Palitana",
  H91="Gariyadhar", "Palitana",
  H91="Talaja", "Talaja",
  H91="Vallabhipur", "Vallabhipur",
  H91="Umrala", "Vallabhipur",
  H91="Shihor", "Shihor",
  H91="Ghogha", "Bhavnagar",
  H91="Bhavnagar", "Bhavnagar"
)</f>
        <v>Mahuva</v>
      </c>
      <c r="J91" s="5" t="s">
        <v>256</v>
      </c>
      <c r="K91" s="5" t="s">
        <v>418</v>
      </c>
      <c r="L91" s="5">
        <v>187905</v>
      </c>
      <c r="M91" s="5">
        <v>1</v>
      </c>
      <c r="Q91" s="7">
        <f t="shared" si="13"/>
        <v>120</v>
      </c>
      <c r="R91" s="9">
        <v>2079935.08</v>
      </c>
      <c r="S91" s="33"/>
      <c r="T91" s="9">
        <v>1930179.75</v>
      </c>
      <c r="U91" s="10">
        <v>-7.2</v>
      </c>
      <c r="V91" s="10" t="str">
        <f t="shared" si="14"/>
        <v>Below</v>
      </c>
      <c r="W91" s="11" t="str" cm="1">
        <f t="array" ref="W91">NumberToWords(T91)</f>
        <v>Nineteen Lakh Thirty Thousand One Hundred Seventy Nine Rupees and Seventy Five Paise Only</v>
      </c>
      <c r="X91" s="10" t="str">
        <f t="shared" si="15"/>
        <v>Division</v>
      </c>
      <c r="Z91" s="9">
        <f t="shared" si="16"/>
        <v>1930179.75</v>
      </c>
      <c r="AA91" s="5" t="s">
        <v>294</v>
      </c>
      <c r="AB91" s="8">
        <f>_xlfn.XLOOKUP(AA91, 'Agency List'!A$2:A$145, 'Agency List'!B$2:B$145, "Not Found")</f>
        <v>0</v>
      </c>
      <c r="AC91" s="8" t="str">
        <f>_xlfn.XLOOKUP(AA91, 'Agency List'!A$2:A$145, 'Agency List'!C$2:C$145, "Not Found")</f>
        <v>314, Rise On Plaza, Sarthana Jakatnaka, Surat - 395006</v>
      </c>
      <c r="AD91" s="8">
        <f>_xlfn.XLOOKUP(AA91, 'Agency List'!A$2:A$145, 'Agency List'!D$2:D$145, "Not Found")</f>
        <v>9099381567</v>
      </c>
      <c r="AE91" s="7"/>
      <c r="AF91" s="5" t="s">
        <v>357</v>
      </c>
      <c r="AG91" s="5" t="str">
        <f t="shared" si="17"/>
        <v>Bandhkam</v>
      </c>
      <c r="AH91" s="5"/>
      <c r="AI91" s="8"/>
      <c r="AJ91" s="8"/>
      <c r="AL91" s="16">
        <v>4</v>
      </c>
      <c r="AM91" s="12">
        <f t="shared" si="18"/>
        <v>97000</v>
      </c>
      <c r="AN91" s="7">
        <f t="shared" si="19"/>
        <v>46549</v>
      </c>
      <c r="AO91" s="12">
        <f t="shared" si="20"/>
        <v>4800</v>
      </c>
      <c r="AP91" s="12">
        <f t="shared" si="21"/>
        <v>0</v>
      </c>
      <c r="AQ91" s="15">
        <f t="shared" si="22"/>
        <v>46134</v>
      </c>
      <c r="AR91" s="7">
        <f t="shared" si="23"/>
        <v>46489</v>
      </c>
      <c r="AS91" s="5">
        <v>912</v>
      </c>
      <c r="AT91" s="7">
        <v>45835</v>
      </c>
      <c r="AU91" s="5" t="s">
        <v>78</v>
      </c>
      <c r="AV91" s="17">
        <v>207</v>
      </c>
      <c r="AW91" s="37">
        <v>45974</v>
      </c>
      <c r="AX91" s="5" t="s">
        <v>355</v>
      </c>
      <c r="AY91" s="5" t="s">
        <v>369</v>
      </c>
      <c r="AZ91" s="13">
        <v>44496676203</v>
      </c>
      <c r="BA91" s="12">
        <v>97000</v>
      </c>
      <c r="BB91" s="7">
        <v>45924</v>
      </c>
      <c r="BC91" s="14"/>
      <c r="BD91" s="14"/>
      <c r="BF91" s="12"/>
      <c r="BG91" s="14"/>
      <c r="BH91" s="19">
        <v>45979</v>
      </c>
      <c r="BI91" s="5">
        <v>1535</v>
      </c>
      <c r="BJ91" s="19">
        <v>45974</v>
      </c>
      <c r="BM91" s="18"/>
      <c r="BN91" s="18"/>
      <c r="BO91" s="18"/>
      <c r="BP91" s="18"/>
      <c r="BQ91" s="5"/>
      <c r="BR91" s="18"/>
      <c r="BS91" s="18"/>
      <c r="BT91" s="35">
        <f t="shared" si="24"/>
        <v>46099</v>
      </c>
    </row>
    <row r="92" spans="1:72" x14ac:dyDescent="0.35">
      <c r="A92" s="5">
        <v>91</v>
      </c>
      <c r="B92" s="5"/>
      <c r="C92" s="5" t="s">
        <v>78</v>
      </c>
      <c r="D92" s="5">
        <v>4</v>
      </c>
      <c r="E92" s="5">
        <v>30</v>
      </c>
      <c r="F92" s="8"/>
      <c r="G92" s="8"/>
      <c r="H92" s="5"/>
      <c r="I92" s="5" t="e" cm="1">
        <f t="array" ref="I92">_xlfn.IFS(
  H92="Mahuva", "Mahuva",
  H92="Jesar", "Mahuva",
  H92="Palitana", "Palitana",
  H92="Gariyadhar", "Palitana",
  H92="Talaja", "Talaja",
  H92="Vallabhipur", "Vallabhipur",
  H92="Umrala", "Vallabhipur",
  H92="Shihor", "Shihor",
  H92="Ghogha", "Bhavnagar",
  H92="Bhavnagar", "Bhavnagar"
)</f>
        <v>#N/A</v>
      </c>
      <c r="J92" s="5" t="s">
        <v>256</v>
      </c>
      <c r="K92" s="5"/>
      <c r="M92" s="5"/>
      <c r="Q92" s="7">
        <f t="shared" si="13"/>
        <v>120</v>
      </c>
      <c r="S92" s="33" t="s">
        <v>233</v>
      </c>
      <c r="U92" s="10"/>
      <c r="V92" s="10" t="str">
        <f t="shared" si="14"/>
        <v>Equals</v>
      </c>
      <c r="W92" s="11" t="str" cm="1">
        <f t="array" ref="W92">NumberToWords(T92)</f>
        <v>Zero Rupees Only</v>
      </c>
      <c r="X92" s="10" t="str">
        <f t="shared" si="15"/>
        <v>Division</v>
      </c>
      <c r="Z92" s="9">
        <f t="shared" si="16"/>
        <v>0</v>
      </c>
      <c r="AB92" s="8">
        <f>_xlfn.XLOOKUP(AA92, 'Agency List'!A$2:A$145, 'Agency List'!B$2:B$145, "Not Found")</f>
        <v>0</v>
      </c>
      <c r="AC92" s="8">
        <f>_xlfn.XLOOKUP(AA92, 'Agency List'!A$2:A$145, 'Agency List'!C$2:C$145, "Not Found")</f>
        <v>0</v>
      </c>
      <c r="AD92" s="8">
        <f>_xlfn.XLOOKUP(AA92, 'Agency List'!A$2:A$145, 'Agency List'!D$2:D$145, "Not Found")</f>
        <v>0</v>
      </c>
      <c r="AE92" s="7"/>
      <c r="AF92" s="5"/>
      <c r="AG92" s="5" t="str">
        <f t="shared" si="17"/>
        <v>Bandhkam</v>
      </c>
      <c r="AH92" s="5"/>
      <c r="AI92" s="8"/>
      <c r="AJ92" s="8"/>
      <c r="AL92" s="16"/>
      <c r="AM92" s="12">
        <f t="shared" si="18"/>
        <v>0</v>
      </c>
      <c r="AN92" s="7">
        <f t="shared" si="19"/>
        <v>450</v>
      </c>
      <c r="AO92" s="12">
        <f t="shared" si="20"/>
        <v>0</v>
      </c>
      <c r="AP92" s="12">
        <f t="shared" si="21"/>
        <v>0</v>
      </c>
      <c r="AQ92" s="15">
        <f t="shared" si="22"/>
        <v>35</v>
      </c>
      <c r="AR92" s="7">
        <f t="shared" si="23"/>
        <v>390</v>
      </c>
      <c r="AS92" s="5"/>
      <c r="AU92" s="5"/>
      <c r="AV92" s="17"/>
      <c r="AW92" s="17"/>
      <c r="AX92" s="5"/>
      <c r="AY92" s="5"/>
      <c r="AZ92" s="13"/>
      <c r="BA92" s="12"/>
      <c r="BB92" s="7"/>
      <c r="BC92" s="14"/>
      <c r="BD92" s="14"/>
      <c r="BF92" s="12"/>
      <c r="BG92" s="14"/>
      <c r="BH92" s="19"/>
      <c r="BI92" s="5"/>
      <c r="BM92" s="18"/>
      <c r="BN92" s="18"/>
      <c r="BO92" s="18"/>
      <c r="BP92" s="18"/>
      <c r="BQ92" s="5"/>
      <c r="BR92" s="18"/>
      <c r="BS92" s="18"/>
      <c r="BT92" s="35">
        <f t="shared" si="24"/>
        <v>0</v>
      </c>
    </row>
    <row r="93" spans="1:72" x14ac:dyDescent="0.35">
      <c r="A93" s="5">
        <v>92</v>
      </c>
      <c r="B93" s="5"/>
      <c r="C93" s="5" t="s">
        <v>78</v>
      </c>
      <c r="D93" s="5">
        <v>4</v>
      </c>
      <c r="E93" s="5">
        <v>31</v>
      </c>
      <c r="F93" s="8"/>
      <c r="G93" s="8"/>
      <c r="H93" s="5"/>
      <c r="I93" s="5" t="e" cm="1">
        <f t="array" ref="I93">_xlfn.IFS(
  H93="Mahuva", "Mahuva",
  H93="Jesar", "Mahuva",
  H93="Palitana", "Palitana",
  H93="Gariyadhar", "Palitana",
  H93="Talaja", "Talaja",
  H93="Vallabhipur", "Vallabhipur",
  H93="Umrala", "Vallabhipur",
  H93="Shihor", "Shihor",
  H93="Ghogha", "Bhavnagar",
  H93="Bhavnagar", "Bhavnagar"
)</f>
        <v>#N/A</v>
      </c>
      <c r="J93" s="5" t="s">
        <v>256</v>
      </c>
      <c r="K93" s="5"/>
      <c r="M93" s="5"/>
      <c r="Q93" s="7">
        <f t="shared" si="13"/>
        <v>120</v>
      </c>
      <c r="S93" s="33" t="s">
        <v>233</v>
      </c>
      <c r="U93" s="10"/>
      <c r="V93" s="10" t="str">
        <f t="shared" si="14"/>
        <v>Equals</v>
      </c>
      <c r="W93" s="11" t="str" cm="1">
        <f t="array" ref="W93">NumberToWords(T93)</f>
        <v>Zero Rupees Only</v>
      </c>
      <c r="X93" s="10" t="str">
        <f t="shared" si="15"/>
        <v>Division</v>
      </c>
      <c r="Z93" s="9">
        <f t="shared" si="16"/>
        <v>0</v>
      </c>
      <c r="AB93" s="8">
        <f>_xlfn.XLOOKUP(AA93, 'Agency List'!A$2:A$145, 'Agency List'!B$2:B$145, "Not Found")</f>
        <v>0</v>
      </c>
      <c r="AC93" s="8">
        <f>_xlfn.XLOOKUP(AA93, 'Agency List'!A$2:A$145, 'Agency List'!C$2:C$145, "Not Found")</f>
        <v>0</v>
      </c>
      <c r="AD93" s="8">
        <f>_xlfn.XLOOKUP(AA93, 'Agency List'!A$2:A$145, 'Agency List'!D$2:D$145, "Not Found")</f>
        <v>0</v>
      </c>
      <c r="AE93" s="7"/>
      <c r="AF93" s="5"/>
      <c r="AG93" s="5" t="str">
        <f t="shared" si="17"/>
        <v>Bandhkam</v>
      </c>
      <c r="AH93" s="5"/>
      <c r="AI93" s="8"/>
      <c r="AJ93" s="8"/>
      <c r="AL93" s="16"/>
      <c r="AM93" s="12">
        <f t="shared" si="18"/>
        <v>0</v>
      </c>
      <c r="AN93" s="7">
        <f t="shared" si="19"/>
        <v>450</v>
      </c>
      <c r="AO93" s="12">
        <f t="shared" si="20"/>
        <v>0</v>
      </c>
      <c r="AP93" s="12">
        <f t="shared" si="21"/>
        <v>0</v>
      </c>
      <c r="AQ93" s="15">
        <f t="shared" si="22"/>
        <v>35</v>
      </c>
      <c r="AR93" s="7">
        <f t="shared" si="23"/>
        <v>390</v>
      </c>
      <c r="AS93" s="5"/>
      <c r="AU93" s="5"/>
      <c r="AV93" s="17"/>
      <c r="AW93" s="17"/>
      <c r="AX93" s="5"/>
      <c r="AY93" s="5"/>
      <c r="AZ93" s="13"/>
      <c r="BA93" s="12"/>
      <c r="BB93" s="7"/>
      <c r="BC93" s="14"/>
      <c r="BD93" s="14"/>
      <c r="BF93" s="12"/>
      <c r="BG93" s="14"/>
      <c r="BH93" s="19"/>
      <c r="BI93" s="5"/>
      <c r="BM93" s="18"/>
      <c r="BN93" s="18"/>
      <c r="BO93" s="18"/>
      <c r="BP93" s="18"/>
      <c r="BQ93" s="5"/>
      <c r="BR93" s="18"/>
      <c r="BS93" s="18"/>
      <c r="BT93" s="35">
        <f t="shared" si="24"/>
        <v>0</v>
      </c>
    </row>
    <row r="94" spans="1:72" x14ac:dyDescent="0.35">
      <c r="A94" s="5">
        <v>93</v>
      </c>
      <c r="B94" s="5"/>
      <c r="C94" s="5" t="s">
        <v>78</v>
      </c>
      <c r="D94" s="5">
        <v>4</v>
      </c>
      <c r="E94" s="5">
        <v>32</v>
      </c>
      <c r="F94" s="8"/>
      <c r="G94" s="8"/>
      <c r="H94" s="5"/>
      <c r="I94" s="5" t="e" cm="1">
        <f t="array" ref="I94">_xlfn.IFS(
  H94="Mahuva", "Mahuva",
  H94="Jesar", "Mahuva",
  H94="Palitana", "Palitana",
  H94="Gariyadhar", "Palitana",
  H94="Talaja", "Talaja",
  H94="Vallabhipur", "Vallabhipur",
  H94="Umrala", "Vallabhipur",
  H94="Shihor", "Shihor",
  H94="Ghogha", "Bhavnagar",
  H94="Bhavnagar", "Bhavnagar"
)</f>
        <v>#N/A</v>
      </c>
      <c r="J94" s="5" t="s">
        <v>256</v>
      </c>
      <c r="K94" s="5"/>
      <c r="M94" s="5"/>
      <c r="Q94" s="7">
        <f t="shared" si="13"/>
        <v>120</v>
      </c>
      <c r="S94" s="33" t="s">
        <v>233</v>
      </c>
      <c r="U94" s="10"/>
      <c r="V94" s="10" t="str">
        <f t="shared" si="14"/>
        <v>Equals</v>
      </c>
      <c r="W94" s="11" t="str" cm="1">
        <f t="array" ref="W94">NumberToWords(T94)</f>
        <v>Zero Rupees Only</v>
      </c>
      <c r="X94" s="10" t="str">
        <f t="shared" si="15"/>
        <v>Division</v>
      </c>
      <c r="Z94" s="9">
        <f t="shared" si="16"/>
        <v>0</v>
      </c>
      <c r="AB94" s="8">
        <f>_xlfn.XLOOKUP(AA94, 'Agency List'!A$2:A$145, 'Agency List'!B$2:B$145, "Not Found")</f>
        <v>0</v>
      </c>
      <c r="AC94" s="8">
        <f>_xlfn.XLOOKUP(AA94, 'Agency List'!A$2:A$145, 'Agency List'!C$2:C$145, "Not Found")</f>
        <v>0</v>
      </c>
      <c r="AD94" s="8">
        <f>_xlfn.XLOOKUP(AA94, 'Agency List'!A$2:A$145, 'Agency List'!D$2:D$145, "Not Found")</f>
        <v>0</v>
      </c>
      <c r="AE94" s="7"/>
      <c r="AF94" s="5"/>
      <c r="AG94" s="5" t="str">
        <f t="shared" si="17"/>
        <v>Bandhkam</v>
      </c>
      <c r="AH94" s="5"/>
      <c r="AI94" s="8"/>
      <c r="AJ94" s="8"/>
      <c r="AL94" s="16"/>
      <c r="AM94" s="12">
        <f t="shared" si="18"/>
        <v>0</v>
      </c>
      <c r="AN94" s="7">
        <f t="shared" si="19"/>
        <v>450</v>
      </c>
      <c r="AO94" s="12">
        <f t="shared" si="20"/>
        <v>0</v>
      </c>
      <c r="AP94" s="12">
        <f t="shared" si="21"/>
        <v>0</v>
      </c>
      <c r="AQ94" s="15">
        <f t="shared" si="22"/>
        <v>35</v>
      </c>
      <c r="AR94" s="7">
        <f t="shared" si="23"/>
        <v>390</v>
      </c>
      <c r="AS94" s="5"/>
      <c r="AU94" s="5"/>
      <c r="AV94" s="17"/>
      <c r="AW94" s="17"/>
      <c r="AX94" s="5"/>
      <c r="AY94" s="5"/>
      <c r="AZ94" s="13"/>
      <c r="BA94" s="12"/>
      <c r="BB94" s="7"/>
      <c r="BC94" s="14"/>
      <c r="BD94" s="14"/>
      <c r="BF94" s="12"/>
      <c r="BG94" s="14"/>
      <c r="BH94" s="19"/>
      <c r="BI94" s="5"/>
      <c r="BM94" s="18"/>
      <c r="BN94" s="18"/>
      <c r="BO94" s="18"/>
      <c r="BP94" s="18"/>
      <c r="BQ94" s="5"/>
      <c r="BR94" s="18"/>
      <c r="BS94" s="18"/>
      <c r="BT94" s="35">
        <f t="shared" si="24"/>
        <v>0</v>
      </c>
    </row>
    <row r="95" spans="1:72" ht="43.5" x14ac:dyDescent="0.35">
      <c r="A95" s="5">
        <v>94</v>
      </c>
      <c r="B95" s="5"/>
      <c r="C95" s="5" t="s">
        <v>78</v>
      </c>
      <c r="D95" s="5">
        <v>4</v>
      </c>
      <c r="E95" s="5">
        <v>33</v>
      </c>
      <c r="F95" s="8" t="s">
        <v>296</v>
      </c>
      <c r="G95" s="8"/>
      <c r="H95" s="5" t="s">
        <v>278</v>
      </c>
      <c r="I95" s="5" t="str" cm="1">
        <f t="array" ref="I95">_xlfn.IFS(
  H95="Mahuva", "Mahuva",
  H95="Jesar", "Mahuva",
  H95="Palitana", "Palitana",
  H95="Gariyadhar", "Palitana",
  H95="Talaja", "Talaja",
  H95="Vallabhipur", "Vallabhipur",
  H95="Umrala", "Vallabhipur",
  H95="Shihor", "Shihor",
  H95="Ghogha", "Bhavnagar",
  H95="Bhavnagar", "Bhavnagar"
)</f>
        <v>Mahuva</v>
      </c>
      <c r="J95" s="5" t="s">
        <v>256</v>
      </c>
      <c r="K95" s="5" t="s">
        <v>418</v>
      </c>
      <c r="L95" s="5">
        <v>187909</v>
      </c>
      <c r="M95" s="5">
        <v>1</v>
      </c>
      <c r="Q95" s="7">
        <f t="shared" si="13"/>
        <v>120</v>
      </c>
      <c r="R95" s="9">
        <v>2027056.59</v>
      </c>
      <c r="S95" s="33"/>
      <c r="T95" s="9">
        <v>1844418.79</v>
      </c>
      <c r="U95" s="10">
        <v>-9.01</v>
      </c>
      <c r="V95" s="10" t="str">
        <f t="shared" si="14"/>
        <v>Below</v>
      </c>
      <c r="W95" s="11" t="str" cm="1">
        <f t="array" ref="W95">NumberToWords(T95)</f>
        <v>Eighteen Lakh Forty Four Thousand Four Hundred Eighteen Rupees and Seventy Nine Paise Only</v>
      </c>
      <c r="X95" s="10" t="str">
        <f t="shared" si="15"/>
        <v>Division</v>
      </c>
      <c r="Z95" s="9">
        <f t="shared" si="16"/>
        <v>1844418.79</v>
      </c>
      <c r="AA95" s="5" t="s">
        <v>15</v>
      </c>
      <c r="AB95" s="8" t="str">
        <f>_xlfn.XLOOKUP(AA95, 'Agency List'!A$2:A$145, 'Agency List'!B$2:B$145, "Not Found")</f>
        <v>CHATURBHAI MOHANBHAI VAGHELA</v>
      </c>
      <c r="AC95" s="8" t="str">
        <f>_xlfn.XLOOKUP(AA95, 'Agency List'!A$2:A$145, 'Agency List'!C$2:C$145, "Not Found")</f>
        <v>MOTI PANIYALI, Via. Po. SHETRUNJI, Ta. PALITANA, Dist. BHAVNAGAR-364270</v>
      </c>
      <c r="AD95" s="8">
        <f>_xlfn.XLOOKUP(AA95, 'Agency List'!A$2:A$145, 'Agency List'!D$2:D$145, "Not Found")</f>
        <v>9925448120</v>
      </c>
      <c r="AE95" s="7"/>
      <c r="AF95" s="5"/>
      <c r="AG95" s="5" t="str">
        <f t="shared" si="17"/>
        <v>Bandhkam</v>
      </c>
      <c r="AH95" s="5"/>
      <c r="AI95" s="8"/>
      <c r="AJ95" s="8"/>
      <c r="AL95" s="16">
        <v>4</v>
      </c>
      <c r="AM95" s="12">
        <f t="shared" si="18"/>
        <v>93000</v>
      </c>
      <c r="AN95" s="7">
        <f t="shared" si="19"/>
        <v>46423</v>
      </c>
      <c r="AO95" s="12">
        <f t="shared" si="20"/>
        <v>4600</v>
      </c>
      <c r="AP95" s="12">
        <f t="shared" si="21"/>
        <v>0</v>
      </c>
      <c r="AQ95" s="15">
        <f t="shared" si="22"/>
        <v>46008</v>
      </c>
      <c r="AR95" s="7">
        <f t="shared" si="23"/>
        <v>46363</v>
      </c>
      <c r="AS95" s="5">
        <v>913</v>
      </c>
      <c r="AT95" s="7">
        <v>45835</v>
      </c>
      <c r="AU95" s="5"/>
      <c r="AV95" s="17"/>
      <c r="AW95" s="17"/>
      <c r="AX95" s="5"/>
      <c r="AY95" s="5"/>
      <c r="AZ95" s="13"/>
      <c r="BA95" s="12"/>
      <c r="BB95" s="7"/>
      <c r="BC95" s="14"/>
      <c r="BD95" s="14"/>
      <c r="BF95" s="12"/>
      <c r="BG95" s="14"/>
      <c r="BH95" s="19">
        <v>45853</v>
      </c>
      <c r="BI95" s="5"/>
      <c r="BK95" s="5">
        <v>1736</v>
      </c>
      <c r="BL95" s="7">
        <v>46006</v>
      </c>
      <c r="BM95" s="18"/>
      <c r="BN95" s="18"/>
      <c r="BO95" s="18"/>
      <c r="BP95" s="18"/>
      <c r="BQ95" s="5"/>
      <c r="BR95" s="18"/>
      <c r="BS95" s="18"/>
      <c r="BT95" s="35">
        <f t="shared" si="24"/>
        <v>45973</v>
      </c>
    </row>
    <row r="96" spans="1:72" x14ac:dyDescent="0.35">
      <c r="A96" s="5">
        <v>95</v>
      </c>
      <c r="B96" s="5"/>
      <c r="C96" s="5" t="s">
        <v>78</v>
      </c>
      <c r="D96" s="5">
        <v>4</v>
      </c>
      <c r="E96" s="5">
        <v>34</v>
      </c>
      <c r="F96" s="8"/>
      <c r="G96" s="8"/>
      <c r="H96" s="5"/>
      <c r="I96" s="5" t="e" cm="1">
        <f t="array" ref="I96">_xlfn.IFS(
  H96="Mahuva", "Mahuva",
  H96="Jesar", "Mahuva",
  H96="Palitana", "Palitana",
  H96="Gariyadhar", "Palitana",
  H96="Talaja", "Talaja",
  H96="Vallabhipur", "Vallabhipur",
  H96="Umrala", "Vallabhipur",
  H96="Shihor", "Shihor",
  H96="Ghogha", "Bhavnagar",
  H96="Bhavnagar", "Bhavnagar"
)</f>
        <v>#N/A</v>
      </c>
      <c r="J96" s="5" t="s">
        <v>256</v>
      </c>
      <c r="K96" s="5"/>
      <c r="M96" s="5"/>
      <c r="Q96" s="7">
        <f t="shared" si="13"/>
        <v>120</v>
      </c>
      <c r="S96" s="33" t="s">
        <v>233</v>
      </c>
      <c r="U96" s="10"/>
      <c r="V96" s="10" t="str">
        <f t="shared" si="14"/>
        <v>Equals</v>
      </c>
      <c r="W96" s="11" t="str" cm="1">
        <f t="array" ref="W96">NumberToWords(T96)</f>
        <v>Zero Rupees Only</v>
      </c>
      <c r="X96" s="10" t="str">
        <f t="shared" si="15"/>
        <v>Division</v>
      </c>
      <c r="Z96" s="9">
        <f t="shared" si="16"/>
        <v>0</v>
      </c>
      <c r="AB96" s="8">
        <f>_xlfn.XLOOKUP(AA96, 'Agency List'!A$2:A$145, 'Agency List'!B$2:B$145, "Not Found")</f>
        <v>0</v>
      </c>
      <c r="AC96" s="8">
        <f>_xlfn.XLOOKUP(AA96, 'Agency List'!A$2:A$145, 'Agency List'!C$2:C$145, "Not Found")</f>
        <v>0</v>
      </c>
      <c r="AD96" s="8">
        <f>_xlfn.XLOOKUP(AA96, 'Agency List'!A$2:A$145, 'Agency List'!D$2:D$145, "Not Found")</f>
        <v>0</v>
      </c>
      <c r="AE96" s="7"/>
      <c r="AF96" s="5"/>
      <c r="AG96" s="5" t="str">
        <f t="shared" si="17"/>
        <v>Bandhkam</v>
      </c>
      <c r="AH96" s="5"/>
      <c r="AI96" s="8"/>
      <c r="AJ96" s="8"/>
      <c r="AL96" s="16"/>
      <c r="AM96" s="12">
        <f t="shared" si="18"/>
        <v>0</v>
      </c>
      <c r="AN96" s="7">
        <f t="shared" si="19"/>
        <v>450</v>
      </c>
      <c r="AO96" s="12">
        <f t="shared" si="20"/>
        <v>0</v>
      </c>
      <c r="AP96" s="12">
        <f t="shared" si="21"/>
        <v>0</v>
      </c>
      <c r="AQ96" s="15">
        <f t="shared" si="22"/>
        <v>35</v>
      </c>
      <c r="AR96" s="7">
        <f t="shared" si="23"/>
        <v>390</v>
      </c>
      <c r="AS96" s="5"/>
      <c r="AU96" s="5"/>
      <c r="AV96" s="17"/>
      <c r="AW96" s="17"/>
      <c r="AX96" s="5"/>
      <c r="AY96" s="5"/>
      <c r="AZ96" s="13"/>
      <c r="BA96" s="12"/>
      <c r="BB96" s="7"/>
      <c r="BC96" s="14"/>
      <c r="BD96" s="14"/>
      <c r="BF96" s="12"/>
      <c r="BG96" s="14"/>
      <c r="BH96" s="19"/>
      <c r="BI96" s="5"/>
      <c r="BM96" s="18"/>
      <c r="BN96" s="18"/>
      <c r="BO96" s="18"/>
      <c r="BP96" s="18"/>
      <c r="BQ96" s="5"/>
      <c r="BR96" s="18"/>
      <c r="BS96" s="18"/>
      <c r="BT96" s="35">
        <f t="shared" si="24"/>
        <v>0</v>
      </c>
    </row>
    <row r="97" spans="1:72" x14ac:dyDescent="0.35">
      <c r="A97" s="5">
        <v>96</v>
      </c>
      <c r="B97" s="5"/>
      <c r="C97" s="5" t="s">
        <v>78</v>
      </c>
      <c r="D97" s="5">
        <v>4</v>
      </c>
      <c r="E97" s="5">
        <v>35</v>
      </c>
      <c r="F97" s="8"/>
      <c r="G97" s="8"/>
      <c r="H97" s="5"/>
      <c r="I97" s="5" t="e" cm="1">
        <f t="array" ref="I97">_xlfn.IFS(
  H97="Mahuva", "Mahuva",
  H97="Jesar", "Mahuva",
  H97="Palitana", "Palitana",
  H97="Gariyadhar", "Palitana",
  H97="Talaja", "Talaja",
  H97="Vallabhipur", "Vallabhipur",
  H97="Umrala", "Vallabhipur",
  H97="Shihor", "Shihor",
  H97="Ghogha", "Bhavnagar",
  H97="Bhavnagar", "Bhavnagar"
)</f>
        <v>#N/A</v>
      </c>
      <c r="J97" s="5" t="s">
        <v>256</v>
      </c>
      <c r="K97" s="5"/>
      <c r="M97" s="5"/>
      <c r="Q97" s="7">
        <f t="shared" si="13"/>
        <v>120</v>
      </c>
      <c r="S97" s="33" t="s">
        <v>233</v>
      </c>
      <c r="U97" s="10"/>
      <c r="V97" s="10" t="str">
        <f t="shared" si="14"/>
        <v>Equals</v>
      </c>
      <c r="W97" s="11" t="str" cm="1">
        <f t="array" ref="W97">NumberToWords(T97)</f>
        <v>Zero Rupees Only</v>
      </c>
      <c r="X97" s="10" t="str">
        <f t="shared" si="15"/>
        <v>Division</v>
      </c>
      <c r="Z97" s="9">
        <f t="shared" si="16"/>
        <v>0</v>
      </c>
      <c r="AB97" s="8">
        <f>_xlfn.XLOOKUP(AA97, 'Agency List'!A$2:A$145, 'Agency List'!B$2:B$145, "Not Found")</f>
        <v>0</v>
      </c>
      <c r="AC97" s="8">
        <f>_xlfn.XLOOKUP(AA97, 'Agency List'!A$2:A$145, 'Agency List'!C$2:C$145, "Not Found")</f>
        <v>0</v>
      </c>
      <c r="AD97" s="8">
        <f>_xlfn.XLOOKUP(AA97, 'Agency List'!A$2:A$145, 'Agency List'!D$2:D$145, "Not Found")</f>
        <v>0</v>
      </c>
      <c r="AE97" s="7"/>
      <c r="AF97" s="5"/>
      <c r="AG97" s="5" t="str">
        <f t="shared" si="17"/>
        <v>Bandhkam</v>
      </c>
      <c r="AH97" s="5"/>
      <c r="AI97" s="8"/>
      <c r="AJ97" s="8"/>
      <c r="AL97" s="16"/>
      <c r="AM97" s="12">
        <f t="shared" si="18"/>
        <v>0</v>
      </c>
      <c r="AN97" s="7">
        <f t="shared" si="19"/>
        <v>450</v>
      </c>
      <c r="AO97" s="12">
        <f t="shared" si="20"/>
        <v>0</v>
      </c>
      <c r="AP97" s="12">
        <f t="shared" si="21"/>
        <v>0</v>
      </c>
      <c r="AQ97" s="15">
        <f t="shared" si="22"/>
        <v>35</v>
      </c>
      <c r="AR97" s="7">
        <f t="shared" si="23"/>
        <v>390</v>
      </c>
      <c r="AS97" s="5"/>
      <c r="AU97" s="5"/>
      <c r="AV97" s="17"/>
      <c r="AW97" s="17"/>
      <c r="AX97" s="5"/>
      <c r="AY97" s="5"/>
      <c r="AZ97" s="13"/>
      <c r="BA97" s="12"/>
      <c r="BB97" s="7"/>
      <c r="BC97" s="14"/>
      <c r="BD97" s="14"/>
      <c r="BF97" s="12"/>
      <c r="BG97" s="14"/>
      <c r="BH97" s="19"/>
      <c r="BI97" s="5"/>
      <c r="BM97" s="18"/>
      <c r="BN97" s="18"/>
      <c r="BO97" s="18"/>
      <c r="BP97" s="18"/>
      <c r="BQ97" s="5"/>
      <c r="BR97" s="18"/>
      <c r="BS97" s="18"/>
      <c r="BT97" s="35">
        <f t="shared" si="24"/>
        <v>0</v>
      </c>
    </row>
    <row r="98" spans="1:72" x14ac:dyDescent="0.35">
      <c r="A98" s="5">
        <v>97</v>
      </c>
      <c r="B98" s="5"/>
      <c r="C98" s="5" t="s">
        <v>78</v>
      </c>
      <c r="D98" s="5">
        <v>4</v>
      </c>
      <c r="E98" s="5">
        <v>36</v>
      </c>
      <c r="F98" s="8"/>
      <c r="G98" s="8"/>
      <c r="H98" s="5"/>
      <c r="I98" s="5" t="e" cm="1">
        <f t="array" ref="I98">_xlfn.IFS(
  H98="Mahuva", "Mahuva",
  H98="Jesar", "Mahuva",
  H98="Palitana", "Palitana",
  H98="Gariyadhar", "Palitana",
  H98="Talaja", "Talaja",
  H98="Vallabhipur", "Vallabhipur",
  H98="Umrala", "Vallabhipur",
  H98="Shihor", "Shihor",
  H98="Ghogha", "Bhavnagar",
  H98="Bhavnagar", "Bhavnagar"
)</f>
        <v>#N/A</v>
      </c>
      <c r="J98" s="5" t="s">
        <v>256</v>
      </c>
      <c r="K98" s="5"/>
      <c r="M98" s="5"/>
      <c r="Q98" s="7">
        <f t="shared" si="13"/>
        <v>120</v>
      </c>
      <c r="S98" s="33" t="s">
        <v>233</v>
      </c>
      <c r="U98" s="10"/>
      <c r="V98" s="10" t="str">
        <f t="shared" si="14"/>
        <v>Equals</v>
      </c>
      <c r="W98" s="11" t="str" cm="1">
        <f t="array" ref="W98">NumberToWords(T98)</f>
        <v>Zero Rupees Only</v>
      </c>
      <c r="X98" s="10" t="str">
        <f t="shared" si="15"/>
        <v>Division</v>
      </c>
      <c r="Z98" s="9">
        <f t="shared" si="16"/>
        <v>0</v>
      </c>
      <c r="AB98" s="8">
        <f>_xlfn.XLOOKUP(AA98, 'Agency List'!A$2:A$145, 'Agency List'!B$2:B$145, "Not Found")</f>
        <v>0</v>
      </c>
      <c r="AC98" s="8">
        <f>_xlfn.XLOOKUP(AA98, 'Agency List'!A$2:A$145, 'Agency List'!C$2:C$145, "Not Found")</f>
        <v>0</v>
      </c>
      <c r="AD98" s="8">
        <f>_xlfn.XLOOKUP(AA98, 'Agency List'!A$2:A$145, 'Agency List'!D$2:D$145, "Not Found")</f>
        <v>0</v>
      </c>
      <c r="AE98" s="7"/>
      <c r="AF98" s="5"/>
      <c r="AG98" s="5" t="str">
        <f t="shared" si="17"/>
        <v>Bandhkam</v>
      </c>
      <c r="AH98" s="5"/>
      <c r="AI98" s="8"/>
      <c r="AJ98" s="8"/>
      <c r="AL98" s="16"/>
      <c r="AM98" s="12">
        <f t="shared" si="18"/>
        <v>0</v>
      </c>
      <c r="AN98" s="7">
        <f t="shared" si="19"/>
        <v>450</v>
      </c>
      <c r="AO98" s="12">
        <f t="shared" si="20"/>
        <v>0</v>
      </c>
      <c r="AP98" s="12">
        <f t="shared" si="21"/>
        <v>0</v>
      </c>
      <c r="AQ98" s="15">
        <f t="shared" si="22"/>
        <v>35</v>
      </c>
      <c r="AR98" s="7">
        <f t="shared" si="23"/>
        <v>390</v>
      </c>
      <c r="AS98" s="5"/>
      <c r="AU98" s="5"/>
      <c r="AV98" s="17"/>
      <c r="AW98" s="17"/>
      <c r="AX98" s="5"/>
      <c r="AY98" s="5"/>
      <c r="AZ98" s="13"/>
      <c r="BA98" s="12"/>
      <c r="BB98" s="7"/>
      <c r="BC98" s="14"/>
      <c r="BD98" s="14"/>
      <c r="BF98" s="12"/>
      <c r="BG98" s="14"/>
      <c r="BH98" s="19"/>
      <c r="BI98" s="5"/>
      <c r="BM98" s="18"/>
      <c r="BN98" s="18"/>
      <c r="BO98" s="18"/>
      <c r="BP98" s="18"/>
      <c r="BQ98" s="5"/>
      <c r="BR98" s="18"/>
      <c r="BS98" s="18"/>
      <c r="BT98" s="35">
        <f t="shared" si="24"/>
        <v>0</v>
      </c>
    </row>
    <row r="99" spans="1:72" ht="43.5" x14ac:dyDescent="0.35">
      <c r="A99" s="5">
        <v>98</v>
      </c>
      <c r="B99" s="5"/>
      <c r="C99" s="5" t="s">
        <v>78</v>
      </c>
      <c r="D99" s="5">
        <v>4</v>
      </c>
      <c r="E99" s="5">
        <v>37</v>
      </c>
      <c r="F99" s="8" t="s">
        <v>297</v>
      </c>
      <c r="G99" s="8"/>
      <c r="H99" s="5" t="s">
        <v>2</v>
      </c>
      <c r="I99" s="5" t="str" cm="1">
        <f t="array" ref="I99">_xlfn.IFS(
  H99="Mahuva", "Mahuva",
  H99="Jesar", "Mahuva",
  H99="Palitana", "Palitana",
  H99="Gariyadhar", "Palitana",
  H99="Talaja", "Talaja",
  H99="Vallabhipur", "Vallabhipur",
  H99="Umrala", "Vallabhipur",
  H99="Shihor", "Shihor",
  H99="Ghogha", "Bhavnagar",
  H99="Bhavnagar", "Bhavnagar"
)</f>
        <v>Vallabhipur</v>
      </c>
      <c r="J99" s="5" t="s">
        <v>256</v>
      </c>
      <c r="K99" s="5" t="s">
        <v>418</v>
      </c>
      <c r="L99" s="5">
        <v>187914</v>
      </c>
      <c r="M99" s="5">
        <v>1</v>
      </c>
      <c r="Q99" s="7">
        <f t="shared" si="13"/>
        <v>120</v>
      </c>
      <c r="R99" s="9">
        <v>2027056.59</v>
      </c>
      <c r="S99" s="33"/>
      <c r="T99" s="9">
        <v>1801850.6</v>
      </c>
      <c r="U99" s="10">
        <v>-11.11</v>
      </c>
      <c r="V99" s="10" t="str">
        <f t="shared" si="14"/>
        <v>Below</v>
      </c>
      <c r="W99" s="11" t="str" cm="1">
        <f t="array" ref="W99">NumberToWords(T99)</f>
        <v>Eighteen Lakh One Thousand Eight Hundred Fifty Rupees and Six Paise Only</v>
      </c>
      <c r="X99" s="10" t="str">
        <f t="shared" si="15"/>
        <v>Division</v>
      </c>
      <c r="Z99" s="9">
        <f t="shared" si="16"/>
        <v>1801850.6</v>
      </c>
      <c r="AA99" s="5" t="s">
        <v>298</v>
      </c>
      <c r="AB99" s="8" t="str">
        <f>_xlfn.XLOOKUP(AA99, 'Agency List'!A$2:A$145, 'Agency List'!B$2:B$145, "Not Found")</f>
        <v>D. H. Gohil</v>
      </c>
      <c r="AC99" s="8" t="str">
        <f>_xlfn.XLOOKUP(AA99, 'Agency List'!A$2:A$145, 'Agency List'!C$2:C$145, "Not Found")</f>
        <v>At. Vangadhra, Ta.Umrala, Dist. Bhavnagar</v>
      </c>
      <c r="AD99" s="8">
        <f>_xlfn.XLOOKUP(AA99, 'Agency List'!A$2:A$145, 'Agency List'!D$2:D$145, "Not Found")</f>
        <v>8780286268</v>
      </c>
      <c r="AE99" s="7"/>
      <c r="AF99" s="5"/>
      <c r="AG99" s="5" t="str">
        <f t="shared" si="17"/>
        <v>Bandhkam</v>
      </c>
      <c r="AH99" s="5"/>
      <c r="AI99" s="8"/>
      <c r="AJ99" s="8"/>
      <c r="AL99" s="16">
        <v>4</v>
      </c>
      <c r="AM99" s="12">
        <f t="shared" si="18"/>
        <v>91000</v>
      </c>
      <c r="AN99" s="7">
        <f t="shared" si="19"/>
        <v>46480</v>
      </c>
      <c r="AO99" s="12">
        <f t="shared" si="20"/>
        <v>4800</v>
      </c>
      <c r="AP99" s="12">
        <f t="shared" si="21"/>
        <v>5000</v>
      </c>
      <c r="AQ99" s="15">
        <f t="shared" si="22"/>
        <v>46065</v>
      </c>
      <c r="AR99" s="7">
        <f t="shared" si="23"/>
        <v>46420</v>
      </c>
      <c r="AS99" s="5">
        <v>914</v>
      </c>
      <c r="AT99" s="7">
        <v>45835</v>
      </c>
      <c r="AU99" s="5" t="s">
        <v>78</v>
      </c>
      <c r="AV99" s="17">
        <v>149</v>
      </c>
      <c r="AW99" s="37">
        <v>45910</v>
      </c>
      <c r="AX99" s="5" t="s">
        <v>355</v>
      </c>
      <c r="AY99" s="5" t="s">
        <v>369</v>
      </c>
      <c r="AZ99" s="13">
        <v>44412611449</v>
      </c>
      <c r="BA99" s="12">
        <v>91000</v>
      </c>
      <c r="BB99" s="7">
        <v>45897</v>
      </c>
      <c r="BC99" s="5" t="s">
        <v>355</v>
      </c>
      <c r="BD99" s="5" t="s">
        <v>369</v>
      </c>
      <c r="BE99" s="13">
        <v>44412614122</v>
      </c>
      <c r="BF99" s="12">
        <v>5000</v>
      </c>
      <c r="BG99" s="7">
        <v>45897</v>
      </c>
      <c r="BH99" s="19">
        <v>45910</v>
      </c>
      <c r="BI99" s="5">
        <v>1293</v>
      </c>
      <c r="BJ99" s="19">
        <v>45910</v>
      </c>
      <c r="BM99" s="18"/>
      <c r="BN99" s="18"/>
      <c r="BO99" s="18"/>
      <c r="BP99" s="18"/>
      <c r="BQ99" s="5"/>
      <c r="BR99" s="18"/>
      <c r="BS99" s="18"/>
      <c r="BT99" s="35"/>
    </row>
    <row r="100" spans="1:72" x14ac:dyDescent="0.35">
      <c r="A100" s="5">
        <v>99</v>
      </c>
      <c r="B100" s="5"/>
      <c r="C100" s="5" t="s">
        <v>78</v>
      </c>
      <c r="D100" s="5">
        <v>4</v>
      </c>
      <c r="E100" s="5">
        <v>38</v>
      </c>
      <c r="F100" s="8"/>
      <c r="G100" s="8"/>
      <c r="H100" s="5"/>
      <c r="I100" s="5" t="e" cm="1">
        <f t="array" ref="I100">_xlfn.IFS(
  H100="Mahuva", "Mahuva",
  H100="Jesar", "Mahuva",
  H100="Palitana", "Palitana",
  H100="Gariyadhar", "Palitana",
  H100="Talaja", "Talaja",
  H100="Vallabhipur", "Vallabhipur",
  H100="Umrala", "Vallabhipur",
  H100="Shihor", "Shihor",
  H100="Ghogha", "Bhavnagar",
  H100="Bhavnagar", "Bhavnagar"
)</f>
        <v>#N/A</v>
      </c>
      <c r="J100" s="5" t="s">
        <v>256</v>
      </c>
      <c r="K100" s="5"/>
      <c r="M100" s="5"/>
      <c r="Q100" s="7">
        <f t="shared" si="13"/>
        <v>120</v>
      </c>
      <c r="S100" s="33" t="s">
        <v>233</v>
      </c>
      <c r="U100" s="10"/>
      <c r="V100" s="10" t="str">
        <f t="shared" si="14"/>
        <v>Equals</v>
      </c>
      <c r="W100" s="11" t="str" cm="1">
        <f t="array" ref="W100">NumberToWords(T100)</f>
        <v>Zero Rupees Only</v>
      </c>
      <c r="X100" s="10" t="str">
        <f t="shared" si="15"/>
        <v>Division</v>
      </c>
      <c r="Z100" s="9">
        <f t="shared" si="16"/>
        <v>0</v>
      </c>
      <c r="AB100" s="8">
        <f>_xlfn.XLOOKUP(AA100, 'Agency List'!A$2:A$145, 'Agency List'!B$2:B$145, "Not Found")</f>
        <v>0</v>
      </c>
      <c r="AC100" s="8">
        <f>_xlfn.XLOOKUP(AA100, 'Agency List'!A$2:A$145, 'Agency List'!C$2:C$145, "Not Found")</f>
        <v>0</v>
      </c>
      <c r="AD100" s="8">
        <f>_xlfn.XLOOKUP(AA100, 'Agency List'!A$2:A$145, 'Agency List'!D$2:D$145, "Not Found")</f>
        <v>0</v>
      </c>
      <c r="AE100" s="7"/>
      <c r="AF100" s="5"/>
      <c r="AG100" s="5" t="str">
        <f t="shared" si="17"/>
        <v>Bandhkam</v>
      </c>
      <c r="AH100" s="5"/>
      <c r="AI100" s="8"/>
      <c r="AJ100" s="8"/>
      <c r="AL100" s="16"/>
      <c r="AM100" s="12">
        <f t="shared" si="18"/>
        <v>0</v>
      </c>
      <c r="AN100" s="7">
        <f t="shared" si="19"/>
        <v>450</v>
      </c>
      <c r="AO100" s="12">
        <f t="shared" si="20"/>
        <v>0</v>
      </c>
      <c r="AP100" s="12">
        <f t="shared" si="21"/>
        <v>0</v>
      </c>
      <c r="AQ100" s="15">
        <f t="shared" si="22"/>
        <v>35</v>
      </c>
      <c r="AR100" s="7">
        <f t="shared" si="23"/>
        <v>390</v>
      </c>
      <c r="AS100" s="5"/>
      <c r="AU100" s="5"/>
      <c r="AV100" s="17"/>
      <c r="AW100" s="17"/>
      <c r="AX100" s="5"/>
      <c r="AY100" s="5"/>
      <c r="AZ100" s="13"/>
      <c r="BA100" s="12"/>
      <c r="BB100" s="7"/>
      <c r="BC100" s="14"/>
      <c r="BD100" s="14"/>
      <c r="BF100" s="12"/>
      <c r="BG100" s="14"/>
      <c r="BH100" s="19"/>
      <c r="BI100" s="5"/>
      <c r="BM100" s="18"/>
      <c r="BN100" s="18"/>
      <c r="BO100" s="18"/>
      <c r="BP100" s="18"/>
      <c r="BQ100" s="5"/>
      <c r="BR100" s="18"/>
      <c r="BS100" s="18"/>
      <c r="BT100" s="35">
        <f t="shared" ref="BT100:BT105" si="25">BH100+AL100*30</f>
        <v>0</v>
      </c>
    </row>
    <row r="101" spans="1:72" ht="43.5" x14ac:dyDescent="0.35">
      <c r="A101" s="5">
        <v>100</v>
      </c>
      <c r="B101" s="5"/>
      <c r="C101" s="5" t="s">
        <v>78</v>
      </c>
      <c r="D101" s="5">
        <v>4</v>
      </c>
      <c r="E101" s="5">
        <v>39</v>
      </c>
      <c r="F101" s="8" t="s">
        <v>299</v>
      </c>
      <c r="G101" s="8"/>
      <c r="H101" s="5" t="s">
        <v>2</v>
      </c>
      <c r="I101" s="5" t="str" cm="1">
        <f t="array" ref="I101">_xlfn.IFS(
  H101="Mahuva", "Mahuva",
  H101="Jesar", "Mahuva",
  H101="Palitana", "Palitana",
  H101="Gariyadhar", "Palitana",
  H101="Talaja", "Talaja",
  H101="Vallabhipur", "Vallabhipur",
  H101="Umrala", "Vallabhipur",
  H101="Shihor", "Shihor",
  H101="Ghogha", "Bhavnagar",
  H101="Bhavnagar", "Bhavnagar"
)</f>
        <v>Vallabhipur</v>
      </c>
      <c r="J101" s="5" t="s">
        <v>256</v>
      </c>
      <c r="K101" s="5" t="s">
        <v>418</v>
      </c>
      <c r="L101" s="5">
        <v>187916</v>
      </c>
      <c r="M101" s="5">
        <v>1</v>
      </c>
      <c r="Q101" s="7">
        <f t="shared" si="13"/>
        <v>120</v>
      </c>
      <c r="R101" s="9">
        <v>2654980.89</v>
      </c>
      <c r="S101" s="33"/>
      <c r="T101" s="9">
        <v>2389748.2999999998</v>
      </c>
      <c r="U101" s="10">
        <v>-9.99</v>
      </c>
      <c r="V101" s="10" t="str">
        <f t="shared" si="14"/>
        <v>Below</v>
      </c>
      <c r="W101" s="11" t="str" cm="1">
        <f t="array" ref="W101">NumberToWords(T101)</f>
        <v>Twenty Three Lakh Eighty Nine Thousand Seven Hundred Forty Eight Rupees and Three Paise Only</v>
      </c>
      <c r="X101" s="10" t="str">
        <f t="shared" si="15"/>
        <v>Division</v>
      </c>
      <c r="Z101" s="9">
        <f t="shared" si="16"/>
        <v>2389748.2999999998</v>
      </c>
      <c r="AA101" s="5" t="s">
        <v>298</v>
      </c>
      <c r="AB101" s="8" t="str">
        <f>_xlfn.XLOOKUP(AA101, 'Agency List'!A$2:A$145, 'Agency List'!B$2:B$145, "Not Found")</f>
        <v>D. H. Gohil</v>
      </c>
      <c r="AC101" s="8" t="str">
        <f>_xlfn.XLOOKUP(AA101, 'Agency List'!A$2:A$145, 'Agency List'!C$2:C$145, "Not Found")</f>
        <v>At. Vangadhra, Ta.Umrala, Dist. Bhavnagar</v>
      </c>
      <c r="AD101" s="8">
        <f>_xlfn.XLOOKUP(AA101, 'Agency List'!A$2:A$145, 'Agency List'!D$2:D$145, "Not Found")</f>
        <v>8780286268</v>
      </c>
      <c r="AE101" s="7"/>
      <c r="AF101" s="5"/>
      <c r="AG101" s="5" t="str">
        <f t="shared" si="17"/>
        <v>Bandhkam</v>
      </c>
      <c r="AH101" s="5"/>
      <c r="AI101" s="8"/>
      <c r="AJ101" s="8"/>
      <c r="AL101" s="16">
        <v>4</v>
      </c>
      <c r="AM101" s="12">
        <f t="shared" si="18"/>
        <v>120000</v>
      </c>
      <c r="AN101" s="7">
        <f t="shared" si="19"/>
        <v>46584</v>
      </c>
      <c r="AO101" s="12">
        <f t="shared" si="20"/>
        <v>5900</v>
      </c>
      <c r="AP101" s="12">
        <f t="shared" si="21"/>
        <v>0</v>
      </c>
      <c r="AQ101" s="15">
        <f t="shared" si="22"/>
        <v>46169</v>
      </c>
      <c r="AR101" s="7">
        <f t="shared" si="23"/>
        <v>46524</v>
      </c>
      <c r="AS101" s="5">
        <v>915</v>
      </c>
      <c r="AT101" s="7">
        <v>45835</v>
      </c>
      <c r="AU101" s="5" t="s">
        <v>78</v>
      </c>
      <c r="AV101" s="17">
        <v>256</v>
      </c>
      <c r="AW101" s="37">
        <v>46014</v>
      </c>
      <c r="AX101" s="5" t="s">
        <v>355</v>
      </c>
      <c r="AY101" s="5" t="s">
        <v>369</v>
      </c>
      <c r="AZ101" s="13">
        <v>44743788805</v>
      </c>
      <c r="BA101" s="12">
        <v>120000</v>
      </c>
      <c r="BB101" s="7">
        <v>46007</v>
      </c>
      <c r="BC101" s="14"/>
      <c r="BD101" s="14"/>
      <c r="BF101" s="12"/>
      <c r="BG101" s="14"/>
      <c r="BH101" s="37">
        <v>46014</v>
      </c>
      <c r="BI101" s="5">
        <v>1800</v>
      </c>
      <c r="BJ101" s="37">
        <v>46014</v>
      </c>
      <c r="BK101" s="5">
        <v>1735</v>
      </c>
      <c r="BL101" s="7">
        <v>46006</v>
      </c>
      <c r="BM101" s="18"/>
      <c r="BN101" s="18"/>
      <c r="BO101" s="18"/>
      <c r="BP101" s="18"/>
      <c r="BQ101" s="5"/>
      <c r="BR101" s="18"/>
      <c r="BS101" s="18"/>
      <c r="BT101" s="35">
        <f t="shared" si="25"/>
        <v>46134</v>
      </c>
    </row>
    <row r="102" spans="1:72" x14ac:dyDescent="0.35">
      <c r="A102" s="5">
        <v>101</v>
      </c>
      <c r="B102" s="5"/>
      <c r="C102" s="5" t="s">
        <v>78</v>
      </c>
      <c r="D102" s="5">
        <v>4</v>
      </c>
      <c r="E102" s="5">
        <v>40</v>
      </c>
      <c r="F102" s="8"/>
      <c r="G102" s="8"/>
      <c r="H102" s="5"/>
      <c r="I102" s="5" t="e" cm="1">
        <f t="array" ref="I102">_xlfn.IFS(
  H102="Mahuva", "Mahuva",
  H102="Jesar", "Mahuva",
  H102="Palitana", "Palitana",
  H102="Gariyadhar", "Palitana",
  H102="Talaja", "Talaja",
  H102="Vallabhipur", "Vallabhipur",
  H102="Umrala", "Vallabhipur",
  H102="Shihor", "Shihor",
  H102="Ghogha", "Bhavnagar",
  H102="Bhavnagar", "Bhavnagar"
)</f>
        <v>#N/A</v>
      </c>
      <c r="J102" s="5" t="s">
        <v>256</v>
      </c>
      <c r="K102" s="5"/>
      <c r="M102" s="5"/>
      <c r="Q102" s="7">
        <f t="shared" si="13"/>
        <v>120</v>
      </c>
      <c r="S102" s="33" t="s">
        <v>233</v>
      </c>
      <c r="U102" s="10"/>
      <c r="V102" s="10" t="str">
        <f t="shared" si="14"/>
        <v>Equals</v>
      </c>
      <c r="W102" s="11" t="str" cm="1">
        <f t="array" ref="W102">NumberToWords(T102)</f>
        <v>Zero Rupees Only</v>
      </c>
      <c r="X102" s="10" t="str">
        <f t="shared" si="15"/>
        <v>Division</v>
      </c>
      <c r="Z102" s="9">
        <f t="shared" si="16"/>
        <v>0</v>
      </c>
      <c r="AB102" s="8">
        <f>_xlfn.XLOOKUP(AA102, 'Agency List'!A$2:A$145, 'Agency List'!B$2:B$145, "Not Found")</f>
        <v>0</v>
      </c>
      <c r="AC102" s="8">
        <f>_xlfn.XLOOKUP(AA102, 'Agency List'!A$2:A$145, 'Agency List'!C$2:C$145, "Not Found")</f>
        <v>0</v>
      </c>
      <c r="AD102" s="8">
        <f>_xlfn.XLOOKUP(AA102, 'Agency List'!A$2:A$145, 'Agency List'!D$2:D$145, "Not Found")</f>
        <v>0</v>
      </c>
      <c r="AE102" s="7"/>
      <c r="AF102" s="5"/>
      <c r="AG102" s="5" t="str">
        <f t="shared" si="17"/>
        <v>Bandhkam</v>
      </c>
      <c r="AH102" s="5"/>
      <c r="AI102" s="8"/>
      <c r="AJ102" s="8"/>
      <c r="AL102" s="16"/>
      <c r="AM102" s="12">
        <f t="shared" si="18"/>
        <v>0</v>
      </c>
      <c r="AN102" s="7">
        <f t="shared" si="19"/>
        <v>450</v>
      </c>
      <c r="AO102" s="12">
        <f t="shared" si="20"/>
        <v>0</v>
      </c>
      <c r="AP102" s="12">
        <f t="shared" si="21"/>
        <v>0</v>
      </c>
      <c r="AQ102" s="15">
        <f t="shared" si="22"/>
        <v>35</v>
      </c>
      <c r="AR102" s="7">
        <f t="shared" si="23"/>
        <v>390</v>
      </c>
      <c r="AS102" s="5"/>
      <c r="AU102" s="5"/>
      <c r="AV102" s="17"/>
      <c r="AW102" s="17"/>
      <c r="AX102" s="5"/>
      <c r="AY102" s="5"/>
      <c r="AZ102" s="13"/>
      <c r="BA102" s="12"/>
      <c r="BB102" s="7"/>
      <c r="BC102" s="14"/>
      <c r="BD102" s="14"/>
      <c r="BF102" s="12"/>
      <c r="BG102" s="14"/>
      <c r="BH102" s="19"/>
      <c r="BI102" s="5"/>
      <c r="BM102" s="18"/>
      <c r="BN102" s="18"/>
      <c r="BO102" s="18"/>
      <c r="BP102" s="18"/>
      <c r="BQ102" s="5"/>
      <c r="BR102" s="18"/>
      <c r="BS102" s="18"/>
      <c r="BT102" s="35">
        <f t="shared" si="25"/>
        <v>0</v>
      </c>
    </row>
    <row r="103" spans="1:72" x14ac:dyDescent="0.35">
      <c r="A103" s="5">
        <v>102</v>
      </c>
      <c r="B103" s="5"/>
      <c r="C103" s="5" t="s">
        <v>78</v>
      </c>
      <c r="D103" s="5">
        <v>4</v>
      </c>
      <c r="E103" s="5">
        <v>41</v>
      </c>
      <c r="F103" s="8"/>
      <c r="G103" s="8"/>
      <c r="H103" s="5"/>
      <c r="I103" s="5" t="e" cm="1">
        <f t="array" ref="I103">_xlfn.IFS(
  H103="Mahuva", "Mahuva",
  H103="Jesar", "Mahuva",
  H103="Palitana", "Palitana",
  H103="Gariyadhar", "Palitana",
  H103="Talaja", "Talaja",
  H103="Vallabhipur", "Vallabhipur",
  H103="Umrala", "Vallabhipur",
  H103="Shihor", "Shihor",
  H103="Ghogha", "Bhavnagar",
  H103="Bhavnagar", "Bhavnagar"
)</f>
        <v>#N/A</v>
      </c>
      <c r="J103" s="5" t="s">
        <v>256</v>
      </c>
      <c r="K103" s="5"/>
      <c r="M103" s="5"/>
      <c r="Q103" s="7">
        <f t="shared" si="13"/>
        <v>120</v>
      </c>
      <c r="S103" s="33" t="s">
        <v>233</v>
      </c>
      <c r="U103" s="10"/>
      <c r="V103" s="10" t="str">
        <f t="shared" si="14"/>
        <v>Equals</v>
      </c>
      <c r="W103" s="11" t="str" cm="1">
        <f t="array" ref="W103">NumberToWords(T103)</f>
        <v>Zero Rupees Only</v>
      </c>
      <c r="X103" s="10" t="str">
        <f t="shared" si="15"/>
        <v>Division</v>
      </c>
      <c r="Z103" s="9">
        <f t="shared" si="16"/>
        <v>0</v>
      </c>
      <c r="AB103" s="8">
        <f>_xlfn.XLOOKUP(AA103, 'Agency List'!A$2:A$145, 'Agency List'!B$2:B$145, "Not Found")</f>
        <v>0</v>
      </c>
      <c r="AC103" s="8">
        <f>_xlfn.XLOOKUP(AA103, 'Agency List'!A$2:A$145, 'Agency List'!C$2:C$145, "Not Found")</f>
        <v>0</v>
      </c>
      <c r="AD103" s="8">
        <f>_xlfn.XLOOKUP(AA103, 'Agency List'!A$2:A$145, 'Agency List'!D$2:D$145, "Not Found")</f>
        <v>0</v>
      </c>
      <c r="AE103" s="7"/>
      <c r="AF103" s="5"/>
      <c r="AG103" s="5" t="str">
        <f t="shared" si="17"/>
        <v>Bandhkam</v>
      </c>
      <c r="AH103" s="5"/>
      <c r="AI103" s="8"/>
      <c r="AJ103" s="8"/>
      <c r="AL103" s="16"/>
      <c r="AM103" s="12">
        <f t="shared" si="18"/>
        <v>0</v>
      </c>
      <c r="AN103" s="7">
        <f t="shared" si="19"/>
        <v>450</v>
      </c>
      <c r="AO103" s="12">
        <f t="shared" si="20"/>
        <v>0</v>
      </c>
      <c r="AP103" s="12">
        <f t="shared" si="21"/>
        <v>0</v>
      </c>
      <c r="AQ103" s="15">
        <f t="shared" si="22"/>
        <v>35</v>
      </c>
      <c r="AR103" s="7">
        <f t="shared" si="23"/>
        <v>390</v>
      </c>
      <c r="AS103" s="5"/>
      <c r="AU103" s="5"/>
      <c r="AV103" s="17"/>
      <c r="AW103" s="17"/>
      <c r="AX103" s="5"/>
      <c r="AY103" s="5"/>
      <c r="AZ103" s="13"/>
      <c r="BA103" s="12"/>
      <c r="BB103" s="7"/>
      <c r="BC103" s="14"/>
      <c r="BD103" s="14"/>
      <c r="BF103" s="12"/>
      <c r="BG103" s="14"/>
      <c r="BH103" s="19"/>
      <c r="BI103" s="5"/>
      <c r="BM103" s="18"/>
      <c r="BN103" s="18"/>
      <c r="BO103" s="18"/>
      <c r="BP103" s="18"/>
      <c r="BQ103" s="5"/>
      <c r="BR103" s="18"/>
      <c r="BS103" s="18"/>
      <c r="BT103" s="35">
        <f t="shared" si="25"/>
        <v>0</v>
      </c>
    </row>
    <row r="104" spans="1:72" ht="43.5" x14ac:dyDescent="0.35">
      <c r="A104" s="5">
        <v>103</v>
      </c>
      <c r="B104" s="5"/>
      <c r="C104" s="5" t="s">
        <v>78</v>
      </c>
      <c r="D104" s="5">
        <v>4</v>
      </c>
      <c r="E104" s="5">
        <v>42</v>
      </c>
      <c r="F104" s="8" t="s">
        <v>300</v>
      </c>
      <c r="G104" s="8"/>
      <c r="H104" s="5" t="s">
        <v>2</v>
      </c>
      <c r="I104" s="5" t="str" cm="1">
        <f t="array" ref="I104">_xlfn.IFS(
  H104="Mahuva", "Mahuva",
  H104="Jesar", "Mahuva",
  H104="Palitana", "Palitana",
  H104="Gariyadhar", "Palitana",
  H104="Talaja", "Talaja",
  H104="Vallabhipur", "Vallabhipur",
  H104="Umrala", "Vallabhipur",
  H104="Shihor", "Shihor",
  H104="Ghogha", "Bhavnagar",
  H104="Bhavnagar", "Bhavnagar"
)</f>
        <v>Vallabhipur</v>
      </c>
      <c r="J104" s="5" t="s">
        <v>256</v>
      </c>
      <c r="K104" s="5" t="s">
        <v>418</v>
      </c>
      <c r="L104" s="5">
        <v>187919</v>
      </c>
      <c r="M104" s="5">
        <v>1</v>
      </c>
      <c r="Q104" s="7">
        <f t="shared" si="13"/>
        <v>120</v>
      </c>
      <c r="R104" s="9">
        <v>2654980.89</v>
      </c>
      <c r="S104" s="33"/>
      <c r="T104" s="9">
        <v>2360012.5099999998</v>
      </c>
      <c r="U104" s="10">
        <v>-11.11</v>
      </c>
      <c r="V104" s="10" t="str">
        <f t="shared" si="14"/>
        <v>Below</v>
      </c>
      <c r="W104" s="11" t="str" cm="1">
        <f t="array" ref="W104">NumberToWords(T104)</f>
        <v>Twenty Three Lakh Sixty Thousand Twelve Rupees and Fifty One Paise Only</v>
      </c>
      <c r="X104" s="10" t="str">
        <f t="shared" si="15"/>
        <v>Division</v>
      </c>
      <c r="Z104" s="9">
        <f t="shared" si="16"/>
        <v>2360012.5099999998</v>
      </c>
      <c r="AA104" s="5" t="s">
        <v>298</v>
      </c>
      <c r="AB104" s="8" t="str">
        <f>_xlfn.XLOOKUP(AA104, 'Agency List'!A$2:A$145, 'Agency List'!B$2:B$145, "Not Found")</f>
        <v>D. H. Gohil</v>
      </c>
      <c r="AC104" s="8" t="str">
        <f>_xlfn.XLOOKUP(AA104, 'Agency List'!A$2:A$145, 'Agency List'!C$2:C$145, "Not Found")</f>
        <v>At. Vangadhra, Ta.Umrala, Dist. Bhavnagar</v>
      </c>
      <c r="AD104" s="8">
        <f>_xlfn.XLOOKUP(AA104, 'Agency List'!A$2:A$145, 'Agency List'!D$2:D$145, "Not Found")</f>
        <v>8780286268</v>
      </c>
      <c r="AE104" s="7"/>
      <c r="AF104" s="5" t="s">
        <v>357</v>
      </c>
      <c r="AG104" s="5" t="str">
        <f t="shared" si="17"/>
        <v>Bandhkam</v>
      </c>
      <c r="AH104" s="5"/>
      <c r="AI104" s="8"/>
      <c r="AJ104" s="8"/>
      <c r="AL104" s="16">
        <v>4</v>
      </c>
      <c r="AM104" s="12">
        <f t="shared" si="18"/>
        <v>119000</v>
      </c>
      <c r="AN104" s="7">
        <f t="shared" si="19"/>
        <v>46599</v>
      </c>
      <c r="AO104" s="12">
        <f t="shared" si="20"/>
        <v>6200</v>
      </c>
      <c r="AP104" s="12">
        <f t="shared" si="21"/>
        <v>6000</v>
      </c>
      <c r="AQ104" s="15">
        <f t="shared" si="22"/>
        <v>46184</v>
      </c>
      <c r="AR104" s="7">
        <f t="shared" si="23"/>
        <v>46539</v>
      </c>
      <c r="AS104" s="5">
        <v>916</v>
      </c>
      <c r="AT104" s="7">
        <v>45835</v>
      </c>
      <c r="AU104" s="5" t="s">
        <v>78</v>
      </c>
      <c r="AV104" s="17">
        <v>259</v>
      </c>
      <c r="AW104" s="37">
        <v>46029</v>
      </c>
      <c r="AX104" s="5" t="s">
        <v>355</v>
      </c>
      <c r="AY104" s="5" t="s">
        <v>369</v>
      </c>
      <c r="AZ104" s="13">
        <v>44743487332</v>
      </c>
      <c r="BA104" s="12">
        <v>119000</v>
      </c>
      <c r="BB104" s="7">
        <v>46007</v>
      </c>
      <c r="BC104" s="5" t="s">
        <v>355</v>
      </c>
      <c r="BD104" s="5" t="s">
        <v>369</v>
      </c>
      <c r="BE104" s="13">
        <v>44767171331</v>
      </c>
      <c r="BF104" s="12">
        <v>6000</v>
      </c>
      <c r="BG104" s="7">
        <v>46015</v>
      </c>
      <c r="BH104" s="37">
        <v>46029</v>
      </c>
      <c r="BI104" s="5">
        <v>30</v>
      </c>
      <c r="BJ104" s="37">
        <v>46029</v>
      </c>
      <c r="BK104" s="5">
        <v>1737</v>
      </c>
      <c r="BL104" s="7">
        <v>46006</v>
      </c>
      <c r="BM104" s="18"/>
      <c r="BN104" s="18"/>
      <c r="BO104" s="18"/>
      <c r="BP104" s="18"/>
      <c r="BQ104" s="5"/>
      <c r="BR104" s="18"/>
      <c r="BS104" s="18"/>
      <c r="BT104" s="35">
        <f t="shared" si="25"/>
        <v>46149</v>
      </c>
    </row>
    <row r="105" spans="1:72" ht="87" x14ac:dyDescent="0.35">
      <c r="A105" s="5">
        <v>104</v>
      </c>
      <c r="B105" s="5"/>
      <c r="C105" s="5" t="s">
        <v>78</v>
      </c>
      <c r="D105" s="5">
        <v>5</v>
      </c>
      <c r="E105" s="5">
        <v>1</v>
      </c>
      <c r="F105" s="8" t="s">
        <v>641</v>
      </c>
      <c r="G105" s="8"/>
      <c r="H105" s="5"/>
      <c r="I105" s="5" t="e" cm="1">
        <f t="array" ref="I105">_xlfn.IFS(
  H105="Mahuva", "Mahuva",
  H105="Jesar", "Mahuva",
  H105="Palitana", "Palitana",
  H105="Gariyadhar", "Palitana",
  H105="Talaja", "Talaja",
  H105="Vallabhipur", "Vallabhipur",
  H105="Umrala", "Vallabhipur",
  H105="Shihor", "Shihor",
  H105="Ghogha", "Bhavnagar",
  H105="Bhavnagar", "Bhavnagar"
)</f>
        <v>#N/A</v>
      </c>
      <c r="J105" s="5" t="s">
        <v>631</v>
      </c>
      <c r="K105" s="5"/>
      <c r="L105" s="5">
        <v>189005</v>
      </c>
      <c r="M105" s="5">
        <v>1</v>
      </c>
      <c r="Q105" s="7">
        <f t="shared" si="13"/>
        <v>120</v>
      </c>
      <c r="S105" s="33" t="s">
        <v>233</v>
      </c>
      <c r="U105" s="10"/>
      <c r="V105" s="10" t="str">
        <f t="shared" si="14"/>
        <v>Equals</v>
      </c>
      <c r="W105" s="11" t="str" cm="1">
        <f t="array" ref="W105">NumberToWords(T105)</f>
        <v>Zero Rupees Only</v>
      </c>
      <c r="X105" s="10" t="str">
        <f t="shared" si="15"/>
        <v>Division</v>
      </c>
      <c r="Z105" s="9">
        <f t="shared" si="16"/>
        <v>0</v>
      </c>
      <c r="AB105" s="8">
        <f>_xlfn.XLOOKUP(AA105, 'Agency List'!A$2:A$145, 'Agency List'!B$2:B$145, "Not Found")</f>
        <v>0</v>
      </c>
      <c r="AC105" s="8">
        <f>_xlfn.XLOOKUP(AA105, 'Agency List'!A$2:A$145, 'Agency List'!C$2:C$145, "Not Found")</f>
        <v>0</v>
      </c>
      <c r="AD105" s="8">
        <f>_xlfn.XLOOKUP(AA105, 'Agency List'!A$2:A$145, 'Agency List'!D$2:D$145, "Not Found")</f>
        <v>0</v>
      </c>
      <c r="AE105" s="7"/>
      <c r="AF105" s="5"/>
      <c r="AG105" s="5" t="str">
        <f t="shared" si="17"/>
        <v>Bandhkam</v>
      </c>
      <c r="AH105" s="5"/>
      <c r="AI105" s="8"/>
      <c r="AJ105" s="8"/>
      <c r="AL105" s="16"/>
      <c r="AM105" s="12">
        <f t="shared" si="18"/>
        <v>0</v>
      </c>
      <c r="AN105" s="7">
        <f t="shared" si="19"/>
        <v>450</v>
      </c>
      <c r="AO105" s="12">
        <f t="shared" si="20"/>
        <v>0</v>
      </c>
      <c r="AP105" s="12">
        <f t="shared" si="21"/>
        <v>0</v>
      </c>
      <c r="AQ105" s="15">
        <f t="shared" si="22"/>
        <v>35</v>
      </c>
      <c r="AR105" s="7">
        <f t="shared" si="23"/>
        <v>390</v>
      </c>
      <c r="AS105" s="5"/>
      <c r="AU105" s="5"/>
      <c r="AV105" s="17"/>
      <c r="AW105" s="17"/>
      <c r="AX105" s="5"/>
      <c r="AY105" s="5"/>
      <c r="AZ105" s="13"/>
      <c r="BA105" s="12"/>
      <c r="BB105" s="7"/>
      <c r="BC105" s="14"/>
      <c r="BD105" s="14"/>
      <c r="BF105" s="12"/>
      <c r="BG105" s="14"/>
      <c r="BH105" s="19"/>
      <c r="BI105" s="5"/>
      <c r="BM105" s="18"/>
      <c r="BN105" s="18"/>
      <c r="BO105" s="18"/>
      <c r="BP105" s="18"/>
      <c r="BQ105" s="5"/>
      <c r="BR105" s="18"/>
      <c r="BS105" s="18"/>
      <c r="BT105" s="35">
        <f t="shared" si="25"/>
        <v>0</v>
      </c>
    </row>
    <row r="106" spans="1:72" ht="58" x14ac:dyDescent="0.35">
      <c r="A106" s="5">
        <v>105</v>
      </c>
      <c r="B106" s="5"/>
      <c r="C106" s="5" t="s">
        <v>78</v>
      </c>
      <c r="D106" s="5">
        <v>6</v>
      </c>
      <c r="E106" s="5">
        <v>1</v>
      </c>
      <c r="F106" s="8" t="s">
        <v>358</v>
      </c>
      <c r="G106" s="8"/>
      <c r="H106" s="5"/>
      <c r="I106" s="5" t="e" cm="1">
        <f t="array" ref="I106">_xlfn.IFS(
  H106="Mahuva", "Mahuva",
  H106="Jesar", "Mahuva",
  H106="Palitana", "Palitana",
  H106="Gariyadhar", "Palitana",
  H106="Talaja", "Talaja",
  H106="Vallabhipur", "Vallabhipur",
  H106="Umrala", "Vallabhipur",
  H106="Shihor", "Shihor",
  H106="Ghogha", "Bhavnagar",
  H106="Bhavnagar", "Bhavnagar"
)</f>
        <v>#N/A</v>
      </c>
      <c r="J106" s="5" t="s">
        <v>631</v>
      </c>
      <c r="K106" s="5"/>
      <c r="M106" s="5">
        <v>1</v>
      </c>
      <c r="Q106" s="7">
        <f t="shared" si="13"/>
        <v>120</v>
      </c>
      <c r="S106" s="33"/>
      <c r="U106" s="10"/>
      <c r="V106" s="10" t="str">
        <f t="shared" si="14"/>
        <v>Equals</v>
      </c>
      <c r="W106" s="11" t="str" cm="1">
        <f t="array" ref="W106">NumberToWords(T106)</f>
        <v>Zero Rupees Only</v>
      </c>
      <c r="X106" s="10" t="str">
        <f t="shared" si="15"/>
        <v>Division</v>
      </c>
      <c r="Z106" s="9">
        <f t="shared" si="16"/>
        <v>0</v>
      </c>
      <c r="AB106" s="8">
        <f>_xlfn.XLOOKUP(AA106, 'Agency List'!A$2:A$145, 'Agency List'!B$2:B$145, "Not Found")</f>
        <v>0</v>
      </c>
      <c r="AC106" s="8">
        <f>_xlfn.XLOOKUP(AA106, 'Agency List'!A$2:A$145, 'Agency List'!C$2:C$145, "Not Found")</f>
        <v>0</v>
      </c>
      <c r="AD106" s="8">
        <f>_xlfn.XLOOKUP(AA106, 'Agency List'!A$2:A$145, 'Agency List'!D$2:D$145, "Not Found")</f>
        <v>0</v>
      </c>
      <c r="AE106" s="7"/>
      <c r="AF106" s="5"/>
      <c r="AG106" s="5" t="str">
        <f t="shared" si="17"/>
        <v>Bandhkam</v>
      </c>
      <c r="AH106" s="5"/>
      <c r="AI106" s="8"/>
      <c r="AJ106" s="8"/>
      <c r="AL106" s="16"/>
      <c r="AM106" s="12">
        <f t="shared" si="18"/>
        <v>0</v>
      </c>
      <c r="AN106" s="7">
        <f t="shared" si="19"/>
        <v>450</v>
      </c>
      <c r="AO106" s="12">
        <f t="shared" si="20"/>
        <v>0</v>
      </c>
      <c r="AP106" s="12">
        <f t="shared" si="21"/>
        <v>0</v>
      </c>
      <c r="AQ106" s="15">
        <f t="shared" si="22"/>
        <v>35</v>
      </c>
      <c r="AR106" s="7">
        <f t="shared" si="23"/>
        <v>390</v>
      </c>
      <c r="AS106" s="5"/>
      <c r="AU106" s="5"/>
      <c r="AV106" s="17"/>
      <c r="AW106" s="17"/>
      <c r="AX106" s="5"/>
      <c r="AY106" s="5"/>
      <c r="AZ106" s="13"/>
      <c r="BA106" s="12"/>
      <c r="BB106" s="7"/>
      <c r="BC106" s="14"/>
      <c r="BD106" s="14"/>
      <c r="BF106" s="12"/>
      <c r="BG106" s="14"/>
      <c r="BH106" s="19"/>
      <c r="BI106" s="5"/>
      <c r="BJ106" s="19">
        <v>45895</v>
      </c>
      <c r="BM106" s="18"/>
      <c r="BN106" s="18"/>
      <c r="BO106" s="18"/>
      <c r="BP106" s="18"/>
      <c r="BQ106" s="5"/>
      <c r="BR106" s="18"/>
      <c r="BS106" s="18"/>
      <c r="BT106" s="35"/>
    </row>
    <row r="107" spans="1:72" ht="87" x14ac:dyDescent="0.35">
      <c r="A107" s="5">
        <v>106</v>
      </c>
      <c r="B107" s="5"/>
      <c r="C107" s="5" t="s">
        <v>78</v>
      </c>
      <c r="D107" s="5">
        <v>7</v>
      </c>
      <c r="E107" s="5">
        <v>1</v>
      </c>
      <c r="F107" s="8" t="s">
        <v>641</v>
      </c>
      <c r="G107" s="8"/>
      <c r="H107" s="5"/>
      <c r="I107" s="5" t="e" cm="1">
        <f t="array" ref="I107">_xlfn.IFS(
  H107="Mahuva", "Mahuva",
  H107="Jesar", "Mahuva",
  H107="Palitana", "Palitana",
  H107="Gariyadhar", "Palitana",
  H107="Talaja", "Talaja",
  H107="Vallabhipur", "Vallabhipur",
  H107="Umrala", "Vallabhipur",
  H107="Shihor", "Shihor",
  H107="Ghogha", "Bhavnagar",
  H107="Bhavnagar", "Bhavnagar"
)</f>
        <v>#N/A</v>
      </c>
      <c r="J107" s="5" t="s">
        <v>631</v>
      </c>
      <c r="K107" s="5"/>
      <c r="L107" s="5">
        <v>199480</v>
      </c>
      <c r="M107" s="5">
        <v>2</v>
      </c>
      <c r="N107" s="7">
        <v>45836</v>
      </c>
      <c r="O107" s="7">
        <v>45845</v>
      </c>
      <c r="P107" s="7">
        <v>45846</v>
      </c>
      <c r="Q107" s="7">
        <f t="shared" si="13"/>
        <v>45965</v>
      </c>
      <c r="R107" s="9">
        <v>419152057.25</v>
      </c>
      <c r="S107" s="33"/>
      <c r="U107" s="10"/>
      <c r="V107" s="10" t="str">
        <f t="shared" si="14"/>
        <v>Equals</v>
      </c>
      <c r="W107" s="11" t="str" cm="1">
        <f t="array" ref="W107">NumberToWords(T107)</f>
        <v>Zero Rupees Only</v>
      </c>
      <c r="X107" s="10" t="str">
        <f t="shared" si="15"/>
        <v>Division</v>
      </c>
      <c r="Z107" s="9">
        <f t="shared" si="16"/>
        <v>0</v>
      </c>
      <c r="AB107" s="8">
        <f>_xlfn.XLOOKUP(AA107, 'Agency List'!A$2:A$145, 'Agency List'!B$2:B$145, "Not Found")</f>
        <v>0</v>
      </c>
      <c r="AC107" s="8">
        <f>_xlfn.XLOOKUP(AA107, 'Agency List'!A$2:A$145, 'Agency List'!C$2:C$145, "Not Found")</f>
        <v>0</v>
      </c>
      <c r="AD107" s="8">
        <f>_xlfn.XLOOKUP(AA107, 'Agency List'!A$2:A$145, 'Agency List'!D$2:D$145, "Not Found")</f>
        <v>0</v>
      </c>
      <c r="AE107" s="7">
        <v>45875</v>
      </c>
      <c r="AF107" s="5"/>
      <c r="AG107" s="5" t="str">
        <f t="shared" si="17"/>
        <v>Bandhkam</v>
      </c>
      <c r="AH107" s="5"/>
      <c r="AI107" s="8"/>
      <c r="AJ107" s="8"/>
      <c r="AL107" s="16"/>
      <c r="AM107" s="12">
        <f t="shared" si="18"/>
        <v>0</v>
      </c>
      <c r="AN107" s="7">
        <f t="shared" si="19"/>
        <v>1170</v>
      </c>
      <c r="AO107" s="12">
        <f t="shared" si="20"/>
        <v>0</v>
      </c>
      <c r="AP107" s="12">
        <f t="shared" si="21"/>
        <v>0</v>
      </c>
      <c r="AQ107" s="15">
        <f t="shared" si="22"/>
        <v>35</v>
      </c>
      <c r="AR107" s="7">
        <f t="shared" si="23"/>
        <v>1110</v>
      </c>
      <c r="AS107" s="5"/>
      <c r="AU107" s="5"/>
      <c r="AV107" s="17"/>
      <c r="AW107" s="17"/>
      <c r="AX107" s="5"/>
      <c r="AY107" s="5"/>
      <c r="AZ107" s="13"/>
      <c r="BA107" s="12"/>
      <c r="BB107" s="7"/>
      <c r="BC107" s="14"/>
      <c r="BD107" s="14"/>
      <c r="BF107" s="12"/>
      <c r="BG107" s="14"/>
      <c r="BH107" s="19"/>
      <c r="BI107" s="5"/>
      <c r="BM107" s="18"/>
      <c r="BN107" s="18"/>
      <c r="BO107" s="18"/>
      <c r="BP107" s="18"/>
      <c r="BQ107" s="5"/>
      <c r="BR107" s="18"/>
      <c r="BS107" s="18"/>
      <c r="BT107" s="35">
        <f>BH107+AL107*30</f>
        <v>0</v>
      </c>
    </row>
    <row r="108" spans="1:72" ht="58" x14ac:dyDescent="0.35">
      <c r="A108" s="5">
        <v>107</v>
      </c>
      <c r="B108" s="5"/>
      <c r="C108" s="5" t="s">
        <v>78</v>
      </c>
      <c r="D108" s="5">
        <v>8</v>
      </c>
      <c r="E108" s="5">
        <v>1</v>
      </c>
      <c r="F108" s="8" t="s">
        <v>483</v>
      </c>
      <c r="G108" s="8"/>
      <c r="H108" s="5" t="s">
        <v>278</v>
      </c>
      <c r="I108" s="5" t="str" cm="1">
        <f t="array" ref="I108">_xlfn.IFS(
  H108="Mahuva", "Mahuva",
  H108="Jesar", "Mahuva",
  H108="Palitana", "Palitana",
  H108="Gariyadhar", "Palitana",
  H108="Talaja", "Talaja",
  H108="Vallabhipur", "Vallabhipur",
  H108="Umrala", "Vallabhipur",
  H108="Shihor", "Shihor",
  H108="Ghogha", "Bhavnagar",
  H108="Bhavnagar", "Bhavnagar"
)</f>
        <v>Mahuva</v>
      </c>
      <c r="J108" s="5" t="s">
        <v>256</v>
      </c>
      <c r="K108" s="5" t="s">
        <v>418</v>
      </c>
      <c r="L108" s="5">
        <v>199536</v>
      </c>
      <c r="M108" s="5">
        <v>2</v>
      </c>
      <c r="N108" s="7">
        <v>45837</v>
      </c>
      <c r="O108" s="7">
        <v>45848</v>
      </c>
      <c r="P108" s="7">
        <v>45849</v>
      </c>
      <c r="Q108" s="7">
        <f t="shared" si="13"/>
        <v>45968</v>
      </c>
      <c r="R108" s="9">
        <v>2079935.08</v>
      </c>
      <c r="S108" s="33"/>
      <c r="T108" s="9">
        <v>2069327.41</v>
      </c>
      <c r="U108" s="10">
        <v>-0.51</v>
      </c>
      <c r="V108" s="10" t="str">
        <f t="shared" si="14"/>
        <v>Below</v>
      </c>
      <c r="W108" s="11" t="str" cm="1">
        <f t="array" ref="W108">NumberToWords(T108)</f>
        <v>Twenty Lakh Sixty Nine Thousand Three Hundred Twenty Seven Rupees and Forty One Paise Only</v>
      </c>
      <c r="X108" s="10" t="str">
        <f t="shared" si="15"/>
        <v>Division</v>
      </c>
      <c r="Z108" s="9">
        <f t="shared" si="16"/>
        <v>2069327.41</v>
      </c>
      <c r="AA108" s="5" t="s">
        <v>281</v>
      </c>
      <c r="AB108" s="8" t="str">
        <f>_xlfn.XLOOKUP(AA108, 'Agency List'!A$2:A$145, 'Agency List'!B$2:B$145, "Not Found")</f>
        <v>UDAYBHAI RAMKUBHAI LUNSAR</v>
      </c>
      <c r="AC108" s="8" t="str">
        <f>_xlfn.XLOOKUP(AA108, 'Agency List'!A$2:A$145, 'Agency List'!C$2:C$145, "Not Found")</f>
        <v>Shop No. 5, First Floor, Nilkanth Arcade, Opp. Arjun Tokiz, Palitana Road, Gariyadhar- 364505</v>
      </c>
      <c r="AD108" s="8">
        <f>_xlfn.XLOOKUP(AA108, 'Agency List'!A$2:A$145, 'Agency List'!D$2:D$145, "Not Found")</f>
        <v>9824226646</v>
      </c>
      <c r="AE108" s="7"/>
      <c r="AF108" s="5" t="s">
        <v>357</v>
      </c>
      <c r="AG108" s="5" t="str">
        <f t="shared" si="17"/>
        <v>Bandhkam</v>
      </c>
      <c r="AH108" s="5"/>
      <c r="AI108" s="8"/>
      <c r="AJ108" s="8"/>
      <c r="AL108" s="16">
        <v>4</v>
      </c>
      <c r="AM108" s="12">
        <f t="shared" si="18"/>
        <v>104000</v>
      </c>
      <c r="AN108" s="7">
        <f t="shared" si="19"/>
        <v>46481</v>
      </c>
      <c r="AO108" s="12">
        <f t="shared" si="20"/>
        <v>5100</v>
      </c>
      <c r="AP108" s="12">
        <f t="shared" si="21"/>
        <v>0</v>
      </c>
      <c r="AQ108" s="15">
        <f t="shared" si="22"/>
        <v>46066</v>
      </c>
      <c r="AR108" s="7">
        <f t="shared" si="23"/>
        <v>46421</v>
      </c>
      <c r="AS108" s="5">
        <v>1110</v>
      </c>
      <c r="AT108" s="7">
        <v>45877</v>
      </c>
      <c r="AU108" s="5" t="s">
        <v>78</v>
      </c>
      <c r="AV108" s="17">
        <v>154</v>
      </c>
      <c r="AW108" s="19">
        <v>45911</v>
      </c>
      <c r="AX108" s="5" t="s">
        <v>355</v>
      </c>
      <c r="AY108" s="5" t="s">
        <v>369</v>
      </c>
      <c r="AZ108" s="13">
        <v>44407033360</v>
      </c>
      <c r="BA108" s="12">
        <v>104000</v>
      </c>
      <c r="BB108" s="7">
        <v>45899</v>
      </c>
      <c r="BC108" s="14"/>
      <c r="BD108" s="14"/>
      <c r="BF108" s="12"/>
      <c r="BG108" s="14"/>
      <c r="BH108" s="19">
        <v>45911</v>
      </c>
      <c r="BI108" s="5">
        <v>1299</v>
      </c>
      <c r="BJ108" s="19">
        <v>45911</v>
      </c>
      <c r="BM108" s="18"/>
      <c r="BN108" s="18"/>
      <c r="BO108" s="18"/>
      <c r="BP108" s="18"/>
      <c r="BQ108" s="5"/>
      <c r="BR108" s="18"/>
      <c r="BS108" s="18"/>
      <c r="BT108" s="35">
        <f>BH108+AL108*30</f>
        <v>46031</v>
      </c>
    </row>
    <row r="109" spans="1:72" ht="58" x14ac:dyDescent="0.35">
      <c r="A109" s="5">
        <v>108</v>
      </c>
      <c r="B109" s="5"/>
      <c r="C109" s="5" t="s">
        <v>78</v>
      </c>
      <c r="D109" s="5">
        <v>8</v>
      </c>
      <c r="E109" s="5">
        <v>2</v>
      </c>
      <c r="F109" s="8" t="s">
        <v>484</v>
      </c>
      <c r="G109" s="8"/>
      <c r="H109" s="5" t="s">
        <v>278</v>
      </c>
      <c r="I109" s="5" t="str" cm="1">
        <f t="array" ref="I109">_xlfn.IFS(
  H109="Mahuva", "Mahuva",
  H109="Jesar", "Mahuva",
  H109="Palitana", "Palitana",
  H109="Gariyadhar", "Palitana",
  H109="Talaja", "Talaja",
  H109="Vallabhipur", "Vallabhipur",
  H109="Umrala", "Vallabhipur",
  H109="Shihor", "Shihor",
  H109="Ghogha", "Bhavnagar",
  H109="Bhavnagar", "Bhavnagar"
)</f>
        <v>Mahuva</v>
      </c>
      <c r="J109" s="5" t="s">
        <v>256</v>
      </c>
      <c r="K109" s="5" t="s">
        <v>418</v>
      </c>
      <c r="L109" s="5">
        <v>199539</v>
      </c>
      <c r="M109" s="5">
        <v>2</v>
      </c>
      <c r="N109" s="7">
        <v>45837</v>
      </c>
      <c r="O109" s="7">
        <v>45848</v>
      </c>
      <c r="P109" s="7">
        <v>45849</v>
      </c>
      <c r="Q109" s="7">
        <f t="shared" si="13"/>
        <v>45968</v>
      </c>
      <c r="R109" s="9">
        <v>2079935.08</v>
      </c>
      <c r="S109" s="33"/>
      <c r="T109" s="9">
        <v>2069327.41</v>
      </c>
      <c r="U109" s="10">
        <v>-0.51</v>
      </c>
      <c r="V109" s="10" t="str">
        <f t="shared" si="14"/>
        <v>Below</v>
      </c>
      <c r="W109" s="11" t="str" cm="1">
        <f t="array" ref="W109">NumberToWords(T109)</f>
        <v>Twenty Lakh Sixty Nine Thousand Three Hundred Twenty Seven Rupees and Forty One Paise Only</v>
      </c>
      <c r="X109" s="10" t="str">
        <f t="shared" si="15"/>
        <v>Division</v>
      </c>
      <c r="Z109" s="9">
        <f t="shared" si="16"/>
        <v>2069327.41</v>
      </c>
      <c r="AA109" s="5" t="s">
        <v>281</v>
      </c>
      <c r="AB109" s="8" t="str">
        <f>_xlfn.XLOOKUP(AA109, 'Agency List'!A$2:A$145, 'Agency List'!B$2:B$145, "Not Found")</f>
        <v>UDAYBHAI RAMKUBHAI LUNSAR</v>
      </c>
      <c r="AC109" s="8" t="str">
        <f>_xlfn.XLOOKUP(AA109, 'Agency List'!A$2:A$145, 'Agency List'!C$2:C$145, "Not Found")</f>
        <v>Shop No. 5, First Floor, Nilkanth Arcade, Opp. Arjun Tokiz, Palitana Road, Gariyadhar- 364505</v>
      </c>
      <c r="AD109" s="8">
        <f>_xlfn.XLOOKUP(AA109, 'Agency List'!A$2:A$145, 'Agency List'!D$2:D$145, "Not Found")</f>
        <v>9824226646</v>
      </c>
      <c r="AE109" s="7"/>
      <c r="AF109" s="5" t="s">
        <v>357</v>
      </c>
      <c r="AG109" s="5" t="str">
        <f t="shared" si="17"/>
        <v>Bandhkam</v>
      </c>
      <c r="AH109" s="5"/>
      <c r="AI109" s="8"/>
      <c r="AJ109" s="8"/>
      <c r="AL109" s="16">
        <v>4</v>
      </c>
      <c r="AM109" s="12">
        <f t="shared" si="18"/>
        <v>104000</v>
      </c>
      <c r="AN109" s="7">
        <f t="shared" si="19"/>
        <v>46481</v>
      </c>
      <c r="AO109" s="12">
        <f t="shared" si="20"/>
        <v>5100</v>
      </c>
      <c r="AP109" s="12">
        <f t="shared" si="21"/>
        <v>0</v>
      </c>
      <c r="AQ109" s="15">
        <f t="shared" si="22"/>
        <v>46066</v>
      </c>
      <c r="AR109" s="7">
        <f t="shared" si="23"/>
        <v>46421</v>
      </c>
      <c r="AS109" s="5">
        <v>1118</v>
      </c>
      <c r="AT109" s="7">
        <v>45877</v>
      </c>
      <c r="AU109" s="5" t="s">
        <v>78</v>
      </c>
      <c r="AV109" s="17">
        <v>155</v>
      </c>
      <c r="AW109" s="19">
        <v>45911</v>
      </c>
      <c r="AX109" s="5" t="s">
        <v>355</v>
      </c>
      <c r="AY109" s="5" t="s">
        <v>369</v>
      </c>
      <c r="AZ109" s="13">
        <v>44407033359</v>
      </c>
      <c r="BA109" s="12">
        <v>104000</v>
      </c>
      <c r="BB109" s="7">
        <v>45899</v>
      </c>
      <c r="BC109" s="14"/>
      <c r="BD109" s="14"/>
      <c r="BF109" s="12"/>
      <c r="BG109" s="14"/>
      <c r="BH109" s="19">
        <v>45911</v>
      </c>
      <c r="BI109" s="5">
        <v>1300</v>
      </c>
      <c r="BJ109" s="19">
        <v>45911</v>
      </c>
      <c r="BM109" s="18"/>
      <c r="BN109" s="18"/>
      <c r="BO109" s="18"/>
      <c r="BP109" s="18"/>
      <c r="BQ109" s="5"/>
      <c r="BR109" s="18"/>
      <c r="BS109" s="18"/>
      <c r="BT109" s="35"/>
    </row>
    <row r="110" spans="1:72" ht="58" x14ac:dyDescent="0.35">
      <c r="A110" s="5">
        <v>109</v>
      </c>
      <c r="B110" s="5"/>
      <c r="C110" s="5" t="s">
        <v>78</v>
      </c>
      <c r="D110" s="5">
        <v>8</v>
      </c>
      <c r="E110" s="5">
        <v>3</v>
      </c>
      <c r="F110" s="8" t="s">
        <v>485</v>
      </c>
      <c r="G110" s="8"/>
      <c r="H110" s="5" t="s">
        <v>278</v>
      </c>
      <c r="I110" s="5" t="str" cm="1">
        <f t="array" ref="I110">_xlfn.IFS(
  H110="Mahuva", "Mahuva",
  H110="Jesar", "Mahuva",
  H110="Palitana", "Palitana",
  H110="Gariyadhar", "Palitana",
  H110="Talaja", "Talaja",
  H110="Vallabhipur", "Vallabhipur",
  H110="Umrala", "Vallabhipur",
  H110="Shihor", "Shihor",
  H110="Ghogha", "Bhavnagar",
  H110="Bhavnagar", "Bhavnagar"
)</f>
        <v>Mahuva</v>
      </c>
      <c r="J110" s="5" t="s">
        <v>256</v>
      </c>
      <c r="K110" s="5" t="s">
        <v>418</v>
      </c>
      <c r="L110" s="5">
        <v>199541</v>
      </c>
      <c r="M110" s="5">
        <v>2</v>
      </c>
      <c r="N110" s="7">
        <v>45837</v>
      </c>
      <c r="O110" s="7">
        <v>45848</v>
      </c>
      <c r="P110" s="7">
        <v>45849</v>
      </c>
      <c r="Q110" s="7">
        <f t="shared" si="13"/>
        <v>45968</v>
      </c>
      <c r="R110" s="9">
        <v>2079935.08</v>
      </c>
      <c r="S110" s="33"/>
      <c r="T110" s="9">
        <v>2069327.41</v>
      </c>
      <c r="U110" s="10">
        <v>-0.51</v>
      </c>
      <c r="V110" s="10" t="str">
        <f t="shared" si="14"/>
        <v>Below</v>
      </c>
      <c r="W110" s="11" t="str" cm="1">
        <f t="array" ref="W110">NumberToWords(T110)</f>
        <v>Twenty Lakh Sixty Nine Thousand Three Hundred Twenty Seven Rupees and Forty One Paise Only</v>
      </c>
      <c r="X110" s="10" t="str">
        <f t="shared" si="15"/>
        <v>Division</v>
      </c>
      <c r="Z110" s="9">
        <f t="shared" si="16"/>
        <v>2069327.41</v>
      </c>
      <c r="AA110" s="5" t="s">
        <v>281</v>
      </c>
      <c r="AB110" s="8" t="str">
        <f>_xlfn.XLOOKUP(AA110, 'Agency List'!A$2:A$145, 'Agency List'!B$2:B$145, "Not Found")</f>
        <v>UDAYBHAI RAMKUBHAI LUNSAR</v>
      </c>
      <c r="AC110" s="8" t="str">
        <f>_xlfn.XLOOKUP(AA110, 'Agency List'!A$2:A$145, 'Agency List'!C$2:C$145, "Not Found")</f>
        <v>Shop No. 5, First Floor, Nilkanth Arcade, Opp. Arjun Tokiz, Palitana Road, Gariyadhar- 364505</v>
      </c>
      <c r="AD110" s="8">
        <f>_xlfn.XLOOKUP(AA110, 'Agency List'!A$2:A$145, 'Agency List'!D$2:D$145, "Not Found")</f>
        <v>9824226646</v>
      </c>
      <c r="AE110" s="7"/>
      <c r="AF110" s="5" t="s">
        <v>357</v>
      </c>
      <c r="AG110" s="5" t="str">
        <f t="shared" si="17"/>
        <v>Bandhkam</v>
      </c>
      <c r="AH110" s="5"/>
      <c r="AI110" s="8"/>
      <c r="AJ110" s="8"/>
      <c r="AL110" s="16">
        <v>4</v>
      </c>
      <c r="AM110" s="12">
        <f t="shared" si="18"/>
        <v>104000</v>
      </c>
      <c r="AN110" s="7">
        <f t="shared" si="19"/>
        <v>46481</v>
      </c>
      <c r="AO110" s="12">
        <f t="shared" si="20"/>
        <v>5100</v>
      </c>
      <c r="AP110" s="12">
        <f t="shared" si="21"/>
        <v>0</v>
      </c>
      <c r="AQ110" s="15">
        <f t="shared" si="22"/>
        <v>46066</v>
      </c>
      <c r="AR110" s="7">
        <f t="shared" si="23"/>
        <v>46421</v>
      </c>
      <c r="AS110" s="5">
        <v>1119</v>
      </c>
      <c r="AT110" s="7">
        <v>45877</v>
      </c>
      <c r="AU110" s="5" t="s">
        <v>78</v>
      </c>
      <c r="AV110" s="17">
        <v>156</v>
      </c>
      <c r="AW110" s="19">
        <v>45911</v>
      </c>
      <c r="AX110" s="5" t="s">
        <v>355</v>
      </c>
      <c r="AY110" s="5" t="s">
        <v>369</v>
      </c>
      <c r="AZ110" s="13">
        <v>44407033361</v>
      </c>
      <c r="BA110" s="12">
        <v>104000</v>
      </c>
      <c r="BB110" s="7">
        <v>45899</v>
      </c>
      <c r="BC110" s="14"/>
      <c r="BD110" s="14"/>
      <c r="BF110" s="12"/>
      <c r="BG110" s="14"/>
      <c r="BH110" s="19">
        <v>45911</v>
      </c>
      <c r="BI110" s="5">
        <v>1301</v>
      </c>
      <c r="BJ110" s="19">
        <v>45911</v>
      </c>
      <c r="BM110" s="18"/>
      <c r="BN110" s="18"/>
      <c r="BO110" s="18"/>
      <c r="BP110" s="18"/>
      <c r="BQ110" s="5"/>
      <c r="BR110" s="18"/>
      <c r="BS110" s="18"/>
      <c r="BT110" s="35"/>
    </row>
    <row r="111" spans="1:72" ht="43.5" x14ac:dyDescent="0.35">
      <c r="A111" s="5">
        <v>110</v>
      </c>
      <c r="B111" s="5"/>
      <c r="C111" s="5" t="s">
        <v>78</v>
      </c>
      <c r="D111" s="5">
        <v>8</v>
      </c>
      <c r="E111" s="5">
        <v>4</v>
      </c>
      <c r="F111" s="8" t="s">
        <v>486</v>
      </c>
      <c r="G111" s="8"/>
      <c r="H111" s="5" t="s">
        <v>278</v>
      </c>
      <c r="I111" s="5" t="str" cm="1">
        <f t="array" ref="I111">_xlfn.IFS(
  H111="Mahuva", "Mahuva",
  H111="Jesar", "Mahuva",
  H111="Palitana", "Palitana",
  H111="Gariyadhar", "Palitana",
  H111="Talaja", "Talaja",
  H111="Vallabhipur", "Vallabhipur",
  H111="Umrala", "Vallabhipur",
  H111="Shihor", "Shihor",
  H111="Ghogha", "Bhavnagar",
  H111="Bhavnagar", "Bhavnagar"
)</f>
        <v>Mahuva</v>
      </c>
      <c r="J111" s="5" t="s">
        <v>256</v>
      </c>
      <c r="K111" s="5" t="s">
        <v>418</v>
      </c>
      <c r="L111" s="5">
        <v>199544</v>
      </c>
      <c r="M111" s="5">
        <v>2</v>
      </c>
      <c r="N111" s="7">
        <v>45837</v>
      </c>
      <c r="O111" s="7">
        <v>45848</v>
      </c>
      <c r="P111" s="7">
        <v>45849</v>
      </c>
      <c r="Q111" s="7">
        <f t="shared" si="13"/>
        <v>45968</v>
      </c>
      <c r="R111" s="9">
        <v>2079935.08</v>
      </c>
      <c r="S111" s="33"/>
      <c r="T111" s="9">
        <v>1957426.9</v>
      </c>
      <c r="U111" s="10">
        <v>-5.89</v>
      </c>
      <c r="V111" s="10" t="str">
        <f t="shared" si="14"/>
        <v>Below</v>
      </c>
      <c r="W111" s="11" t="str" cm="1">
        <f t="array" ref="W111">NumberToWords(T111)</f>
        <v>Nineteen Lakh Fifty Seven Thousand Four Hundred Twenty Six Rupees and Nine Paise Only</v>
      </c>
      <c r="X111" s="10" t="str">
        <f t="shared" si="15"/>
        <v>Division</v>
      </c>
      <c r="Z111" s="9">
        <f t="shared" si="16"/>
        <v>1957426.9</v>
      </c>
      <c r="AA111" s="5" t="s">
        <v>392</v>
      </c>
      <c r="AB111" s="8" t="str">
        <f>_xlfn.XLOOKUP(AA111, 'Agency List'!A$2:A$145, 'Agency List'!B$2:B$145, "Not Found")</f>
        <v>Labhshankar ladhva</v>
      </c>
      <c r="AC111" s="8" t="str">
        <f>_xlfn.XLOOKUP(AA111, 'Agency List'!A$2:A$145, 'Agency List'!C$2:C$145, "Not Found")</f>
        <v>At Po. Karmadiya, Via Thaliya, Ta. Mahuva, Dist. Bhavnagar - 364145</v>
      </c>
      <c r="AD111" s="8">
        <f>_xlfn.XLOOKUP(AA111, 'Agency List'!A$2:A$145, 'Agency List'!D$2:D$145, "Not Found")</f>
        <v>9825445121</v>
      </c>
      <c r="AE111" s="7"/>
      <c r="AF111" s="5" t="s">
        <v>357</v>
      </c>
      <c r="AG111" s="5" t="str">
        <f t="shared" si="17"/>
        <v>Bandhkam</v>
      </c>
      <c r="AH111" s="5"/>
      <c r="AI111" s="8"/>
      <c r="AJ111" s="8"/>
      <c r="AL111" s="16">
        <v>4</v>
      </c>
      <c r="AM111" s="12">
        <f t="shared" si="18"/>
        <v>98000</v>
      </c>
      <c r="AN111" s="7">
        <f t="shared" si="19"/>
        <v>46501</v>
      </c>
      <c r="AO111" s="12">
        <f t="shared" si="20"/>
        <v>4900</v>
      </c>
      <c r="AP111" s="12">
        <f t="shared" si="21"/>
        <v>0</v>
      </c>
      <c r="AQ111" s="15">
        <f t="shared" si="22"/>
        <v>46086</v>
      </c>
      <c r="AR111" s="7">
        <f t="shared" si="23"/>
        <v>46441</v>
      </c>
      <c r="AS111" s="5">
        <v>1120</v>
      </c>
      <c r="AT111" s="7">
        <v>45877</v>
      </c>
      <c r="AU111" s="5" t="s">
        <v>78</v>
      </c>
      <c r="AV111" s="17">
        <v>168</v>
      </c>
      <c r="AW111" s="37">
        <v>45931</v>
      </c>
      <c r="AX111" s="5" t="s">
        <v>355</v>
      </c>
      <c r="AY111" s="5" t="s">
        <v>356</v>
      </c>
      <c r="AZ111" s="13">
        <v>78048996970</v>
      </c>
      <c r="BA111" s="12">
        <v>98000</v>
      </c>
      <c r="BB111" s="7">
        <v>45887</v>
      </c>
      <c r="BC111" s="14"/>
      <c r="BD111" s="14"/>
      <c r="BF111" s="12"/>
      <c r="BG111" s="14"/>
      <c r="BH111" s="37">
        <v>45931</v>
      </c>
      <c r="BI111" s="5">
        <v>1410</v>
      </c>
      <c r="BJ111" s="37">
        <v>45931</v>
      </c>
      <c r="BM111" s="18"/>
      <c r="BN111" s="18"/>
      <c r="BO111" s="18"/>
      <c r="BP111" s="18"/>
      <c r="BQ111" s="5"/>
      <c r="BR111" s="18"/>
      <c r="BS111" s="18"/>
      <c r="BT111" s="35"/>
    </row>
    <row r="112" spans="1:72" ht="43.5" x14ac:dyDescent="0.35">
      <c r="A112" s="5">
        <v>111</v>
      </c>
      <c r="B112" s="5"/>
      <c r="C112" s="5" t="s">
        <v>78</v>
      </c>
      <c r="D112" s="5">
        <v>8</v>
      </c>
      <c r="E112" s="5">
        <v>5</v>
      </c>
      <c r="F112" s="8" t="s">
        <v>487</v>
      </c>
      <c r="G112" s="8"/>
      <c r="H112" s="5" t="s">
        <v>278</v>
      </c>
      <c r="I112" s="5" t="str" cm="1">
        <f t="array" ref="I112">_xlfn.IFS(
  H112="Mahuva", "Mahuva",
  H112="Jesar", "Mahuva",
  H112="Palitana", "Palitana",
  H112="Gariyadhar", "Palitana",
  H112="Talaja", "Talaja",
  H112="Vallabhipur", "Vallabhipur",
  H112="Umrala", "Vallabhipur",
  H112="Shihor", "Shihor",
  H112="Ghogha", "Bhavnagar",
  H112="Bhavnagar", "Bhavnagar"
)</f>
        <v>Mahuva</v>
      </c>
      <c r="J112" s="5" t="s">
        <v>256</v>
      </c>
      <c r="K112" s="5" t="s">
        <v>418</v>
      </c>
      <c r="L112" s="5">
        <v>199545</v>
      </c>
      <c r="M112" s="5">
        <v>2</v>
      </c>
      <c r="N112" s="7">
        <v>45837</v>
      </c>
      <c r="O112" s="7">
        <v>45848</v>
      </c>
      <c r="P112" s="7">
        <v>45849</v>
      </c>
      <c r="Q112" s="7">
        <f t="shared" si="13"/>
        <v>45968</v>
      </c>
      <c r="R112" s="9">
        <v>2079935.08</v>
      </c>
      <c r="S112" s="33"/>
      <c r="T112" s="9">
        <v>1936627.55</v>
      </c>
      <c r="U112" s="10">
        <v>-6.89</v>
      </c>
      <c r="V112" s="10" t="str">
        <f t="shared" si="14"/>
        <v>Below</v>
      </c>
      <c r="W112" s="11" t="str" cm="1">
        <f t="array" ref="W112">NumberToWords(T112)</f>
        <v>Nineteen Lakh Thirty Six Thousand Six Hundred Twenty Seven Rupees and Fifty Five Paise Only</v>
      </c>
      <c r="X112" s="10" t="str">
        <f t="shared" si="15"/>
        <v>Division</v>
      </c>
      <c r="Z112" s="9">
        <f t="shared" si="16"/>
        <v>1936627.55</v>
      </c>
      <c r="AA112" s="5" t="s">
        <v>392</v>
      </c>
      <c r="AB112" s="8" t="str">
        <f>_xlfn.XLOOKUP(AA112, 'Agency List'!A$2:A$145, 'Agency List'!B$2:B$145, "Not Found")</f>
        <v>Labhshankar ladhva</v>
      </c>
      <c r="AC112" s="8" t="str">
        <f>_xlfn.XLOOKUP(AA112, 'Agency List'!A$2:A$145, 'Agency List'!C$2:C$145, "Not Found")</f>
        <v>At Po. Karmadiya, Via Thaliya, Ta. Mahuva, Dist. Bhavnagar - 364145</v>
      </c>
      <c r="AD112" s="8">
        <f>_xlfn.XLOOKUP(AA112, 'Agency List'!A$2:A$145, 'Agency List'!D$2:D$145, "Not Found")</f>
        <v>9825445121</v>
      </c>
      <c r="AE112" s="7"/>
      <c r="AF112" s="5" t="s">
        <v>357</v>
      </c>
      <c r="AG112" s="5" t="str">
        <f t="shared" si="17"/>
        <v>Bandhkam</v>
      </c>
      <c r="AH112" s="5"/>
      <c r="AI112" s="8"/>
      <c r="AJ112" s="8"/>
      <c r="AL112" s="16">
        <v>4</v>
      </c>
      <c r="AM112" s="12">
        <f t="shared" si="18"/>
        <v>97000</v>
      </c>
      <c r="AN112" s="7">
        <f t="shared" si="19"/>
        <v>46471</v>
      </c>
      <c r="AO112" s="12">
        <f t="shared" si="20"/>
        <v>4800</v>
      </c>
      <c r="AP112" s="12">
        <f t="shared" si="21"/>
        <v>0</v>
      </c>
      <c r="AQ112" s="15">
        <f t="shared" si="22"/>
        <v>46056</v>
      </c>
      <c r="AR112" s="7">
        <f t="shared" si="23"/>
        <v>46411</v>
      </c>
      <c r="AS112" s="5">
        <v>1124</v>
      </c>
      <c r="AT112" s="7">
        <v>45877</v>
      </c>
      <c r="AU112" s="5" t="s">
        <v>78</v>
      </c>
      <c r="AV112" s="17">
        <v>131</v>
      </c>
      <c r="AW112" s="37">
        <v>45901</v>
      </c>
      <c r="AX112" s="5" t="s">
        <v>355</v>
      </c>
      <c r="AY112" s="5" t="s">
        <v>356</v>
      </c>
      <c r="AZ112" s="13">
        <v>78048996969</v>
      </c>
      <c r="BA112" s="12">
        <v>97000</v>
      </c>
      <c r="BB112" s="7">
        <v>45887</v>
      </c>
      <c r="BC112" s="14"/>
      <c r="BD112" s="14"/>
      <c r="BF112" s="12"/>
      <c r="BG112" s="14"/>
      <c r="BH112" s="37">
        <v>45901</v>
      </c>
      <c r="BI112" s="5">
        <v>1239</v>
      </c>
      <c r="BJ112" s="19">
        <v>45901</v>
      </c>
      <c r="BM112" s="18"/>
      <c r="BN112" s="18"/>
      <c r="BO112" s="18"/>
      <c r="BP112" s="18"/>
      <c r="BQ112" s="5"/>
      <c r="BR112" s="18"/>
      <c r="BS112" s="18"/>
      <c r="BT112" s="35"/>
    </row>
    <row r="113" spans="1:72" ht="43.5" x14ac:dyDescent="0.35">
      <c r="A113" s="5">
        <v>112</v>
      </c>
      <c r="B113" s="5"/>
      <c r="C113" s="5" t="s">
        <v>78</v>
      </c>
      <c r="D113" s="5">
        <v>8</v>
      </c>
      <c r="E113" s="5">
        <v>6</v>
      </c>
      <c r="F113" s="8" t="s">
        <v>488</v>
      </c>
      <c r="G113" s="8"/>
      <c r="H113" s="5" t="s">
        <v>3</v>
      </c>
      <c r="I113" s="5" t="str" cm="1">
        <f t="array" ref="I113">_xlfn.IFS(
  H113="Mahuva", "Mahuva",
  H113="Jesar", "Mahuva",
  H113="Palitana", "Palitana",
  H113="Gariyadhar", "Palitana",
  H113="Talaja", "Talaja",
  H113="Vallabhipur", "Vallabhipur",
  H113="Umrala", "Vallabhipur",
  H113="Shihor", "Shihor",
  H113="Ghogha", "Bhavnagar",
  H113="Bhavnagar", "Bhavnagar"
)</f>
        <v>Palitana</v>
      </c>
      <c r="J113" s="5" t="s">
        <v>256</v>
      </c>
      <c r="K113" s="5" t="s">
        <v>418</v>
      </c>
      <c r="L113" s="5">
        <v>199546</v>
      </c>
      <c r="M113" s="5">
        <v>2</v>
      </c>
      <c r="N113" s="7">
        <v>45837</v>
      </c>
      <c r="O113" s="7">
        <v>45848</v>
      </c>
      <c r="P113" s="7">
        <v>45849</v>
      </c>
      <c r="Q113" s="7">
        <f t="shared" si="13"/>
        <v>45968</v>
      </c>
      <c r="R113" s="9">
        <v>2079935.08</v>
      </c>
      <c r="S113" s="33"/>
      <c r="T113" s="9">
        <v>1954930.98</v>
      </c>
      <c r="U113" s="10">
        <v>-6.01</v>
      </c>
      <c r="V113" s="10" t="str">
        <f t="shared" si="14"/>
        <v>Below</v>
      </c>
      <c r="W113" s="11" t="str" cm="1">
        <f t="array" ref="W113">NumberToWords(T113)</f>
        <v>Nineteen Lakh Fifty Four Thousand Nine Hundred Thirty Rupees and Ninety Eight Paise Only</v>
      </c>
      <c r="X113" s="10" t="str">
        <f t="shared" si="15"/>
        <v>Division</v>
      </c>
      <c r="Z113" s="9">
        <f t="shared" si="16"/>
        <v>1954930.98</v>
      </c>
      <c r="AA113" s="5" t="s">
        <v>71</v>
      </c>
      <c r="AB113" s="8">
        <f>_xlfn.XLOOKUP(AA113, 'Agency List'!A$2:A$145, 'Agency List'!B$2:B$145, "Not Found")</f>
        <v>0</v>
      </c>
      <c r="AC113" s="8" t="str">
        <f>_xlfn.XLOOKUP(AA113, 'Agency List'!A$2:A$145, 'Agency List'!C$2:C$145, "Not Found")</f>
        <v>Dr. Ambedkar Society, Jamvali Road, Palitana, Dist Bhavnagar</v>
      </c>
      <c r="AD113" s="8">
        <f>_xlfn.XLOOKUP(AA113, 'Agency List'!A$2:A$145, 'Agency List'!D$2:D$145, "Not Found")</f>
        <v>9106563480</v>
      </c>
      <c r="AE113" s="7"/>
      <c r="AF113" s="5"/>
      <c r="AG113" s="5" t="str">
        <f t="shared" si="17"/>
        <v>Bandhkam</v>
      </c>
      <c r="AH113" s="5"/>
      <c r="AI113" s="8"/>
      <c r="AJ113" s="8"/>
      <c r="AL113" s="16">
        <v>4</v>
      </c>
      <c r="AM113" s="12">
        <f t="shared" si="18"/>
        <v>98000</v>
      </c>
      <c r="AN113" s="7">
        <f t="shared" si="19"/>
        <v>46454</v>
      </c>
      <c r="AO113" s="12">
        <f t="shared" si="20"/>
        <v>4900</v>
      </c>
      <c r="AP113" s="12">
        <f t="shared" si="21"/>
        <v>0</v>
      </c>
      <c r="AQ113" s="15">
        <f t="shared" si="22"/>
        <v>46039</v>
      </c>
      <c r="AR113" s="7">
        <f t="shared" si="23"/>
        <v>46394</v>
      </c>
      <c r="AS113" s="5">
        <v>1125</v>
      </c>
      <c r="AT113" s="7">
        <v>45877</v>
      </c>
      <c r="AU113" s="5"/>
      <c r="AV113" s="17"/>
      <c r="AW113" s="17"/>
      <c r="AX113" s="5"/>
      <c r="AY113" s="5"/>
      <c r="AZ113" s="13"/>
      <c r="BA113" s="12"/>
      <c r="BB113" s="7"/>
      <c r="BC113" s="14"/>
      <c r="BD113" s="14"/>
      <c r="BF113" s="12"/>
      <c r="BG113" s="14"/>
      <c r="BH113" s="19">
        <v>45884</v>
      </c>
      <c r="BI113" s="5"/>
      <c r="BK113" s="5">
        <v>1733</v>
      </c>
      <c r="BL113" s="7">
        <v>46006</v>
      </c>
      <c r="BM113" s="18"/>
      <c r="BN113" s="18"/>
      <c r="BO113" s="18"/>
      <c r="BP113" s="18"/>
      <c r="BQ113" s="5"/>
      <c r="BR113" s="18"/>
      <c r="BS113" s="18"/>
      <c r="BT113" s="35">
        <f>BH113+AL113*30</f>
        <v>46004</v>
      </c>
    </row>
    <row r="114" spans="1:72" ht="43.5" x14ac:dyDescent="0.35">
      <c r="A114" s="5">
        <v>113</v>
      </c>
      <c r="B114" s="5"/>
      <c r="C114" s="5" t="s">
        <v>78</v>
      </c>
      <c r="D114" s="5">
        <v>8</v>
      </c>
      <c r="E114" s="5">
        <v>7</v>
      </c>
      <c r="F114" s="8" t="s">
        <v>489</v>
      </c>
      <c r="G114" s="8"/>
      <c r="H114" s="5" t="s">
        <v>3</v>
      </c>
      <c r="I114" s="5" t="str" cm="1">
        <f t="array" ref="I114">_xlfn.IFS(
  H114="Mahuva", "Mahuva",
  H114="Jesar", "Mahuva",
  H114="Palitana", "Palitana",
  H114="Gariyadhar", "Palitana",
  H114="Talaja", "Talaja",
  H114="Vallabhipur", "Vallabhipur",
  H114="Umrala", "Vallabhipur",
  H114="Shihor", "Shihor",
  H114="Ghogha", "Bhavnagar",
  H114="Bhavnagar", "Bhavnagar"
)</f>
        <v>Palitana</v>
      </c>
      <c r="J114" s="5" t="s">
        <v>256</v>
      </c>
      <c r="K114" s="5" t="s">
        <v>418</v>
      </c>
      <c r="L114" s="5">
        <v>199547</v>
      </c>
      <c r="M114" s="5">
        <v>2</v>
      </c>
      <c r="N114" s="7">
        <v>45837</v>
      </c>
      <c r="O114" s="7">
        <v>45848</v>
      </c>
      <c r="P114" s="7">
        <v>45849</v>
      </c>
      <c r="Q114" s="7">
        <f t="shared" si="13"/>
        <v>45968</v>
      </c>
      <c r="R114" s="9">
        <v>2079935.08</v>
      </c>
      <c r="S114" s="33"/>
      <c r="T114" s="9">
        <v>1944531.31</v>
      </c>
      <c r="U114" s="10">
        <v>-6.51</v>
      </c>
      <c r="V114" s="10" t="str">
        <f t="shared" si="14"/>
        <v>Below</v>
      </c>
      <c r="W114" s="11" t="str" cm="1">
        <f t="array" ref="W114">NumberToWords(T114)</f>
        <v>Nineteen Lakh Forty Four Thousand Five Hundred Thirty One Rupees and Thirty One Paise Only</v>
      </c>
      <c r="X114" s="10" t="str">
        <f t="shared" si="15"/>
        <v>Division</v>
      </c>
      <c r="Z114" s="9">
        <f t="shared" si="16"/>
        <v>1944531.31</v>
      </c>
      <c r="AA114" s="5" t="s">
        <v>279</v>
      </c>
      <c r="AB114" s="8" t="str">
        <f>_xlfn.XLOOKUP(AA114, 'Agency List'!A$2:A$145, 'Agency List'!B$2:B$145, "Not Found")</f>
        <v>ALIGBHAI LAKHUBHAI BARAL</v>
      </c>
      <c r="AC114" s="8" t="str">
        <f>_xlfn.XLOOKUP(AA114, 'Agency List'!A$2:A$145, 'Agency List'!C$2:C$145, "Not Found")</f>
        <v>At Bhandariya, Ta. Palitana, Dist. Bhavnagar</v>
      </c>
      <c r="AD114" s="8">
        <f>_xlfn.XLOOKUP(AA114, 'Agency List'!A$2:A$145, 'Agency List'!D$2:D$145, "Not Found")</f>
        <v>9828109453</v>
      </c>
      <c r="AE114" s="7"/>
      <c r="AF114" s="1" t="s">
        <v>357</v>
      </c>
      <c r="AG114" s="5" t="str">
        <f t="shared" si="17"/>
        <v>Bandhkam</v>
      </c>
      <c r="AH114" s="1"/>
      <c r="AI114" s="8"/>
      <c r="AJ114" s="8"/>
      <c r="AL114" s="16">
        <v>4</v>
      </c>
      <c r="AM114" s="12">
        <f t="shared" si="18"/>
        <v>98000</v>
      </c>
      <c r="AN114" s="7">
        <f t="shared" si="19"/>
        <v>46457</v>
      </c>
      <c r="AO114" s="12">
        <f t="shared" si="20"/>
        <v>4900</v>
      </c>
      <c r="AP114" s="12">
        <f t="shared" si="21"/>
        <v>0</v>
      </c>
      <c r="AQ114" s="15">
        <f t="shared" si="22"/>
        <v>46042</v>
      </c>
      <c r="AR114" s="7">
        <f t="shared" si="23"/>
        <v>46397</v>
      </c>
      <c r="AS114" s="5">
        <v>1126</v>
      </c>
      <c r="AT114" s="7">
        <v>45877</v>
      </c>
      <c r="AU114" s="5" t="s">
        <v>78</v>
      </c>
      <c r="AV114" s="17">
        <v>98</v>
      </c>
      <c r="AW114" s="37">
        <v>45887</v>
      </c>
      <c r="AX114" s="5" t="s">
        <v>355</v>
      </c>
      <c r="AY114" s="5" t="s">
        <v>356</v>
      </c>
      <c r="AZ114" s="13">
        <v>78048990934</v>
      </c>
      <c r="BA114" s="12">
        <v>98000</v>
      </c>
      <c r="BB114" s="7">
        <v>45887</v>
      </c>
      <c r="BC114" s="14"/>
      <c r="BD114" s="14"/>
      <c r="BF114" s="12"/>
      <c r="BG114" s="14"/>
      <c r="BH114" s="19">
        <v>45887</v>
      </c>
      <c r="BI114" s="5">
        <v>1178</v>
      </c>
      <c r="BJ114" s="19">
        <v>45887</v>
      </c>
      <c r="BM114" s="18"/>
      <c r="BN114" s="18"/>
      <c r="BO114" s="18"/>
      <c r="BP114" s="18"/>
      <c r="BQ114" s="5"/>
      <c r="BR114" s="18"/>
      <c r="BS114" s="18"/>
      <c r="BT114" s="35">
        <f>BH114+AL114*30</f>
        <v>46007</v>
      </c>
    </row>
    <row r="115" spans="1:72" ht="43.5" x14ac:dyDescent="0.35">
      <c r="A115" s="5">
        <v>114</v>
      </c>
      <c r="B115" s="5"/>
      <c r="C115" s="5" t="s">
        <v>78</v>
      </c>
      <c r="D115" s="5">
        <v>8</v>
      </c>
      <c r="E115" s="5">
        <v>8</v>
      </c>
      <c r="F115" s="8" t="s">
        <v>490</v>
      </c>
      <c r="G115" s="8"/>
      <c r="H115" s="5" t="s">
        <v>3</v>
      </c>
      <c r="I115" s="5" t="str" cm="1">
        <f t="array" ref="I115">_xlfn.IFS(
  H115="Mahuva", "Mahuva",
  H115="Jesar", "Mahuva",
  H115="Palitana", "Palitana",
  H115="Gariyadhar", "Palitana",
  H115="Talaja", "Talaja",
  H115="Vallabhipur", "Vallabhipur",
  H115="Umrala", "Vallabhipur",
  H115="Shihor", "Shihor",
  H115="Ghogha", "Bhavnagar",
  H115="Bhavnagar", "Bhavnagar"
)</f>
        <v>Palitana</v>
      </c>
      <c r="J115" s="5" t="s">
        <v>256</v>
      </c>
      <c r="K115" s="5" t="s">
        <v>418</v>
      </c>
      <c r="L115" s="5">
        <v>199552</v>
      </c>
      <c r="M115" s="5">
        <v>2</v>
      </c>
      <c r="N115" s="7">
        <v>45837</v>
      </c>
      <c r="O115" s="7">
        <v>45848</v>
      </c>
      <c r="P115" s="7">
        <v>45849</v>
      </c>
      <c r="Q115" s="7">
        <f t="shared" si="13"/>
        <v>45968</v>
      </c>
      <c r="R115" s="9">
        <v>2079935.08</v>
      </c>
      <c r="S115" s="33"/>
      <c r="T115" s="9">
        <v>1927475.84</v>
      </c>
      <c r="U115" s="10">
        <v>-7.33</v>
      </c>
      <c r="V115" s="10" t="str">
        <f t="shared" si="14"/>
        <v>Below</v>
      </c>
      <c r="W115" s="11" t="str" cm="1">
        <f t="array" ref="W115">NumberToWords(T115)</f>
        <v>Nineteen Lakh Twenty Seven Thousand Four Hundred Seventy Five Rupees and Eighty Four Paise Only</v>
      </c>
      <c r="X115" s="10" t="str">
        <f t="shared" si="15"/>
        <v>Division</v>
      </c>
      <c r="Z115" s="9">
        <f t="shared" si="16"/>
        <v>1927475.84</v>
      </c>
      <c r="AA115" s="5" t="s">
        <v>178</v>
      </c>
      <c r="AB115" s="8">
        <f>_xlfn.XLOOKUP(AA115, 'Agency List'!A$2:A$145, 'Agency List'!B$2:B$145, "Not Found")</f>
        <v>0</v>
      </c>
      <c r="AC115" s="8" t="str">
        <f>_xlfn.XLOOKUP(AA115, 'Agency List'!A$2:A$145, 'Agency List'!C$2:C$145, "Not Found")</f>
        <v>Shetrunji Dam, Nani Paniyali, Palitana, Bhavnagar-364270</v>
      </c>
      <c r="AD115" s="8">
        <f>_xlfn.XLOOKUP(AA115, 'Agency List'!A$2:A$145, 'Agency List'!D$2:D$145, "Not Found")</f>
        <v>8140303377</v>
      </c>
      <c r="AE115" s="7"/>
      <c r="AF115" s="5" t="s">
        <v>357</v>
      </c>
      <c r="AG115" s="5" t="str">
        <f t="shared" si="17"/>
        <v>Bandhkam</v>
      </c>
      <c r="AH115" s="5"/>
      <c r="AI115" s="8"/>
      <c r="AJ115" s="8"/>
      <c r="AL115" s="16">
        <v>4</v>
      </c>
      <c r="AM115" s="12">
        <f t="shared" si="18"/>
        <v>97000</v>
      </c>
      <c r="AN115" s="7">
        <f t="shared" si="19"/>
        <v>46501</v>
      </c>
      <c r="AO115" s="12">
        <f t="shared" si="20"/>
        <v>4800</v>
      </c>
      <c r="AP115" s="12">
        <f t="shared" si="21"/>
        <v>0</v>
      </c>
      <c r="AQ115" s="15">
        <f t="shared" si="22"/>
        <v>46086</v>
      </c>
      <c r="AR115" s="7">
        <f t="shared" si="23"/>
        <v>46441</v>
      </c>
      <c r="AS115" s="5">
        <v>1127</v>
      </c>
      <c r="AT115" s="7">
        <v>45877</v>
      </c>
      <c r="AU115" s="5" t="s">
        <v>78</v>
      </c>
      <c r="AV115" s="17">
        <v>161</v>
      </c>
      <c r="AW115" s="37">
        <v>45931</v>
      </c>
      <c r="AX115" s="5" t="s">
        <v>355</v>
      </c>
      <c r="AY115" s="5" t="s">
        <v>356</v>
      </c>
      <c r="AZ115" s="13">
        <v>78049078234</v>
      </c>
      <c r="BA115" s="12">
        <v>97000</v>
      </c>
      <c r="BB115" s="7">
        <v>45894</v>
      </c>
      <c r="BC115" s="14"/>
      <c r="BD115" s="14"/>
      <c r="BF115" s="12"/>
      <c r="BG115" s="14"/>
      <c r="BH115" s="19">
        <v>45931</v>
      </c>
      <c r="BI115" s="5">
        <v>1402</v>
      </c>
      <c r="BJ115" s="19">
        <v>45931</v>
      </c>
      <c r="BM115" s="18"/>
      <c r="BN115" s="18"/>
      <c r="BO115" s="18"/>
      <c r="BP115" s="18"/>
      <c r="BQ115" s="5"/>
      <c r="BR115" s="18"/>
      <c r="BS115" s="18"/>
      <c r="BT115" s="35"/>
    </row>
    <row r="116" spans="1:72" ht="43.5" x14ac:dyDescent="0.35">
      <c r="A116" s="5">
        <v>115</v>
      </c>
      <c r="B116" s="5"/>
      <c r="C116" s="5" t="s">
        <v>78</v>
      </c>
      <c r="D116" s="5">
        <v>8</v>
      </c>
      <c r="E116" s="5">
        <v>9</v>
      </c>
      <c r="F116" s="8" t="s">
        <v>491</v>
      </c>
      <c r="G116" s="8"/>
      <c r="H116" s="5" t="s">
        <v>3</v>
      </c>
      <c r="I116" s="5" t="str" cm="1">
        <f t="array" ref="I116">_xlfn.IFS(
  H116="Mahuva", "Mahuva",
  H116="Jesar", "Mahuva",
  H116="Palitana", "Palitana",
  H116="Gariyadhar", "Palitana",
  H116="Talaja", "Talaja",
  H116="Vallabhipur", "Vallabhipur",
  H116="Umrala", "Vallabhipur",
  H116="Shihor", "Shihor",
  H116="Ghogha", "Bhavnagar",
  H116="Bhavnagar", "Bhavnagar"
)</f>
        <v>Palitana</v>
      </c>
      <c r="J116" s="5" t="s">
        <v>256</v>
      </c>
      <c r="K116" s="5" t="s">
        <v>418</v>
      </c>
      <c r="L116" s="5">
        <v>199554</v>
      </c>
      <c r="M116" s="5">
        <v>2</v>
      </c>
      <c r="N116" s="7">
        <v>45837</v>
      </c>
      <c r="O116" s="7">
        <v>45848</v>
      </c>
      <c r="P116" s="7">
        <v>45849</v>
      </c>
      <c r="Q116" s="7">
        <f t="shared" si="13"/>
        <v>45968</v>
      </c>
      <c r="R116" s="9">
        <v>2079935.08</v>
      </c>
      <c r="S116" s="33"/>
      <c r="T116" s="9">
        <v>2012337.19</v>
      </c>
      <c r="U116" s="10">
        <v>-3.25</v>
      </c>
      <c r="V116" s="10" t="str">
        <f t="shared" si="14"/>
        <v>Below</v>
      </c>
      <c r="W116" s="11" t="str" cm="1">
        <f t="array" ref="W116">NumberToWords(T116)</f>
        <v>Twenty Lakh Twelve Thousand Three Hundred Thirty Seven Rupees and Nineteen Paise Only</v>
      </c>
      <c r="X116" s="10" t="str">
        <f t="shared" si="15"/>
        <v>Division</v>
      </c>
      <c r="Z116" s="9">
        <f t="shared" si="16"/>
        <v>2012337.19</v>
      </c>
      <c r="AA116" s="5" t="s">
        <v>71</v>
      </c>
      <c r="AB116" s="8">
        <f>_xlfn.XLOOKUP(AA116, 'Agency List'!A$2:A$145, 'Agency List'!B$2:B$145, "Not Found")</f>
        <v>0</v>
      </c>
      <c r="AC116" s="8" t="str">
        <f>_xlfn.XLOOKUP(AA116, 'Agency List'!A$2:A$145, 'Agency List'!C$2:C$145, "Not Found")</f>
        <v>Dr. Ambedkar Society, Jamvali Road, Palitana, Dist Bhavnagar</v>
      </c>
      <c r="AD116" s="8">
        <f>_xlfn.XLOOKUP(AA116, 'Agency List'!A$2:A$145, 'Agency List'!D$2:D$145, "Not Found")</f>
        <v>9106563480</v>
      </c>
      <c r="AE116" s="7"/>
      <c r="AF116" s="5" t="s">
        <v>357</v>
      </c>
      <c r="AG116" s="5" t="str">
        <f t="shared" si="17"/>
        <v>Bandhkam</v>
      </c>
      <c r="AH116" s="5"/>
      <c r="AI116" s="8"/>
      <c r="AJ116" s="8"/>
      <c r="AL116" s="16">
        <v>4</v>
      </c>
      <c r="AM116" s="12">
        <f t="shared" si="18"/>
        <v>101000</v>
      </c>
      <c r="AN116" s="7">
        <f t="shared" si="19"/>
        <v>46513</v>
      </c>
      <c r="AO116" s="12">
        <f t="shared" si="20"/>
        <v>5000</v>
      </c>
      <c r="AP116" s="12">
        <f t="shared" si="21"/>
        <v>0</v>
      </c>
      <c r="AQ116" s="15">
        <f t="shared" si="22"/>
        <v>46098</v>
      </c>
      <c r="AR116" s="7">
        <f t="shared" si="23"/>
        <v>46453</v>
      </c>
      <c r="AS116" s="5">
        <v>1128</v>
      </c>
      <c r="AT116" s="7">
        <v>45877</v>
      </c>
      <c r="AU116" s="5" t="s">
        <v>78</v>
      </c>
      <c r="AV116" s="17">
        <v>192</v>
      </c>
      <c r="AW116" s="37">
        <v>45943</v>
      </c>
      <c r="AX116" s="5" t="s">
        <v>359</v>
      </c>
      <c r="AY116" s="5" t="s">
        <v>723</v>
      </c>
      <c r="AZ116" s="13" t="s">
        <v>812</v>
      </c>
      <c r="BA116" s="12">
        <v>101000</v>
      </c>
      <c r="BB116" s="7">
        <v>45937</v>
      </c>
      <c r="BC116" s="14"/>
      <c r="BD116" s="14"/>
      <c r="BF116" s="12"/>
      <c r="BG116" s="14"/>
      <c r="BH116" s="19">
        <v>45943</v>
      </c>
      <c r="BI116" s="5">
        <v>1476</v>
      </c>
      <c r="BJ116" s="19">
        <v>45943</v>
      </c>
      <c r="BM116" s="18"/>
      <c r="BN116" s="18"/>
      <c r="BO116" s="18"/>
      <c r="BP116" s="18"/>
      <c r="BQ116" s="5"/>
      <c r="BR116" s="18"/>
      <c r="BS116" s="18"/>
      <c r="BT116" s="35">
        <f>BH116+AL116*30</f>
        <v>46063</v>
      </c>
    </row>
    <row r="117" spans="1:72" ht="43.5" x14ac:dyDescent="0.35">
      <c r="A117" s="5">
        <v>116</v>
      </c>
      <c r="B117" s="5"/>
      <c r="C117" s="5" t="s">
        <v>78</v>
      </c>
      <c r="D117" s="5">
        <v>8</v>
      </c>
      <c r="E117" s="5">
        <v>10</v>
      </c>
      <c r="F117" s="8" t="s">
        <v>492</v>
      </c>
      <c r="G117" s="8"/>
      <c r="H117" s="5" t="s">
        <v>3</v>
      </c>
      <c r="I117" s="5" t="str" cm="1">
        <f t="array" ref="I117">_xlfn.IFS(
  H117="Mahuva", "Mahuva",
  H117="Jesar", "Mahuva",
  H117="Palitana", "Palitana",
  H117="Gariyadhar", "Palitana",
  H117="Talaja", "Talaja",
  H117="Vallabhipur", "Vallabhipur",
  H117="Umrala", "Vallabhipur",
  H117="Shihor", "Shihor",
  H117="Ghogha", "Bhavnagar",
  H117="Bhavnagar", "Bhavnagar"
)</f>
        <v>Palitana</v>
      </c>
      <c r="J117" s="5" t="s">
        <v>256</v>
      </c>
      <c r="K117" s="5" t="s">
        <v>418</v>
      </c>
      <c r="L117" s="5">
        <v>199557</v>
      </c>
      <c r="M117" s="5">
        <v>2</v>
      </c>
      <c r="N117" s="7">
        <v>45837</v>
      </c>
      <c r="O117" s="7">
        <v>45848</v>
      </c>
      <c r="P117" s="7">
        <v>45849</v>
      </c>
      <c r="Q117" s="7">
        <f t="shared" si="13"/>
        <v>45968</v>
      </c>
      <c r="R117" s="9">
        <v>2079935.08</v>
      </c>
      <c r="S117" s="33"/>
      <c r="T117" s="9">
        <v>1944531.31</v>
      </c>
      <c r="U117" s="10">
        <v>-6.51</v>
      </c>
      <c r="V117" s="10" t="str">
        <f t="shared" si="14"/>
        <v>Below</v>
      </c>
      <c r="W117" s="11" t="str" cm="1">
        <f t="array" ref="W117">NumberToWords(T117)</f>
        <v>Nineteen Lakh Forty Four Thousand Five Hundred Thirty One Rupees and Thirty One Paise Only</v>
      </c>
      <c r="X117" s="10" t="str">
        <f t="shared" si="15"/>
        <v>Division</v>
      </c>
      <c r="Z117" s="9">
        <f t="shared" si="16"/>
        <v>1944531.31</v>
      </c>
      <c r="AA117" s="5" t="s">
        <v>393</v>
      </c>
      <c r="AB117" s="8" t="str">
        <f>_xlfn.XLOOKUP(AA117, 'Agency List'!A$2:A$145, 'Agency List'!B$2:B$145, "Not Found")</f>
        <v>Narendrasinh Parbatsinh Gohil</v>
      </c>
      <c r="AC117" s="8" t="str">
        <f>_xlfn.XLOOKUP(AA117, 'Agency List'!A$2:A$145, 'Agency List'!C$2:C$145, "Not Found")</f>
        <v>At Village Rajapara (Thadach), Ta. Palitana, Dist. Bhavnagar - 364270</v>
      </c>
      <c r="AD117" s="8">
        <f>_xlfn.XLOOKUP(AA117, 'Agency List'!A$2:A$145, 'Agency List'!D$2:D$145, "Not Found")</f>
        <v>9998577523</v>
      </c>
      <c r="AE117" s="7"/>
      <c r="AF117" s="5" t="s">
        <v>357</v>
      </c>
      <c r="AG117" s="5" t="str">
        <f t="shared" si="17"/>
        <v>Bandhkam</v>
      </c>
      <c r="AH117" s="5"/>
      <c r="AI117" s="8"/>
      <c r="AJ117" s="8"/>
      <c r="AL117" s="16">
        <v>4</v>
      </c>
      <c r="AM117" s="12">
        <f t="shared" si="18"/>
        <v>98000</v>
      </c>
      <c r="AN117" s="7">
        <f t="shared" si="19"/>
        <v>46472</v>
      </c>
      <c r="AO117" s="12">
        <f t="shared" si="20"/>
        <v>4900</v>
      </c>
      <c r="AP117" s="12">
        <f t="shared" si="21"/>
        <v>0</v>
      </c>
      <c r="AQ117" s="15">
        <f t="shared" si="22"/>
        <v>46057</v>
      </c>
      <c r="AR117" s="7">
        <f t="shared" si="23"/>
        <v>46412</v>
      </c>
      <c r="AS117" s="5">
        <v>1129</v>
      </c>
      <c r="AT117" s="7">
        <v>45877</v>
      </c>
      <c r="AU117" s="5" t="s">
        <v>78</v>
      </c>
      <c r="AV117" s="17">
        <v>141</v>
      </c>
      <c r="AW117" s="37">
        <v>45902</v>
      </c>
      <c r="AX117" s="5" t="s">
        <v>355</v>
      </c>
      <c r="AY117" s="5" t="s">
        <v>356</v>
      </c>
      <c r="AZ117" s="13">
        <v>78049041419</v>
      </c>
      <c r="BA117" s="12">
        <v>98000</v>
      </c>
      <c r="BB117" s="7">
        <v>45890</v>
      </c>
      <c r="BC117" s="14"/>
      <c r="BD117" s="14"/>
      <c r="BF117" s="12"/>
      <c r="BG117" s="14"/>
      <c r="BH117" s="19">
        <v>45902</v>
      </c>
      <c r="BI117" s="5">
        <v>1252</v>
      </c>
      <c r="BJ117" s="19">
        <v>45902</v>
      </c>
      <c r="BM117" s="18"/>
      <c r="BN117" s="18"/>
      <c r="BO117" s="18"/>
      <c r="BP117" s="18"/>
      <c r="BQ117" s="5"/>
      <c r="BR117" s="18"/>
      <c r="BS117" s="18"/>
      <c r="BT117" s="35"/>
    </row>
    <row r="118" spans="1:72" ht="58" x14ac:dyDescent="0.35">
      <c r="A118" s="5">
        <v>117</v>
      </c>
      <c r="B118" s="5"/>
      <c r="C118" s="5" t="s">
        <v>78</v>
      </c>
      <c r="D118" s="5">
        <v>8</v>
      </c>
      <c r="E118" s="5">
        <v>11</v>
      </c>
      <c r="F118" s="8" t="s">
        <v>493</v>
      </c>
      <c r="G118" s="8"/>
      <c r="H118" s="5" t="s">
        <v>12</v>
      </c>
      <c r="I118" s="5" t="str" cm="1">
        <f t="array" ref="I118">_xlfn.IFS(
  H118="Mahuva", "Mahuva",
  H118="Jesar", "Mahuva",
  H118="Palitana", "Palitana",
  H118="Gariyadhar", "Palitana",
  H118="Talaja", "Talaja",
  H118="Vallabhipur", "Vallabhipur",
  H118="Umrala", "Vallabhipur",
  H118="Shihor", "Shihor",
  H118="Ghogha", "Bhavnagar",
  H118="Bhavnagar", "Bhavnagar"
)</f>
        <v>Mahuva</v>
      </c>
      <c r="J118" s="5" t="s">
        <v>256</v>
      </c>
      <c r="K118" s="5" t="s">
        <v>418</v>
      </c>
      <c r="L118" s="5">
        <v>199560</v>
      </c>
      <c r="M118" s="5">
        <v>2</v>
      </c>
      <c r="N118" s="7">
        <v>45837</v>
      </c>
      <c r="O118" s="7">
        <v>45848</v>
      </c>
      <c r="P118" s="7">
        <v>45849</v>
      </c>
      <c r="Q118" s="7">
        <f t="shared" si="13"/>
        <v>45968</v>
      </c>
      <c r="R118" s="9">
        <v>2079935.08</v>
      </c>
      <c r="S118" s="33"/>
      <c r="T118" s="9">
        <v>1989873.89</v>
      </c>
      <c r="U118" s="10">
        <v>-4.33</v>
      </c>
      <c r="V118" s="10" t="str">
        <f t="shared" si="14"/>
        <v>Below</v>
      </c>
      <c r="W118" s="11" t="str" cm="1">
        <f t="array" ref="W118">NumberToWords(T118)</f>
        <v>Nineteen Lakh Eighty Nine Thousand Eight Hundred Seventy Three Rupees and Eighty Nine Paise Only</v>
      </c>
      <c r="X118" s="10" t="str">
        <f t="shared" si="15"/>
        <v>Division</v>
      </c>
      <c r="Z118" s="9">
        <f t="shared" si="16"/>
        <v>1989873.89</v>
      </c>
      <c r="AA118" s="5" t="s">
        <v>394</v>
      </c>
      <c r="AB118" s="8" t="str">
        <f>_xlfn.XLOOKUP(AA118, 'Agency List'!A$2:A$145, 'Agency List'!B$2:B$145, "Not Found")</f>
        <v xml:space="preserve">(1) Batiya Vishalbhai Vinubhai
(2) Dhandhukiya Umeshbhai </v>
      </c>
      <c r="AC118" s="8" t="str">
        <f>_xlfn.XLOOKUP(AA118, 'Agency List'!A$2:A$145, 'Agency List'!C$2:C$145, "Not Found")</f>
        <v>At. Dihor, Tana Varal Road, Shak Market, Ta. Talaja, Dist. Bhavnagar-364150</v>
      </c>
      <c r="AD118" s="8">
        <f>_xlfn.XLOOKUP(AA118, 'Agency List'!A$2:A$145, 'Agency List'!D$2:D$145, "Not Found")</f>
        <v>9067752267</v>
      </c>
      <c r="AE118" s="7"/>
      <c r="AF118" s="5" t="s">
        <v>357</v>
      </c>
      <c r="AG118" s="5" t="str">
        <f t="shared" si="17"/>
        <v>Bandhkam</v>
      </c>
      <c r="AH118" s="5"/>
      <c r="AI118" s="8"/>
      <c r="AJ118" s="8"/>
      <c r="AL118" s="16">
        <v>4</v>
      </c>
      <c r="AM118" s="12">
        <f t="shared" si="18"/>
        <v>100000</v>
      </c>
      <c r="AN118" s="7">
        <f t="shared" si="19"/>
        <v>46622</v>
      </c>
      <c r="AO118" s="12">
        <f t="shared" si="20"/>
        <v>4900</v>
      </c>
      <c r="AP118" s="12">
        <f t="shared" si="21"/>
        <v>0</v>
      </c>
      <c r="AQ118" s="15">
        <f t="shared" si="22"/>
        <v>46207</v>
      </c>
      <c r="AR118" s="7">
        <f t="shared" si="23"/>
        <v>46562</v>
      </c>
      <c r="AS118" s="5">
        <v>1130</v>
      </c>
      <c r="AT118" s="7">
        <v>45877</v>
      </c>
      <c r="AU118" s="5" t="s">
        <v>78</v>
      </c>
      <c r="AV118" s="17">
        <v>290</v>
      </c>
      <c r="AW118" s="37">
        <v>46052</v>
      </c>
      <c r="AX118" s="5" t="s">
        <v>355</v>
      </c>
      <c r="AY118" s="5" t="s">
        <v>369</v>
      </c>
      <c r="AZ118" s="13">
        <v>44788167932</v>
      </c>
      <c r="BA118" s="12">
        <v>100000</v>
      </c>
      <c r="BB118" s="7">
        <v>46023</v>
      </c>
      <c r="BC118" s="14"/>
      <c r="BD118" s="14"/>
      <c r="BF118" s="12"/>
      <c r="BG118" s="14"/>
      <c r="BH118" s="19">
        <v>46052</v>
      </c>
      <c r="BI118" s="5">
        <v>101</v>
      </c>
      <c r="BJ118" s="19">
        <v>46052</v>
      </c>
      <c r="BK118" s="5">
        <v>1723</v>
      </c>
      <c r="BL118" s="7">
        <v>46006</v>
      </c>
      <c r="BM118" s="18"/>
      <c r="BN118" s="18"/>
      <c r="BO118" s="18"/>
      <c r="BP118" s="18"/>
      <c r="BQ118" s="5"/>
      <c r="BR118" s="18"/>
      <c r="BS118" s="18"/>
      <c r="BT118" s="35">
        <f>BH118+AL118*30</f>
        <v>46172</v>
      </c>
    </row>
    <row r="119" spans="1:72" ht="29" x14ac:dyDescent="0.35">
      <c r="A119" s="5">
        <v>118</v>
      </c>
      <c r="B119" s="5"/>
      <c r="C119" s="5" t="s">
        <v>78</v>
      </c>
      <c r="D119" s="5">
        <v>8</v>
      </c>
      <c r="E119" s="5">
        <v>12</v>
      </c>
      <c r="F119" s="8"/>
      <c r="G119" s="8"/>
      <c r="H119" s="5"/>
      <c r="I119" s="5" t="e" cm="1">
        <f t="array" ref="I119">_xlfn.IFS(
  H119="Mahuva", "Mahuva",
  H119="Jesar", "Mahuva",
  H119="Palitana", "Palitana",
  H119="Gariyadhar", "Palitana",
  H119="Talaja", "Talaja",
  H119="Vallabhipur", "Vallabhipur",
  H119="Umrala", "Vallabhipur",
  H119="Shihor", "Shihor",
  H119="Ghogha", "Bhavnagar",
  H119="Bhavnagar", "Bhavnagar"
)</f>
        <v>#N/A</v>
      </c>
      <c r="J119" s="5" t="s">
        <v>256</v>
      </c>
      <c r="K119" s="5" t="s">
        <v>418</v>
      </c>
      <c r="M119" s="5"/>
      <c r="N119" s="7">
        <v>45837</v>
      </c>
      <c r="O119" s="7">
        <v>45848</v>
      </c>
      <c r="P119" s="7">
        <v>45849</v>
      </c>
      <c r="Q119" s="7">
        <f t="shared" si="13"/>
        <v>45968</v>
      </c>
      <c r="S119" s="33" t="s">
        <v>233</v>
      </c>
      <c r="U119" s="10"/>
      <c r="V119" s="10" t="str">
        <f t="shared" si="14"/>
        <v>Equals</v>
      </c>
      <c r="W119" s="11" t="str" cm="1">
        <f t="array" ref="W119">NumberToWords(T119)</f>
        <v>Zero Rupees Only</v>
      </c>
      <c r="X119" s="10" t="str">
        <f t="shared" si="15"/>
        <v>Division</v>
      </c>
      <c r="Z119" s="9">
        <f t="shared" si="16"/>
        <v>0</v>
      </c>
      <c r="AB119" s="8">
        <f>_xlfn.XLOOKUP(AA119, 'Agency List'!A$2:A$145, 'Agency List'!B$2:B$145, "Not Found")</f>
        <v>0</v>
      </c>
      <c r="AC119" s="8">
        <f>_xlfn.XLOOKUP(AA119, 'Agency List'!A$2:A$145, 'Agency List'!C$2:C$145, "Not Found")</f>
        <v>0</v>
      </c>
      <c r="AD119" s="8">
        <f>_xlfn.XLOOKUP(AA119, 'Agency List'!A$2:A$145, 'Agency List'!D$2:D$145, "Not Found")</f>
        <v>0</v>
      </c>
      <c r="AE119" s="7"/>
      <c r="AF119" s="5"/>
      <c r="AG119" s="5" t="str">
        <f t="shared" si="17"/>
        <v>Bandhkam</v>
      </c>
      <c r="AH119" s="5"/>
      <c r="AI119" s="8"/>
      <c r="AJ119" s="8"/>
      <c r="AL119" s="16"/>
      <c r="AM119" s="12">
        <f t="shared" si="18"/>
        <v>0</v>
      </c>
      <c r="AN119" s="7">
        <f t="shared" si="19"/>
        <v>46334</v>
      </c>
      <c r="AO119" s="12">
        <f t="shared" si="20"/>
        <v>0</v>
      </c>
      <c r="AP119" s="12">
        <f t="shared" si="21"/>
        <v>0</v>
      </c>
      <c r="AQ119" s="15">
        <f t="shared" si="22"/>
        <v>45919</v>
      </c>
      <c r="AR119" s="7">
        <f t="shared" si="23"/>
        <v>46274</v>
      </c>
      <c r="AS119" s="5"/>
      <c r="AU119" s="5"/>
      <c r="AV119" s="17"/>
      <c r="AW119" s="17"/>
      <c r="AX119" s="5"/>
      <c r="AY119" s="5"/>
      <c r="AZ119" s="13"/>
      <c r="BA119" s="12"/>
      <c r="BB119" s="7"/>
      <c r="BC119" s="14"/>
      <c r="BD119" s="14"/>
      <c r="BF119" s="12"/>
      <c r="BG119" s="14"/>
      <c r="BH119" s="19">
        <v>45884</v>
      </c>
      <c r="BI119" s="5"/>
      <c r="BM119" s="18"/>
      <c r="BN119" s="18"/>
      <c r="BO119" s="18"/>
      <c r="BP119" s="18"/>
      <c r="BQ119" s="5"/>
      <c r="BR119" s="18"/>
      <c r="BS119" s="18"/>
      <c r="BT119" s="35">
        <f>BH119+AL119*30</f>
        <v>45884</v>
      </c>
    </row>
    <row r="120" spans="1:72" ht="43.5" x14ac:dyDescent="0.35">
      <c r="A120" s="5">
        <v>119</v>
      </c>
      <c r="B120" s="5"/>
      <c r="C120" s="5" t="s">
        <v>78</v>
      </c>
      <c r="D120" s="5">
        <v>8</v>
      </c>
      <c r="E120" s="5">
        <v>13</v>
      </c>
      <c r="F120" s="8" t="s">
        <v>494</v>
      </c>
      <c r="G120" s="8"/>
      <c r="H120" s="5" t="s">
        <v>12</v>
      </c>
      <c r="I120" s="5" t="str" cm="1">
        <f t="array" ref="I120">_xlfn.IFS(
  H120="Mahuva", "Mahuva",
  H120="Jesar", "Mahuva",
  H120="Palitana", "Palitana",
  H120="Gariyadhar", "Palitana",
  H120="Talaja", "Talaja",
  H120="Vallabhipur", "Vallabhipur",
  H120="Umrala", "Vallabhipur",
  H120="Shihor", "Shihor",
  H120="Ghogha", "Bhavnagar",
  H120="Bhavnagar", "Bhavnagar"
)</f>
        <v>Mahuva</v>
      </c>
      <c r="J120" s="5" t="s">
        <v>256</v>
      </c>
      <c r="K120" s="5" t="s">
        <v>418</v>
      </c>
      <c r="L120" s="5">
        <v>199563</v>
      </c>
      <c r="M120" s="5">
        <v>2</v>
      </c>
      <c r="N120" s="7">
        <v>45837</v>
      </c>
      <c r="O120" s="7">
        <v>45848</v>
      </c>
      <c r="P120" s="7">
        <v>45849</v>
      </c>
      <c r="Q120" s="7">
        <f t="shared" si="13"/>
        <v>45968</v>
      </c>
      <c r="R120" s="9">
        <v>2079935.08</v>
      </c>
      <c r="S120" s="33"/>
      <c r="T120" s="9">
        <v>1817863.26</v>
      </c>
      <c r="U120" s="10">
        <v>-12.6</v>
      </c>
      <c r="V120" s="10" t="str">
        <f t="shared" si="14"/>
        <v>Below</v>
      </c>
      <c r="W120" s="11" t="str" cm="1">
        <f t="array" ref="W120">NumberToWords(T120)</f>
        <v>Eighteen Lakh Seventeen Thousand Eight Hundred Sixty Three Rupees and Twenty Six Paise Only</v>
      </c>
      <c r="X120" s="10" t="str">
        <f t="shared" si="15"/>
        <v>Division</v>
      </c>
      <c r="Z120" s="9">
        <f t="shared" si="16"/>
        <v>1817863.26</v>
      </c>
      <c r="AA120" s="5" t="s">
        <v>395</v>
      </c>
      <c r="AB120" s="8" t="str">
        <f>_xlfn.XLOOKUP(AA120, 'Agency List'!A$2:A$145, 'Agency List'!B$2:B$145, "Not Found")</f>
        <v>Siddharth Parbatbhai Bed</v>
      </c>
      <c r="AC120" s="8" t="str">
        <f>_xlfn.XLOOKUP(AA120, 'Agency List'!A$2:A$145, 'Agency List'!C$2:C$145, "Not Found")</f>
        <v>At Hemal, Ta. Jafarabad, Dist. Amreli - 365545</v>
      </c>
      <c r="AD120" s="8">
        <f>_xlfn.XLOOKUP(AA120, 'Agency List'!A$2:A$145, 'Agency List'!D$2:D$145, "Not Found")</f>
        <v>9586762457</v>
      </c>
      <c r="AE120" s="7"/>
      <c r="AF120" s="5" t="s">
        <v>357</v>
      </c>
      <c r="AG120" s="5" t="str">
        <f t="shared" si="17"/>
        <v>Bandhkam</v>
      </c>
      <c r="AH120" s="5"/>
      <c r="AI120" s="8"/>
      <c r="AJ120" s="8"/>
      <c r="AL120" s="16">
        <v>4</v>
      </c>
      <c r="AM120" s="12">
        <f t="shared" si="18"/>
        <v>91000</v>
      </c>
      <c r="AN120" s="7">
        <f t="shared" si="19"/>
        <v>46480</v>
      </c>
      <c r="AO120" s="12">
        <f t="shared" si="20"/>
        <v>5000</v>
      </c>
      <c r="AP120" s="12">
        <f t="shared" si="21"/>
        <v>11000</v>
      </c>
      <c r="AQ120" s="15">
        <f t="shared" si="22"/>
        <v>46065</v>
      </c>
      <c r="AR120" s="7">
        <f t="shared" si="23"/>
        <v>46420</v>
      </c>
      <c r="AS120" s="5">
        <v>1132</v>
      </c>
      <c r="AT120" s="7">
        <v>45877</v>
      </c>
      <c r="AU120" s="5" t="s">
        <v>78</v>
      </c>
      <c r="AV120" s="17">
        <v>143</v>
      </c>
      <c r="AW120" s="37">
        <v>45910</v>
      </c>
      <c r="AX120" s="5" t="s">
        <v>355</v>
      </c>
      <c r="AY120" s="5" t="s">
        <v>356</v>
      </c>
      <c r="AZ120" s="13">
        <v>78049184786</v>
      </c>
      <c r="BA120" s="12">
        <v>91000</v>
      </c>
      <c r="BB120" s="7">
        <v>45903</v>
      </c>
      <c r="BC120" s="5" t="s">
        <v>355</v>
      </c>
      <c r="BD120" s="5" t="s">
        <v>356</v>
      </c>
      <c r="BE120" s="13">
        <v>78049184797</v>
      </c>
      <c r="BF120" s="12">
        <v>11000</v>
      </c>
      <c r="BG120" s="7">
        <v>45903</v>
      </c>
      <c r="BH120" s="19">
        <v>45910</v>
      </c>
      <c r="BI120" s="5">
        <v>1286</v>
      </c>
      <c r="BJ120" s="19">
        <v>45910</v>
      </c>
      <c r="BM120" s="18"/>
      <c r="BN120" s="18"/>
      <c r="BO120" s="18"/>
      <c r="BP120" s="18"/>
      <c r="BQ120" s="5"/>
      <c r="BR120" s="18"/>
      <c r="BS120" s="18"/>
      <c r="BT120" s="35"/>
    </row>
    <row r="121" spans="1:72" ht="43.5" x14ac:dyDescent="0.35">
      <c r="A121" s="5">
        <v>120</v>
      </c>
      <c r="B121" s="5"/>
      <c r="C121" s="5" t="s">
        <v>78</v>
      </c>
      <c r="D121" s="5">
        <v>8</v>
      </c>
      <c r="E121" s="5">
        <v>14</v>
      </c>
      <c r="F121" s="8" t="s">
        <v>495</v>
      </c>
      <c r="G121" s="8"/>
      <c r="H121" s="5" t="s">
        <v>12</v>
      </c>
      <c r="I121" s="5" t="str" cm="1">
        <f t="array" ref="I121">_xlfn.IFS(
  H121="Mahuva", "Mahuva",
  H121="Jesar", "Mahuva",
  H121="Palitana", "Palitana",
  H121="Gariyadhar", "Palitana",
  H121="Talaja", "Talaja",
  H121="Vallabhipur", "Vallabhipur",
  H121="Umrala", "Vallabhipur",
  H121="Shihor", "Shihor",
  H121="Ghogha", "Bhavnagar",
  H121="Bhavnagar", "Bhavnagar"
)</f>
        <v>Mahuva</v>
      </c>
      <c r="J121" s="5" t="s">
        <v>256</v>
      </c>
      <c r="K121" s="5" t="s">
        <v>418</v>
      </c>
      <c r="L121" s="5">
        <v>199565</v>
      </c>
      <c r="M121" s="5">
        <v>2</v>
      </c>
      <c r="N121" s="7">
        <v>45837</v>
      </c>
      <c r="O121" s="7">
        <v>45848</v>
      </c>
      <c r="P121" s="7">
        <v>45849</v>
      </c>
      <c r="Q121" s="7">
        <f t="shared" si="13"/>
        <v>45968</v>
      </c>
      <c r="R121" s="9">
        <v>2079935.08</v>
      </c>
      <c r="S121" s="33"/>
      <c r="T121" s="9">
        <v>1916036.2</v>
      </c>
      <c r="U121" s="10">
        <v>-7.88</v>
      </c>
      <c r="V121" s="10" t="str">
        <f t="shared" si="14"/>
        <v>Below</v>
      </c>
      <c r="W121" s="11" t="str" cm="1">
        <f t="array" ref="W121">NumberToWords(T121)</f>
        <v>Nineteen Lakh Sixteen Thousand Thirty Six Rupees and Two Paise Only</v>
      </c>
      <c r="X121" s="10" t="str">
        <f t="shared" si="15"/>
        <v>Division</v>
      </c>
      <c r="Z121" s="9">
        <f t="shared" si="16"/>
        <v>1916036.2</v>
      </c>
      <c r="AA121" s="5" t="s">
        <v>702</v>
      </c>
      <c r="AB121" s="8">
        <f>_xlfn.XLOOKUP(AA121, 'Agency List'!A$2:A$145, 'Agency List'!B$2:B$145, "Not Found")</f>
        <v>0</v>
      </c>
      <c r="AC121" s="8" t="str">
        <f>_xlfn.XLOOKUP(AA121, 'Agency List'!A$2:A$145, 'Agency List'!C$2:C$145, "Not Found")</f>
        <v>At Bordi, Post - Borda, Ta. Talaja, Dist. Bhavnagar - 364130</v>
      </c>
      <c r="AD121" s="8">
        <f>_xlfn.XLOOKUP(AA121, 'Agency List'!A$2:A$145, 'Agency List'!D$2:D$145, "Not Found")</f>
        <v>0</v>
      </c>
      <c r="AE121" s="7"/>
      <c r="AF121" s="5" t="s">
        <v>357</v>
      </c>
      <c r="AG121" s="5" t="str">
        <f t="shared" si="17"/>
        <v>Bandhkam</v>
      </c>
      <c r="AH121" s="5"/>
      <c r="AI121" s="8"/>
      <c r="AJ121" s="8"/>
      <c r="AL121" s="16">
        <v>4</v>
      </c>
      <c r="AM121" s="12">
        <f t="shared" si="18"/>
        <v>96000</v>
      </c>
      <c r="AN121" s="7">
        <f t="shared" si="19"/>
        <v>46472</v>
      </c>
      <c r="AO121" s="12">
        <f t="shared" si="20"/>
        <v>4800</v>
      </c>
      <c r="AP121" s="12">
        <f t="shared" si="21"/>
        <v>0</v>
      </c>
      <c r="AQ121" s="15">
        <f t="shared" si="22"/>
        <v>46057</v>
      </c>
      <c r="AR121" s="7">
        <f t="shared" si="23"/>
        <v>46412</v>
      </c>
      <c r="AS121" s="5">
        <v>1121</v>
      </c>
      <c r="AT121" s="7">
        <v>45877</v>
      </c>
      <c r="AU121" s="5" t="s">
        <v>78</v>
      </c>
      <c r="AV121" s="17">
        <v>139</v>
      </c>
      <c r="AW121" s="37">
        <v>45902</v>
      </c>
      <c r="AX121" s="5" t="s">
        <v>355</v>
      </c>
      <c r="AY121" s="5" t="s">
        <v>701</v>
      </c>
      <c r="AZ121" s="13">
        <v>5856182489</v>
      </c>
      <c r="BA121" s="12">
        <v>96000</v>
      </c>
      <c r="BB121" s="7">
        <v>45887</v>
      </c>
      <c r="BC121" s="14"/>
      <c r="BD121" s="14"/>
      <c r="BF121" s="12"/>
      <c r="BG121" s="14"/>
      <c r="BH121" s="37">
        <v>45902</v>
      </c>
      <c r="BI121" s="5">
        <v>1250</v>
      </c>
      <c r="BJ121" s="19">
        <v>45902</v>
      </c>
      <c r="BM121" s="18"/>
      <c r="BN121" s="18"/>
      <c r="BO121" s="18"/>
      <c r="BP121" s="18"/>
      <c r="BQ121" s="5"/>
      <c r="BR121" s="18"/>
      <c r="BS121" s="18"/>
      <c r="BT121" s="35"/>
    </row>
    <row r="122" spans="1:72" ht="23.4" customHeight="1" x14ac:dyDescent="0.35">
      <c r="A122" s="5">
        <v>121</v>
      </c>
      <c r="B122" s="5"/>
      <c r="C122" s="5" t="s">
        <v>78</v>
      </c>
      <c r="D122" s="5">
        <v>8</v>
      </c>
      <c r="E122" s="5">
        <v>15</v>
      </c>
      <c r="F122" s="8"/>
      <c r="G122" s="8"/>
      <c r="H122" s="5"/>
      <c r="I122" s="5" t="e" cm="1">
        <f t="array" ref="I122">_xlfn.IFS(
  H122="Mahuva", "Mahuva",
  H122="Jesar", "Mahuva",
  H122="Palitana", "Palitana",
  H122="Gariyadhar", "Palitana",
  H122="Talaja", "Talaja",
  H122="Vallabhipur", "Vallabhipur",
  H122="Umrala", "Vallabhipur",
  H122="Shihor", "Shihor",
  H122="Ghogha", "Bhavnagar",
  H122="Bhavnagar", "Bhavnagar"
)</f>
        <v>#N/A</v>
      </c>
      <c r="J122" s="5" t="s">
        <v>256</v>
      </c>
      <c r="K122" s="5" t="s">
        <v>418</v>
      </c>
      <c r="M122" s="5"/>
      <c r="N122" s="7">
        <v>45837</v>
      </c>
      <c r="O122" s="7">
        <v>45848</v>
      </c>
      <c r="P122" s="7">
        <v>45849</v>
      </c>
      <c r="Q122" s="7">
        <f t="shared" si="13"/>
        <v>45968</v>
      </c>
      <c r="S122" s="33" t="s">
        <v>233</v>
      </c>
      <c r="U122" s="10"/>
      <c r="V122" s="10" t="str">
        <f t="shared" si="14"/>
        <v>Equals</v>
      </c>
      <c r="W122" s="11" t="str" cm="1">
        <f t="array" ref="W122">NumberToWords(T122)</f>
        <v>Zero Rupees Only</v>
      </c>
      <c r="X122" s="10" t="str">
        <f t="shared" si="15"/>
        <v>Division</v>
      </c>
      <c r="Z122" s="9">
        <f t="shared" si="16"/>
        <v>0</v>
      </c>
      <c r="AB122" s="8">
        <f>_xlfn.XLOOKUP(AA122, 'Agency List'!A$2:A$145, 'Agency List'!B$2:B$145, "Not Found")</f>
        <v>0</v>
      </c>
      <c r="AC122" s="8">
        <f>_xlfn.XLOOKUP(AA122, 'Agency List'!A$2:A$145, 'Agency List'!C$2:C$145, "Not Found")</f>
        <v>0</v>
      </c>
      <c r="AD122" s="8">
        <f>_xlfn.XLOOKUP(AA122, 'Agency List'!A$2:A$145, 'Agency List'!D$2:D$145, "Not Found")</f>
        <v>0</v>
      </c>
      <c r="AE122" s="7"/>
      <c r="AF122" s="5"/>
      <c r="AG122" s="5" t="str">
        <f t="shared" si="17"/>
        <v>Bandhkam</v>
      </c>
      <c r="AH122" s="5"/>
      <c r="AI122" s="8"/>
      <c r="AJ122" s="8"/>
      <c r="AL122" s="16"/>
      <c r="AM122" s="12">
        <f t="shared" si="18"/>
        <v>0</v>
      </c>
      <c r="AN122" s="7">
        <f t="shared" si="19"/>
        <v>46334</v>
      </c>
      <c r="AO122" s="12">
        <f t="shared" si="20"/>
        <v>0</v>
      </c>
      <c r="AP122" s="12">
        <f t="shared" si="21"/>
        <v>0</v>
      </c>
      <c r="AQ122" s="15">
        <f t="shared" si="22"/>
        <v>45919</v>
      </c>
      <c r="AR122" s="7">
        <f t="shared" si="23"/>
        <v>46274</v>
      </c>
      <c r="AS122" s="5"/>
      <c r="AU122" s="5"/>
      <c r="AV122" s="17"/>
      <c r="AW122" s="17"/>
      <c r="AX122" s="5"/>
      <c r="AY122" s="5"/>
      <c r="AZ122" s="13"/>
      <c r="BA122" s="12"/>
      <c r="BB122" s="7"/>
      <c r="BC122" s="14"/>
      <c r="BD122" s="14"/>
      <c r="BF122" s="12"/>
      <c r="BG122" s="14"/>
      <c r="BH122" s="19">
        <v>45884</v>
      </c>
      <c r="BI122" s="5"/>
      <c r="BM122" s="18"/>
      <c r="BN122" s="18"/>
      <c r="BO122" s="18"/>
      <c r="BP122" s="18"/>
      <c r="BQ122" s="5"/>
      <c r="BR122" s="18"/>
      <c r="BS122" s="18"/>
      <c r="BT122" s="35">
        <f t="shared" ref="BT122:BT153" si="26">BH122+AL122*30</f>
        <v>45884</v>
      </c>
    </row>
    <row r="123" spans="1:72" ht="72.5" x14ac:dyDescent="0.35">
      <c r="A123" s="5">
        <v>122</v>
      </c>
      <c r="B123" s="5"/>
      <c r="C123" s="5" t="s">
        <v>78</v>
      </c>
      <c r="D123" s="5">
        <v>8</v>
      </c>
      <c r="E123" s="5">
        <v>16</v>
      </c>
      <c r="F123" s="8" t="s">
        <v>496</v>
      </c>
      <c r="G123" s="8"/>
      <c r="H123" s="5" t="s">
        <v>12</v>
      </c>
      <c r="I123" s="5" t="str" cm="1">
        <f t="array" ref="I123">_xlfn.IFS(
  H123="Mahuva", "Mahuva",
  H123="Jesar", "Mahuva",
  H123="Palitana", "Palitana",
  H123="Gariyadhar", "Palitana",
  H123="Talaja", "Talaja",
  H123="Vallabhipur", "Vallabhipur",
  H123="Umrala", "Vallabhipur",
  H123="Shihor", "Shihor",
  H123="Ghogha", "Bhavnagar",
  H123="Bhavnagar", "Bhavnagar"
)</f>
        <v>Mahuva</v>
      </c>
      <c r="J123" s="5" t="s">
        <v>256</v>
      </c>
      <c r="K123" s="5" t="s">
        <v>418</v>
      </c>
      <c r="L123" s="5">
        <v>199570</v>
      </c>
      <c r="M123" s="5">
        <v>2</v>
      </c>
      <c r="N123" s="7">
        <v>45837</v>
      </c>
      <c r="O123" s="7">
        <v>45848</v>
      </c>
      <c r="P123" s="7">
        <v>45849</v>
      </c>
      <c r="Q123" s="7">
        <f t="shared" si="13"/>
        <v>45968</v>
      </c>
      <c r="R123" s="9">
        <v>2079935.08</v>
      </c>
      <c r="S123" s="33"/>
      <c r="T123" s="9">
        <v>1896900.79</v>
      </c>
      <c r="U123" s="10">
        <v>-8.8000000000000007</v>
      </c>
      <c r="V123" s="10" t="str">
        <f t="shared" si="14"/>
        <v>Below</v>
      </c>
      <c r="W123" s="11" t="str" cm="1">
        <f t="array" ref="W123">NumberToWords(T123)</f>
        <v>Eighteen Lakh Ninety Six Thousand Nine Hundred Rupees and Seventy Nine Paise Only</v>
      </c>
      <c r="X123" s="10" t="str">
        <f t="shared" si="15"/>
        <v>Division</v>
      </c>
      <c r="Z123" s="9">
        <f t="shared" si="16"/>
        <v>1896900.79</v>
      </c>
      <c r="AA123" s="5" t="s">
        <v>396</v>
      </c>
      <c r="AB123" s="8" t="str">
        <f>_xlfn.XLOOKUP(AA123, 'Agency List'!A$2:A$145, 'Agency List'!B$2:B$145, "Not Found")</f>
        <v>KISHANKUMAR PATABHAI KALSARIYA</v>
      </c>
      <c r="AC123" s="8" t="str">
        <f>_xlfn.XLOOKUP(AA123, 'Agency List'!A$2:A$145, 'Agency List'!C$2:C$145, "Not Found")</f>
        <v>Survey No. 374 P/A 2-16, Office No. 2, Left side of Entry Gate of Balkrushna Campus, Gir Gadhada Road, At. Una, Taluka Una, Dist. Gir Somnath - 362560</v>
      </c>
      <c r="AD123" s="8">
        <f>_xlfn.XLOOKUP(AA123, 'Agency List'!A$2:A$145, 'Agency List'!D$2:D$145, "Not Found")</f>
        <v>9824251035</v>
      </c>
      <c r="AE123" s="7"/>
      <c r="AF123" s="5" t="s">
        <v>357</v>
      </c>
      <c r="AG123" s="5" t="str">
        <f t="shared" si="17"/>
        <v>Bandhkam</v>
      </c>
      <c r="AH123" s="5"/>
      <c r="AI123" s="8"/>
      <c r="AJ123" s="8"/>
      <c r="AL123" s="16">
        <v>4</v>
      </c>
      <c r="AM123" s="12">
        <f t="shared" si="18"/>
        <v>95000</v>
      </c>
      <c r="AN123" s="7">
        <f t="shared" si="19"/>
        <v>46469</v>
      </c>
      <c r="AO123" s="12">
        <f t="shared" si="20"/>
        <v>4700</v>
      </c>
      <c r="AP123" s="12">
        <f t="shared" si="21"/>
        <v>0</v>
      </c>
      <c r="AQ123" s="15">
        <f t="shared" si="22"/>
        <v>46054</v>
      </c>
      <c r="AR123" s="7">
        <f t="shared" si="23"/>
        <v>46409</v>
      </c>
      <c r="AS123" s="5">
        <v>1122</v>
      </c>
      <c r="AT123" s="7">
        <v>45877</v>
      </c>
      <c r="AU123" s="5" t="s">
        <v>78</v>
      </c>
      <c r="AV123" s="17">
        <v>122</v>
      </c>
      <c r="AW123" s="37">
        <v>45899</v>
      </c>
      <c r="AX123" s="5" t="s">
        <v>355</v>
      </c>
      <c r="AY123" s="5" t="s">
        <v>605</v>
      </c>
      <c r="AZ123" s="45" t="s">
        <v>695</v>
      </c>
      <c r="BA123" s="12">
        <v>95000</v>
      </c>
      <c r="BB123" s="7">
        <v>45889</v>
      </c>
      <c r="BC123" s="14"/>
      <c r="BD123" s="14"/>
      <c r="BF123" s="12"/>
      <c r="BG123" s="14"/>
      <c r="BH123" s="37">
        <v>45899</v>
      </c>
      <c r="BI123" s="5">
        <v>1227</v>
      </c>
      <c r="BJ123" s="19">
        <v>45899</v>
      </c>
      <c r="BM123" s="18"/>
      <c r="BN123" s="18"/>
      <c r="BO123" s="18"/>
      <c r="BP123" s="18"/>
      <c r="BQ123" s="5"/>
      <c r="BR123" s="18"/>
      <c r="BS123" s="18"/>
      <c r="BT123" s="35">
        <f t="shared" si="26"/>
        <v>46019</v>
      </c>
    </row>
    <row r="124" spans="1:72" ht="43.5" x14ac:dyDescent="0.35">
      <c r="A124" s="5">
        <v>123</v>
      </c>
      <c r="B124" s="5"/>
      <c r="C124" s="5" t="s">
        <v>78</v>
      </c>
      <c r="D124" s="5">
        <v>8</v>
      </c>
      <c r="E124" s="5">
        <v>17</v>
      </c>
      <c r="F124" s="8" t="s">
        <v>497</v>
      </c>
      <c r="G124" s="8"/>
      <c r="H124" s="5" t="s">
        <v>12</v>
      </c>
      <c r="I124" s="5" t="str" cm="1">
        <f t="array" ref="I124">_xlfn.IFS(
  H124="Mahuva", "Mahuva",
  H124="Jesar", "Mahuva",
  H124="Palitana", "Palitana",
  H124="Gariyadhar", "Palitana",
  H124="Talaja", "Talaja",
  H124="Vallabhipur", "Vallabhipur",
  H124="Umrala", "Vallabhipur",
  H124="Shihor", "Shihor",
  H124="Ghogha", "Bhavnagar",
  H124="Bhavnagar", "Bhavnagar"
)</f>
        <v>Mahuva</v>
      </c>
      <c r="J124" s="5" t="s">
        <v>256</v>
      </c>
      <c r="K124" s="5" t="s">
        <v>418</v>
      </c>
      <c r="L124" s="5">
        <v>199573</v>
      </c>
      <c r="M124" s="5">
        <v>2</v>
      </c>
      <c r="N124" s="7">
        <v>45837</v>
      </c>
      <c r="O124" s="7">
        <v>45848</v>
      </c>
      <c r="P124" s="7">
        <v>45849</v>
      </c>
      <c r="Q124" s="7">
        <f t="shared" si="13"/>
        <v>45968</v>
      </c>
      <c r="R124" s="9">
        <v>2079935.08</v>
      </c>
      <c r="S124" s="33"/>
      <c r="T124" s="9">
        <v>2077855.14</v>
      </c>
      <c r="U124" s="10">
        <v>-0.1</v>
      </c>
      <c r="V124" s="10" t="str">
        <f t="shared" si="14"/>
        <v>Below</v>
      </c>
      <c r="W124" s="11" t="str" cm="1">
        <f t="array" ref="W124">NumberToWords(T124)</f>
        <v>Twenty Lakh Seventy Seven Thousand Eight Hundred Fifty Five Rupees and Fourteen Paise Only</v>
      </c>
      <c r="X124" s="10" t="str">
        <f t="shared" si="15"/>
        <v>Division</v>
      </c>
      <c r="Z124" s="9">
        <f t="shared" si="16"/>
        <v>2077855.14</v>
      </c>
      <c r="AA124" s="5" t="s">
        <v>397</v>
      </c>
      <c r="AB124" s="8" t="str">
        <f>_xlfn.XLOOKUP(AA124, 'Agency List'!A$2:A$145, 'Agency List'!B$2:B$145, "Not Found")</f>
        <v>Khuman Shivrajbhai Dilubhai</v>
      </c>
      <c r="AC124" s="8" t="str">
        <f>_xlfn.XLOOKUP(AA124, 'Agency List'!A$2:A$145, 'Agency List'!C$2:C$145, "Not Found")</f>
        <v>52, Lion Shopping Center, Near Kohinoor Hotel, Jafarabad Road, Rajula, Dist. Amreli - 365560</v>
      </c>
      <c r="AD124" s="8">
        <f>_xlfn.XLOOKUP(AA124, 'Agency List'!A$2:A$145, 'Agency List'!D$2:D$145, "Not Found")</f>
        <v>9909950650</v>
      </c>
      <c r="AE124" s="7"/>
      <c r="AF124" s="5" t="s">
        <v>357</v>
      </c>
      <c r="AG124" s="5" t="str">
        <f t="shared" si="17"/>
        <v>Bandhkam</v>
      </c>
      <c r="AH124" s="5"/>
      <c r="AI124" s="8"/>
      <c r="AJ124" s="8"/>
      <c r="AL124" s="16">
        <v>4</v>
      </c>
      <c r="AM124" s="12">
        <f t="shared" si="18"/>
        <v>104000</v>
      </c>
      <c r="AN124" s="7">
        <f t="shared" si="19"/>
        <v>46469</v>
      </c>
      <c r="AO124" s="12">
        <f t="shared" si="20"/>
        <v>5100</v>
      </c>
      <c r="AP124" s="12">
        <f t="shared" si="21"/>
        <v>0</v>
      </c>
      <c r="AQ124" s="15">
        <f t="shared" si="22"/>
        <v>46054</v>
      </c>
      <c r="AR124" s="7">
        <f t="shared" si="23"/>
        <v>46409</v>
      </c>
      <c r="AS124" s="5">
        <v>1133</v>
      </c>
      <c r="AT124" s="7">
        <v>45877</v>
      </c>
      <c r="AU124" s="5" t="s">
        <v>78</v>
      </c>
      <c r="AV124" s="17">
        <v>120</v>
      </c>
      <c r="AW124" s="37">
        <v>45899</v>
      </c>
      <c r="AX124" s="5" t="s">
        <v>355</v>
      </c>
      <c r="AY124" s="5" t="s">
        <v>458</v>
      </c>
      <c r="AZ124" s="45" t="s">
        <v>693</v>
      </c>
      <c r="BA124" s="12">
        <v>104000</v>
      </c>
      <c r="BB124" s="7">
        <v>45892</v>
      </c>
      <c r="BC124" s="14"/>
      <c r="BD124" s="14"/>
      <c r="BF124" s="12"/>
      <c r="BG124" s="14"/>
      <c r="BH124" s="19">
        <v>45899</v>
      </c>
      <c r="BI124" s="5">
        <v>1225</v>
      </c>
      <c r="BJ124" s="19">
        <v>45899</v>
      </c>
      <c r="BM124" s="18"/>
      <c r="BN124" s="18"/>
      <c r="BO124" s="18"/>
      <c r="BP124" s="18"/>
      <c r="BQ124" s="5"/>
      <c r="BR124" s="18"/>
      <c r="BS124" s="18"/>
      <c r="BT124" s="35">
        <f t="shared" si="26"/>
        <v>46019</v>
      </c>
    </row>
    <row r="125" spans="1:72" ht="58" x14ac:dyDescent="0.35">
      <c r="A125" s="5">
        <v>124</v>
      </c>
      <c r="B125" s="5"/>
      <c r="C125" s="5" t="s">
        <v>78</v>
      </c>
      <c r="D125" s="5">
        <v>8</v>
      </c>
      <c r="E125" s="5">
        <v>18</v>
      </c>
      <c r="F125" s="8" t="s">
        <v>498</v>
      </c>
      <c r="G125" s="8"/>
      <c r="H125" s="5" t="s">
        <v>278</v>
      </c>
      <c r="I125" s="5" t="str" cm="1">
        <f t="array" ref="I125">_xlfn.IFS(
  H125="Mahuva", "Mahuva",
  H125="Jesar", "Mahuva",
  H125="Palitana", "Palitana",
  H125="Gariyadhar", "Palitana",
  H125="Talaja", "Talaja",
  H125="Vallabhipur", "Vallabhipur",
  H125="Umrala", "Vallabhipur",
  H125="Shihor", "Shihor",
  H125="Ghogha", "Bhavnagar",
  H125="Bhavnagar", "Bhavnagar"
)</f>
        <v>Mahuva</v>
      </c>
      <c r="J125" s="5" t="s">
        <v>256</v>
      </c>
      <c r="K125" s="5" t="s">
        <v>418</v>
      </c>
      <c r="L125" s="5">
        <v>199575</v>
      </c>
      <c r="M125" s="5">
        <v>2</v>
      </c>
      <c r="N125" s="7">
        <v>45837</v>
      </c>
      <c r="O125" s="7">
        <v>45848</v>
      </c>
      <c r="P125" s="7">
        <v>45849</v>
      </c>
      <c r="Q125" s="7">
        <f t="shared" si="13"/>
        <v>45968</v>
      </c>
      <c r="R125" s="9">
        <v>2027056.59</v>
      </c>
      <c r="S125" s="33"/>
      <c r="T125" s="9">
        <v>2016718.6</v>
      </c>
      <c r="U125" s="10">
        <v>-0.51</v>
      </c>
      <c r="V125" s="10" t="str">
        <f t="shared" si="14"/>
        <v>Below</v>
      </c>
      <c r="W125" s="11" t="str" cm="1">
        <f t="array" ref="W125">NumberToWords(T125)</f>
        <v>Twenty Lakh Sixteen Thousand Seven Hundred Eighteen Rupees and Six Paise Only</v>
      </c>
      <c r="X125" s="10" t="str">
        <f t="shared" si="15"/>
        <v>Division</v>
      </c>
      <c r="Z125" s="9">
        <f t="shared" si="16"/>
        <v>2016718.6</v>
      </c>
      <c r="AA125" s="5" t="s">
        <v>281</v>
      </c>
      <c r="AB125" s="8" t="str">
        <f>_xlfn.XLOOKUP(AA125, 'Agency List'!A$2:A$145, 'Agency List'!B$2:B$145, "Not Found")</f>
        <v>UDAYBHAI RAMKUBHAI LUNSAR</v>
      </c>
      <c r="AC125" s="8" t="str">
        <f>_xlfn.XLOOKUP(AA125, 'Agency List'!A$2:A$145, 'Agency List'!C$2:C$145, "Not Found")</f>
        <v>Shop No. 5, First Floor, Nilkanth Arcade, Opp. Arjun Tokiz, Palitana Road, Gariyadhar- 364505</v>
      </c>
      <c r="AD125" s="8">
        <f>_xlfn.XLOOKUP(AA125, 'Agency List'!A$2:A$145, 'Agency List'!D$2:D$145, "Not Found")</f>
        <v>9824226646</v>
      </c>
      <c r="AE125" s="7"/>
      <c r="AF125" s="5" t="s">
        <v>357</v>
      </c>
      <c r="AG125" s="5" t="str">
        <f t="shared" si="17"/>
        <v>Bandhkam</v>
      </c>
      <c r="AH125" s="5"/>
      <c r="AI125" s="8"/>
      <c r="AJ125" s="8"/>
      <c r="AL125" s="16">
        <v>4</v>
      </c>
      <c r="AM125" s="12">
        <f t="shared" si="18"/>
        <v>101000</v>
      </c>
      <c r="AN125" s="7">
        <f t="shared" si="19"/>
        <v>46481</v>
      </c>
      <c r="AO125" s="12">
        <f t="shared" si="20"/>
        <v>5000</v>
      </c>
      <c r="AP125" s="12">
        <f t="shared" si="21"/>
        <v>0</v>
      </c>
      <c r="AQ125" s="15">
        <f t="shared" si="22"/>
        <v>46066</v>
      </c>
      <c r="AR125" s="7">
        <f t="shared" si="23"/>
        <v>46421</v>
      </c>
      <c r="AS125" s="5">
        <v>1134</v>
      </c>
      <c r="AT125" s="7">
        <v>45877</v>
      </c>
      <c r="AU125" s="5" t="s">
        <v>78</v>
      </c>
      <c r="AV125" s="17">
        <v>157</v>
      </c>
      <c r="AW125" s="19">
        <v>45911</v>
      </c>
      <c r="AX125" s="5" t="s">
        <v>355</v>
      </c>
      <c r="AY125" s="5" t="s">
        <v>369</v>
      </c>
      <c r="AZ125" s="13">
        <v>44407033356</v>
      </c>
      <c r="BA125" s="12">
        <v>101000</v>
      </c>
      <c r="BB125" s="7">
        <v>45899</v>
      </c>
      <c r="BC125" s="14"/>
      <c r="BD125" s="14"/>
      <c r="BF125" s="12"/>
      <c r="BG125" s="14"/>
      <c r="BH125" s="19">
        <v>45911</v>
      </c>
      <c r="BI125" s="5">
        <v>1302</v>
      </c>
      <c r="BJ125" s="19">
        <v>45911</v>
      </c>
      <c r="BM125" s="18"/>
      <c r="BN125" s="18"/>
      <c r="BO125" s="18"/>
      <c r="BP125" s="18"/>
      <c r="BQ125" s="5"/>
      <c r="BR125" s="18"/>
      <c r="BS125" s="18"/>
      <c r="BT125" s="35">
        <f t="shared" si="26"/>
        <v>46031</v>
      </c>
    </row>
    <row r="126" spans="1:72" ht="43.5" x14ac:dyDescent="0.35">
      <c r="A126" s="5">
        <v>125</v>
      </c>
      <c r="B126" s="5"/>
      <c r="C126" s="5" t="s">
        <v>78</v>
      </c>
      <c r="D126" s="5">
        <v>8</v>
      </c>
      <c r="E126" s="5">
        <v>19</v>
      </c>
      <c r="F126" s="8" t="s">
        <v>499</v>
      </c>
      <c r="G126" s="8"/>
      <c r="H126" s="5" t="s">
        <v>12</v>
      </c>
      <c r="I126" s="5" t="str" cm="1">
        <f t="array" ref="I126">_xlfn.IFS(
  H126="Mahuva", "Mahuva",
  H126="Jesar", "Mahuva",
  H126="Palitana", "Palitana",
  H126="Gariyadhar", "Palitana",
  H126="Talaja", "Talaja",
  H126="Vallabhipur", "Vallabhipur",
  H126="Umrala", "Vallabhipur",
  H126="Shihor", "Shihor",
  H126="Ghogha", "Bhavnagar",
  H126="Bhavnagar", "Bhavnagar"
)</f>
        <v>Mahuva</v>
      </c>
      <c r="J126" s="5" t="s">
        <v>256</v>
      </c>
      <c r="K126" s="5" t="s">
        <v>418</v>
      </c>
      <c r="L126" s="5">
        <v>199577</v>
      </c>
      <c r="M126" s="5">
        <v>2</v>
      </c>
      <c r="N126" s="7">
        <v>45837</v>
      </c>
      <c r="O126" s="7">
        <v>45848</v>
      </c>
      <c r="P126" s="7">
        <v>45849</v>
      </c>
      <c r="Q126" s="7">
        <f t="shared" si="13"/>
        <v>45968</v>
      </c>
      <c r="R126" s="9">
        <v>2027056.59</v>
      </c>
      <c r="S126" s="33"/>
      <c r="T126" s="9">
        <v>1864689.36</v>
      </c>
      <c r="U126" s="10">
        <v>-8.01</v>
      </c>
      <c r="V126" s="10" t="str">
        <f t="shared" si="14"/>
        <v>Below</v>
      </c>
      <c r="W126" s="11" t="str" cm="1">
        <f t="array" ref="W126">NumberToWords(T126)</f>
        <v>Eighteen Lakh Sixty Four Thousand Six Hundred Eighty Nine Rupees and Thirty Six Paise Only</v>
      </c>
      <c r="X126" s="10" t="str">
        <f t="shared" si="15"/>
        <v>Division</v>
      </c>
      <c r="Z126" s="9">
        <f t="shared" si="16"/>
        <v>1864689.36</v>
      </c>
      <c r="AA126" s="5" t="s">
        <v>398</v>
      </c>
      <c r="AB126" s="8">
        <f>_xlfn.XLOOKUP(AA126, 'Agency List'!A$2:A$145, 'Agency List'!B$2:B$145, "Not Found")</f>
        <v>0</v>
      </c>
      <c r="AC126" s="8" t="str">
        <f>_xlfn.XLOOKUP(AA126, 'Agency List'!A$2:A$145, 'Agency List'!C$2:C$145, "Not Found")</f>
        <v>Near Gayatri Temple, Veraval Road, Una, Dist. Gir Somnath - 362560</v>
      </c>
      <c r="AD126" s="8">
        <f>_xlfn.XLOOKUP(AA126, 'Agency List'!A$2:A$145, 'Agency List'!D$2:D$145, "Not Found")</f>
        <v>7698616111</v>
      </c>
      <c r="AE126" s="7"/>
      <c r="AF126" s="5" t="s">
        <v>357</v>
      </c>
      <c r="AG126" s="5" t="str">
        <f t="shared" si="17"/>
        <v>Bandhkam</v>
      </c>
      <c r="AH126" s="5"/>
      <c r="AI126" s="8"/>
      <c r="AJ126" s="8"/>
      <c r="AL126" s="16">
        <v>4</v>
      </c>
      <c r="AM126" s="12">
        <f t="shared" si="18"/>
        <v>94000</v>
      </c>
      <c r="AN126" s="7">
        <f t="shared" si="19"/>
        <v>46501</v>
      </c>
      <c r="AO126" s="12">
        <f t="shared" si="20"/>
        <v>4700</v>
      </c>
      <c r="AP126" s="12">
        <f t="shared" si="21"/>
        <v>0</v>
      </c>
      <c r="AQ126" s="15">
        <f t="shared" si="22"/>
        <v>46086</v>
      </c>
      <c r="AR126" s="7">
        <f t="shared" si="23"/>
        <v>46441</v>
      </c>
      <c r="AS126" s="5">
        <v>1131</v>
      </c>
      <c r="AT126" s="7">
        <v>45877</v>
      </c>
      <c r="AU126" s="5" t="s">
        <v>78</v>
      </c>
      <c r="AV126" s="17">
        <v>162</v>
      </c>
      <c r="AW126" s="37">
        <v>45931</v>
      </c>
      <c r="AX126" s="5" t="s">
        <v>355</v>
      </c>
      <c r="AY126" s="5" t="s">
        <v>369</v>
      </c>
      <c r="AZ126" s="13">
        <v>44426507577</v>
      </c>
      <c r="BA126" s="12">
        <v>94000</v>
      </c>
      <c r="BB126" s="7">
        <v>45901</v>
      </c>
      <c r="BC126" s="14"/>
      <c r="BD126" s="14"/>
      <c r="BF126" s="12"/>
      <c r="BG126" s="14"/>
      <c r="BH126" s="19">
        <v>45931</v>
      </c>
      <c r="BI126" s="5">
        <v>1403</v>
      </c>
      <c r="BJ126" s="19">
        <v>45931</v>
      </c>
      <c r="BM126" s="18"/>
      <c r="BN126" s="18"/>
      <c r="BO126" s="18"/>
      <c r="BP126" s="18"/>
      <c r="BQ126" s="5"/>
      <c r="BR126" s="18"/>
      <c r="BS126" s="18"/>
      <c r="BT126" s="35">
        <f t="shared" si="26"/>
        <v>46051</v>
      </c>
    </row>
    <row r="127" spans="1:72" ht="43.5" x14ac:dyDescent="0.35">
      <c r="A127" s="5">
        <v>126</v>
      </c>
      <c r="B127" s="5"/>
      <c r="C127" s="5" t="s">
        <v>78</v>
      </c>
      <c r="D127" s="5">
        <v>8</v>
      </c>
      <c r="E127" s="5">
        <v>20</v>
      </c>
      <c r="F127" s="8" t="s">
        <v>500</v>
      </c>
      <c r="G127" s="8"/>
      <c r="H127" s="5" t="s">
        <v>12</v>
      </c>
      <c r="I127" s="5" t="str" cm="1">
        <f t="array" ref="I127">_xlfn.IFS(
  H127="Mahuva", "Mahuva",
  H127="Jesar", "Mahuva",
  H127="Palitana", "Palitana",
  H127="Gariyadhar", "Palitana",
  H127="Talaja", "Talaja",
  H127="Vallabhipur", "Vallabhipur",
  H127="Umrala", "Vallabhipur",
  H127="Shihor", "Shihor",
  H127="Ghogha", "Bhavnagar",
  H127="Bhavnagar", "Bhavnagar"
)</f>
        <v>Mahuva</v>
      </c>
      <c r="J127" s="5" t="s">
        <v>256</v>
      </c>
      <c r="K127" s="5" t="s">
        <v>418</v>
      </c>
      <c r="L127" s="5">
        <v>199578</v>
      </c>
      <c r="M127" s="5">
        <v>2</v>
      </c>
      <c r="N127" s="7">
        <v>45837</v>
      </c>
      <c r="O127" s="7">
        <v>45848</v>
      </c>
      <c r="P127" s="7">
        <v>45849</v>
      </c>
      <c r="Q127" s="7">
        <f t="shared" si="13"/>
        <v>45968</v>
      </c>
      <c r="R127" s="9">
        <v>2027056.59</v>
      </c>
      <c r="S127" s="33"/>
      <c r="T127" s="9">
        <v>1972326.06</v>
      </c>
      <c r="U127" s="10">
        <v>-2.7</v>
      </c>
      <c r="V127" s="10" t="str">
        <f t="shared" si="14"/>
        <v>Below</v>
      </c>
      <c r="W127" s="11" t="str" cm="1">
        <f t="array" ref="W127">NumberToWords(T127)</f>
        <v>Nineteen Lakh Seventy Two Thousand Three Hundred Twenty Six Rupees and Six Paise Only</v>
      </c>
      <c r="X127" s="10" t="str">
        <f t="shared" si="15"/>
        <v>Division</v>
      </c>
      <c r="Z127" s="9">
        <f t="shared" si="16"/>
        <v>1972326.06</v>
      </c>
      <c r="AA127" s="5" t="s">
        <v>294</v>
      </c>
      <c r="AB127" s="8">
        <f>_xlfn.XLOOKUP(AA127, 'Agency List'!A$2:A$145, 'Agency List'!B$2:B$145, "Not Found")</f>
        <v>0</v>
      </c>
      <c r="AC127" s="8" t="str">
        <f>_xlfn.XLOOKUP(AA127, 'Agency List'!A$2:A$145, 'Agency List'!C$2:C$145, "Not Found")</f>
        <v>314, Rise On Plaza, Sarthana Jakatnaka, Surat - 395006</v>
      </c>
      <c r="AD127" s="8">
        <f>_xlfn.XLOOKUP(AA127, 'Agency List'!A$2:A$145, 'Agency List'!D$2:D$145, "Not Found")</f>
        <v>9099381567</v>
      </c>
      <c r="AE127" s="7"/>
      <c r="AF127" s="5" t="s">
        <v>357</v>
      </c>
      <c r="AG127" s="5" t="str">
        <f t="shared" si="17"/>
        <v>Bandhkam</v>
      </c>
      <c r="AH127" s="5"/>
      <c r="AI127" s="8"/>
      <c r="AJ127" s="8"/>
      <c r="AL127" s="16">
        <v>4</v>
      </c>
      <c r="AM127" s="12">
        <f t="shared" si="18"/>
        <v>99000</v>
      </c>
      <c r="AN127" s="7">
        <f t="shared" si="19"/>
        <v>46549</v>
      </c>
      <c r="AO127" s="12">
        <f t="shared" si="20"/>
        <v>4900</v>
      </c>
      <c r="AP127" s="12">
        <f t="shared" si="21"/>
        <v>0</v>
      </c>
      <c r="AQ127" s="15">
        <f t="shared" si="22"/>
        <v>46134</v>
      </c>
      <c r="AR127" s="7">
        <f t="shared" si="23"/>
        <v>46489</v>
      </c>
      <c r="AS127" s="5">
        <v>1135</v>
      </c>
      <c r="AT127" s="7">
        <v>45877</v>
      </c>
      <c r="AU127" s="5" t="s">
        <v>78</v>
      </c>
      <c r="AV127" s="17">
        <v>208</v>
      </c>
      <c r="AW127" s="37">
        <v>45974</v>
      </c>
      <c r="AX127" s="5" t="s">
        <v>355</v>
      </c>
      <c r="AY127" s="5" t="s">
        <v>369</v>
      </c>
      <c r="AZ127" s="13">
        <v>44496712299</v>
      </c>
      <c r="BA127" s="12">
        <v>99000</v>
      </c>
      <c r="BB127" s="7">
        <v>45924</v>
      </c>
      <c r="BC127" s="14"/>
      <c r="BD127" s="14"/>
      <c r="BF127" s="12"/>
      <c r="BG127" s="14"/>
      <c r="BH127" s="19">
        <v>45979</v>
      </c>
      <c r="BI127" s="5">
        <v>1536</v>
      </c>
      <c r="BJ127" s="19">
        <v>45974</v>
      </c>
      <c r="BM127" s="18"/>
      <c r="BN127" s="18"/>
      <c r="BO127" s="18"/>
      <c r="BP127" s="18"/>
      <c r="BQ127" s="5"/>
      <c r="BR127" s="18"/>
      <c r="BS127" s="18"/>
      <c r="BT127" s="35">
        <f t="shared" si="26"/>
        <v>46099</v>
      </c>
    </row>
    <row r="128" spans="1:72" ht="29" x14ac:dyDescent="0.35">
      <c r="A128" s="5">
        <v>127</v>
      </c>
      <c r="B128" s="5"/>
      <c r="C128" s="5" t="s">
        <v>78</v>
      </c>
      <c r="D128" s="5">
        <v>8</v>
      </c>
      <c r="E128" s="5">
        <v>21</v>
      </c>
      <c r="F128" s="8"/>
      <c r="G128" s="8"/>
      <c r="H128" s="5"/>
      <c r="I128" s="5" t="e" cm="1">
        <f t="array" ref="I128">_xlfn.IFS(
  H128="Mahuva", "Mahuva",
  H128="Jesar", "Mahuva",
  H128="Palitana", "Palitana",
  H128="Gariyadhar", "Palitana",
  H128="Talaja", "Talaja",
  H128="Vallabhipur", "Vallabhipur",
  H128="Umrala", "Vallabhipur",
  H128="Shihor", "Shihor",
  H128="Ghogha", "Bhavnagar",
  H128="Bhavnagar", "Bhavnagar"
)</f>
        <v>#N/A</v>
      </c>
      <c r="J128" s="5" t="s">
        <v>256</v>
      </c>
      <c r="K128" s="5" t="s">
        <v>418</v>
      </c>
      <c r="M128" s="5"/>
      <c r="N128" s="7">
        <v>45837</v>
      </c>
      <c r="O128" s="7">
        <v>45848</v>
      </c>
      <c r="P128" s="7">
        <v>45849</v>
      </c>
      <c r="Q128" s="7">
        <f t="shared" si="13"/>
        <v>45968</v>
      </c>
      <c r="S128" s="33" t="s">
        <v>233</v>
      </c>
      <c r="U128" s="10"/>
      <c r="V128" s="10" t="str">
        <f t="shared" si="14"/>
        <v>Equals</v>
      </c>
      <c r="W128" s="11" t="str" cm="1">
        <f t="array" ref="W128">NumberToWords(T128)</f>
        <v>Zero Rupees Only</v>
      </c>
      <c r="X128" s="10" t="str">
        <f t="shared" si="15"/>
        <v>Division</v>
      </c>
      <c r="Z128" s="9">
        <f t="shared" si="16"/>
        <v>0</v>
      </c>
      <c r="AB128" s="8">
        <f>_xlfn.XLOOKUP(AA128, 'Agency List'!A$2:A$145, 'Agency List'!B$2:B$145, "Not Found")</f>
        <v>0</v>
      </c>
      <c r="AC128" s="8">
        <f>_xlfn.XLOOKUP(AA128, 'Agency List'!A$2:A$145, 'Agency List'!C$2:C$145, "Not Found")</f>
        <v>0</v>
      </c>
      <c r="AD128" s="8">
        <f>_xlfn.XLOOKUP(AA128, 'Agency List'!A$2:A$145, 'Agency List'!D$2:D$145, "Not Found")</f>
        <v>0</v>
      </c>
      <c r="AE128" s="7"/>
      <c r="AF128" s="5"/>
      <c r="AG128" s="5" t="str">
        <f t="shared" si="17"/>
        <v>Bandhkam</v>
      </c>
      <c r="AH128" s="5"/>
      <c r="AI128" s="8"/>
      <c r="AJ128" s="8"/>
      <c r="AL128" s="16"/>
      <c r="AM128" s="12">
        <f t="shared" si="18"/>
        <v>0</v>
      </c>
      <c r="AN128" s="7">
        <f t="shared" si="19"/>
        <v>46334</v>
      </c>
      <c r="AO128" s="12">
        <f t="shared" si="20"/>
        <v>0</v>
      </c>
      <c r="AP128" s="12">
        <f t="shared" si="21"/>
        <v>0</v>
      </c>
      <c r="AQ128" s="15">
        <f t="shared" si="22"/>
        <v>45919</v>
      </c>
      <c r="AR128" s="7">
        <f t="shared" si="23"/>
        <v>46274</v>
      </c>
      <c r="AS128" s="5"/>
      <c r="AU128" s="5"/>
      <c r="AV128" s="17"/>
      <c r="AW128" s="17"/>
      <c r="AX128" s="5"/>
      <c r="AY128" s="5"/>
      <c r="AZ128" s="13"/>
      <c r="BA128" s="12"/>
      <c r="BB128" s="7"/>
      <c r="BC128" s="14"/>
      <c r="BD128" s="14"/>
      <c r="BF128" s="12"/>
      <c r="BG128" s="14"/>
      <c r="BH128" s="19">
        <v>45884</v>
      </c>
      <c r="BI128" s="5"/>
      <c r="BM128" s="18"/>
      <c r="BN128" s="18"/>
      <c r="BO128" s="18"/>
      <c r="BP128" s="18"/>
      <c r="BQ128" s="5"/>
      <c r="BR128" s="18"/>
      <c r="BS128" s="18"/>
      <c r="BT128" s="35">
        <f t="shared" si="26"/>
        <v>45884</v>
      </c>
    </row>
    <row r="129" spans="1:72" ht="43.5" x14ac:dyDescent="0.35">
      <c r="A129" s="5">
        <v>128</v>
      </c>
      <c r="B129" s="5"/>
      <c r="C129" s="5" t="s">
        <v>78</v>
      </c>
      <c r="D129" s="5">
        <v>8</v>
      </c>
      <c r="E129" s="5">
        <v>22</v>
      </c>
      <c r="F129" s="8" t="s">
        <v>501</v>
      </c>
      <c r="G129" s="8"/>
      <c r="H129" s="5" t="s">
        <v>4</v>
      </c>
      <c r="I129" s="5" t="str" cm="1">
        <f t="array" ref="I129">_xlfn.IFS(
  H129="Mahuva", "Mahuva",
  H129="Jesar", "Mahuva",
  H129="Palitana", "Palitana",
  H129="Gariyadhar", "Palitana",
  H129="Talaja", "Talaja",
  H129="Vallabhipur", "Vallabhipur",
  H129="Umrala", "Vallabhipur",
  H129="Shihor", "Shihor",
  H129="Ghogha", "Bhavnagar",
  H129="Bhavnagar", "Bhavnagar"
)</f>
        <v>Talaja</v>
      </c>
      <c r="J129" s="5" t="s">
        <v>256</v>
      </c>
      <c r="K129" s="5" t="s">
        <v>418</v>
      </c>
      <c r="L129" s="5">
        <v>199581</v>
      </c>
      <c r="M129" s="5">
        <v>2</v>
      </c>
      <c r="N129" s="7">
        <v>45837</v>
      </c>
      <c r="O129" s="7">
        <v>45848</v>
      </c>
      <c r="P129" s="7">
        <v>45849</v>
      </c>
      <c r="Q129" s="7">
        <f t="shared" si="13"/>
        <v>45968</v>
      </c>
      <c r="R129" s="9">
        <v>2027056.59</v>
      </c>
      <c r="S129" s="33"/>
      <c r="T129" s="9">
        <v>1970704.42</v>
      </c>
      <c r="U129" s="10">
        <v>-2.78</v>
      </c>
      <c r="V129" s="10" t="str">
        <f t="shared" si="14"/>
        <v>Below</v>
      </c>
      <c r="W129" s="11" t="str" cm="1">
        <f t="array" ref="W129">NumberToWords(T129)</f>
        <v>Nineteen Lakh Seventy Thousand Seven Hundred Four Rupees and Forty Two Paise Only</v>
      </c>
      <c r="X129" s="10" t="str">
        <f t="shared" si="15"/>
        <v>Division</v>
      </c>
      <c r="Z129" s="9">
        <f t="shared" si="16"/>
        <v>1970704.42</v>
      </c>
      <c r="AA129" s="5" t="s">
        <v>399</v>
      </c>
      <c r="AB129" s="8" t="str">
        <f>_xlfn.XLOOKUP(AA129, 'Agency List'!A$2:A$145, 'Agency List'!B$2:B$145, "Not Found")</f>
        <v>Pratapbhai Lakhubhai Beparia</v>
      </c>
      <c r="AC129" s="8" t="str">
        <f>_xlfn.XLOOKUP(AA129, 'Agency List'!A$2:A$145, 'Agency List'!C$2:C$145, "Not Found")</f>
        <v>At Lothpur, Ta. Jafarabad, Dist. Amreli - 365540</v>
      </c>
      <c r="AD129" s="8">
        <f>_xlfn.XLOOKUP(AA129, 'Agency List'!A$2:A$145, 'Agency List'!D$2:D$145, "Not Found")</f>
        <v>9727987777</v>
      </c>
      <c r="AE129" s="7"/>
      <c r="AF129" s="5" t="s">
        <v>357</v>
      </c>
      <c r="AG129" s="5" t="str">
        <f t="shared" si="17"/>
        <v>Bandhkam</v>
      </c>
      <c r="AH129" s="5"/>
      <c r="AI129" s="8"/>
      <c r="AJ129" s="8"/>
      <c r="AL129" s="16">
        <v>4</v>
      </c>
      <c r="AM129" s="12">
        <f t="shared" si="18"/>
        <v>99000</v>
      </c>
      <c r="AN129" s="7">
        <f t="shared" si="19"/>
        <v>46481</v>
      </c>
      <c r="AO129" s="12">
        <f t="shared" si="20"/>
        <v>4900</v>
      </c>
      <c r="AP129" s="12">
        <f t="shared" si="21"/>
        <v>0</v>
      </c>
      <c r="AQ129" s="15">
        <f t="shared" si="22"/>
        <v>46066</v>
      </c>
      <c r="AR129" s="7">
        <f t="shared" si="23"/>
        <v>46421</v>
      </c>
      <c r="AS129" s="5">
        <v>1136</v>
      </c>
      <c r="AT129" s="7">
        <v>45877</v>
      </c>
      <c r="AU129" s="5" t="s">
        <v>78</v>
      </c>
      <c r="AV129" s="17">
        <v>150</v>
      </c>
      <c r="AW129" s="19">
        <v>45911</v>
      </c>
      <c r="AX129" s="5" t="s">
        <v>355</v>
      </c>
      <c r="AY129" s="5" t="s">
        <v>605</v>
      </c>
      <c r="AZ129" s="45" t="s">
        <v>726</v>
      </c>
      <c r="BA129" s="12">
        <v>99000</v>
      </c>
      <c r="BB129" s="7">
        <v>45889</v>
      </c>
      <c r="BC129" s="14"/>
      <c r="BD129" s="14"/>
      <c r="BF129" s="12"/>
      <c r="BG129" s="14"/>
      <c r="BH129" s="19">
        <v>45911</v>
      </c>
      <c r="BI129" s="5">
        <v>1295</v>
      </c>
      <c r="BJ129" s="19">
        <v>45911</v>
      </c>
      <c r="BM129" s="18"/>
      <c r="BN129" s="18"/>
      <c r="BO129" s="18"/>
      <c r="BP129" s="18"/>
      <c r="BQ129" s="5"/>
      <c r="BR129" s="18"/>
      <c r="BS129" s="18"/>
      <c r="BT129" s="35">
        <f t="shared" si="26"/>
        <v>46031</v>
      </c>
    </row>
    <row r="130" spans="1:72" ht="43.5" x14ac:dyDescent="0.35">
      <c r="A130" s="5">
        <v>129</v>
      </c>
      <c r="B130" s="5"/>
      <c r="C130" s="5" t="s">
        <v>78</v>
      </c>
      <c r="D130" s="5">
        <v>8</v>
      </c>
      <c r="E130" s="5">
        <v>23</v>
      </c>
      <c r="F130" s="8" t="s">
        <v>601</v>
      </c>
      <c r="G130" s="8"/>
      <c r="H130" s="5" t="s">
        <v>1</v>
      </c>
      <c r="I130" s="5" t="str" cm="1">
        <f t="array" ref="I130">_xlfn.IFS(
  H130="Mahuva", "Mahuva",
  H130="Jesar", "Mahuva",
  H130="Palitana", "Palitana",
  H130="Gariyadhar", "Palitana",
  H130="Talaja", "Talaja",
  H130="Vallabhipur", "Vallabhipur",
  H130="Umrala", "Vallabhipur",
  H130="Shihor", "Shihor",
  H130="Ghogha", "Bhavnagar",
  H130="Bhavnagar", "Bhavnagar"
)</f>
        <v>Bhavnagar</v>
      </c>
      <c r="J130" s="5" t="s">
        <v>256</v>
      </c>
      <c r="K130" s="5" t="s">
        <v>418</v>
      </c>
      <c r="L130" s="5">
        <v>199582</v>
      </c>
      <c r="M130" s="5">
        <v>2</v>
      </c>
      <c r="N130" s="7">
        <v>45837</v>
      </c>
      <c r="O130" s="7">
        <v>45848</v>
      </c>
      <c r="P130" s="7">
        <v>45849</v>
      </c>
      <c r="Q130" s="7">
        <f t="shared" ref="Q130:Q193" si="27">O130+120</f>
        <v>45968</v>
      </c>
      <c r="R130" s="9">
        <v>2654980.89</v>
      </c>
      <c r="S130" s="33"/>
      <c r="T130" s="9">
        <v>2468866.73</v>
      </c>
      <c r="U130" s="10">
        <v>-7.01</v>
      </c>
      <c r="V130" s="10" t="str">
        <f t="shared" ref="V130:V193" si="28">IF(U130&lt;0,"Below",IF(U130&gt;0,"Above","Equals"))</f>
        <v>Below</v>
      </c>
      <c r="W130" s="11" t="str" cm="1">
        <f t="array" ref="W130">NumberToWords(T130)</f>
        <v>Twenty Four Lakh Sixty Eight Thousand Eight Hundred Sixty Six Rupees and Seventy Three Paise Only</v>
      </c>
      <c r="X130" s="10" t="str">
        <f t="shared" ref="X130:X193" si="29">IF(T130&lt;5000000,"Division",IF(T130&lt;=20000000,"Circle","Government"))</f>
        <v>Division</v>
      </c>
      <c r="Z130" s="9">
        <f t="shared" ref="Z130:Z193" si="30">T130+Y130</f>
        <v>2468866.73</v>
      </c>
      <c r="AA130" s="5" t="s">
        <v>400</v>
      </c>
      <c r="AB130" s="8" t="str">
        <f>_xlfn.XLOOKUP(AA130, 'Agency List'!A$2:A$145, 'Agency List'!B$2:B$145, "Not Found")</f>
        <v>PARTH Kiritkumar MEHTA</v>
      </c>
      <c r="AC130" s="8" t="str">
        <f>_xlfn.XLOOKUP(AA130, 'Agency List'!A$2:A$145, 'Agency List'!C$2:C$145, "Not Found")</f>
        <v>Plot No. 1578/I, New Champa Tenament, Divadi Road, Rupani Circle, Bhavnagar - 364002</v>
      </c>
      <c r="AD130" s="8">
        <f>_xlfn.XLOOKUP(AA130, 'Agency List'!A$2:A$145, 'Agency List'!D$2:D$145, "Not Found")</f>
        <v>7990934709</v>
      </c>
      <c r="AE130" s="7"/>
      <c r="AF130" s="5"/>
      <c r="AG130" s="5" t="str">
        <f t="shared" ref="AG130:AG193" si="31">IF(AND(
   AF130&lt;&gt;"5054 MMGSY NORMAL",
   AF130&lt;&gt;"3054 MMGSY NORMAL",
   AF130&lt;&gt;"5054 MMGSY SCSP",
   AF130&lt;&gt;"5054 Suvidhapath"
),
   IF(T130&gt;2500000,"Karobari","Bandhkam"),
   "NA"
)</f>
        <v>Bandhkam</v>
      </c>
      <c r="AH130" s="5"/>
      <c r="AI130" s="8"/>
      <c r="AJ130" s="8"/>
      <c r="AL130" s="16">
        <v>4</v>
      </c>
      <c r="AM130" s="12">
        <f t="shared" ref="AM130:AM193" si="32">CEILING(T130*5/100, 1000)</f>
        <v>124000</v>
      </c>
      <c r="AN130" s="7">
        <f t="shared" ref="AN130:AN193" si="33">AR130+60</f>
        <v>46454</v>
      </c>
      <c r="AO130" s="12">
        <f t="shared" ref="AO130:AO193" si="34">CEILING(((AM130+AP130)*4.9/100),100)</f>
        <v>6100</v>
      </c>
      <c r="AP130" s="12">
        <f t="shared" ref="AP130:AP193" si="35">IF(U130&lt;-20,(CEILING(((R130*90/100)-T130)*30/100, 1000)),IF(U130&lt;-10,(CEILING(((R130*90/100)-T130)*20/100, 1000)),0))</f>
        <v>0</v>
      </c>
      <c r="AQ130" s="15">
        <f t="shared" ref="AQ130:AQ193" si="36">BH130+AL130*30+35</f>
        <v>46039</v>
      </c>
      <c r="AR130" s="7">
        <f t="shared" ref="AR130:AR193" si="37" xml:space="preserve">   IF(R130&gt;10000000,
      BH130 + AL130*30 + 36*30 + 30,
      BH130 + AL130*30 + 12*30 + 30
   )</f>
        <v>46394</v>
      </c>
      <c r="AS130" s="5">
        <v>1137</v>
      </c>
      <c r="AT130" s="7">
        <v>45877</v>
      </c>
      <c r="AU130" s="5"/>
      <c r="AV130" s="17"/>
      <c r="AW130" s="17"/>
      <c r="AX130" s="5"/>
      <c r="AY130" s="5"/>
      <c r="AZ130" s="13"/>
      <c r="BA130" s="12"/>
      <c r="BB130" s="7"/>
      <c r="BC130" s="14"/>
      <c r="BD130" s="14"/>
      <c r="BF130" s="12"/>
      <c r="BG130" s="14"/>
      <c r="BH130" s="19">
        <v>45884</v>
      </c>
      <c r="BI130" s="5"/>
      <c r="BK130" s="5">
        <v>1729</v>
      </c>
      <c r="BL130" s="7">
        <v>46006</v>
      </c>
      <c r="BM130" s="18"/>
      <c r="BN130" s="18"/>
      <c r="BO130" s="18"/>
      <c r="BP130" s="18"/>
      <c r="BQ130" s="5"/>
      <c r="BR130" s="18"/>
      <c r="BS130" s="18"/>
      <c r="BT130" s="35">
        <f t="shared" si="26"/>
        <v>46004</v>
      </c>
    </row>
    <row r="131" spans="1:72" ht="43.5" x14ac:dyDescent="0.35">
      <c r="A131" s="5">
        <v>130</v>
      </c>
      <c r="B131" s="5"/>
      <c r="C131" s="5" t="s">
        <v>78</v>
      </c>
      <c r="D131" s="5">
        <v>8</v>
      </c>
      <c r="E131" s="5">
        <v>24</v>
      </c>
      <c r="F131" s="8" t="s">
        <v>580</v>
      </c>
      <c r="G131" s="8"/>
      <c r="H131" s="5" t="s">
        <v>1</v>
      </c>
      <c r="I131" s="5" t="str" cm="1">
        <f t="array" ref="I131">_xlfn.IFS(
  H131="Mahuva", "Mahuva",
  H131="Jesar", "Mahuva",
  H131="Palitana", "Palitana",
  H131="Gariyadhar", "Palitana",
  H131="Talaja", "Talaja",
  H131="Vallabhipur", "Vallabhipur",
  H131="Umrala", "Vallabhipur",
  H131="Shihor", "Shihor",
  H131="Ghogha", "Bhavnagar",
  H131="Bhavnagar", "Bhavnagar"
)</f>
        <v>Bhavnagar</v>
      </c>
      <c r="J131" s="5" t="s">
        <v>256</v>
      </c>
      <c r="K131" s="5" t="s">
        <v>418</v>
      </c>
      <c r="L131" s="5">
        <v>199583</v>
      </c>
      <c r="M131" s="5">
        <v>2</v>
      </c>
      <c r="N131" s="7">
        <v>45837</v>
      </c>
      <c r="O131" s="7">
        <v>45848</v>
      </c>
      <c r="P131" s="7">
        <v>45849</v>
      </c>
      <c r="Q131" s="7">
        <f t="shared" si="27"/>
        <v>45968</v>
      </c>
      <c r="R131" s="9">
        <v>2654980.89</v>
      </c>
      <c r="S131" s="33"/>
      <c r="T131" s="9">
        <v>2468866.73</v>
      </c>
      <c r="U131" s="10">
        <v>-7.01</v>
      </c>
      <c r="V131" s="10" t="str">
        <f t="shared" si="28"/>
        <v>Below</v>
      </c>
      <c r="W131" s="11" t="str" cm="1">
        <f t="array" ref="W131">NumberToWords(T131)</f>
        <v>Twenty Four Lakh Sixty Eight Thousand Eight Hundred Sixty Six Rupees and Seventy Three Paise Only</v>
      </c>
      <c r="X131" s="10" t="str">
        <f t="shared" si="29"/>
        <v>Division</v>
      </c>
      <c r="Z131" s="9">
        <f t="shared" si="30"/>
        <v>2468866.73</v>
      </c>
      <c r="AA131" s="5" t="s">
        <v>400</v>
      </c>
      <c r="AB131" s="8" t="str">
        <f>_xlfn.XLOOKUP(AA131, 'Agency List'!A$2:A$145, 'Agency List'!B$2:B$145, "Not Found")</f>
        <v>PARTH Kiritkumar MEHTA</v>
      </c>
      <c r="AC131" s="8" t="str">
        <f>_xlfn.XLOOKUP(AA131, 'Agency List'!A$2:A$145, 'Agency List'!C$2:C$145, "Not Found")</f>
        <v>Plot No. 1578/I, New Champa Tenament, Divadi Road, Rupani Circle, Bhavnagar - 364002</v>
      </c>
      <c r="AD131" s="8">
        <f>_xlfn.XLOOKUP(AA131, 'Agency List'!A$2:A$145, 'Agency List'!D$2:D$145, "Not Found")</f>
        <v>7990934709</v>
      </c>
      <c r="AE131" s="7"/>
      <c r="AF131" s="5" t="s">
        <v>725</v>
      </c>
      <c r="AG131" s="5" t="str">
        <f t="shared" si="31"/>
        <v>Bandhkam</v>
      </c>
      <c r="AH131" s="5"/>
      <c r="AI131" s="8"/>
      <c r="AJ131" s="8"/>
      <c r="AL131" s="16">
        <v>4</v>
      </c>
      <c r="AM131" s="12">
        <f t="shared" si="32"/>
        <v>124000</v>
      </c>
      <c r="AN131" s="7">
        <f t="shared" si="33"/>
        <v>46549</v>
      </c>
      <c r="AO131" s="12">
        <f t="shared" si="34"/>
        <v>6100</v>
      </c>
      <c r="AP131" s="12">
        <f t="shared" si="35"/>
        <v>0</v>
      </c>
      <c r="AQ131" s="15">
        <f t="shared" si="36"/>
        <v>46134</v>
      </c>
      <c r="AR131" s="7">
        <f t="shared" si="37"/>
        <v>46489</v>
      </c>
      <c r="AS131" s="5">
        <v>1144</v>
      </c>
      <c r="AT131" s="7">
        <v>45877</v>
      </c>
      <c r="AU131" s="5" t="s">
        <v>78</v>
      </c>
      <c r="AV131" s="17">
        <v>209</v>
      </c>
      <c r="AW131" s="19">
        <v>45974</v>
      </c>
      <c r="AX131" s="5" t="s">
        <v>355</v>
      </c>
      <c r="AY131" s="5" t="s">
        <v>369</v>
      </c>
      <c r="AZ131" s="13">
        <v>44564243728</v>
      </c>
      <c r="BA131" s="12">
        <v>124500</v>
      </c>
      <c r="BB131" s="7">
        <v>45947</v>
      </c>
      <c r="BC131" s="14"/>
      <c r="BD131" s="14"/>
      <c r="BF131" s="12"/>
      <c r="BG131" s="14"/>
      <c r="BH131" s="19">
        <v>45979</v>
      </c>
      <c r="BI131" s="5">
        <v>1537</v>
      </c>
      <c r="BJ131" s="19">
        <v>45974</v>
      </c>
      <c r="BM131" s="18"/>
      <c r="BN131" s="18"/>
      <c r="BO131" s="18"/>
      <c r="BP131" s="18"/>
      <c r="BQ131" s="5"/>
      <c r="BR131" s="18"/>
      <c r="BS131" s="18"/>
      <c r="BT131" s="35">
        <f t="shared" si="26"/>
        <v>46099</v>
      </c>
    </row>
    <row r="132" spans="1:72" ht="29" x14ac:dyDescent="0.35">
      <c r="A132" s="5">
        <v>131</v>
      </c>
      <c r="B132" s="5"/>
      <c r="C132" s="5" t="s">
        <v>78</v>
      </c>
      <c r="D132" s="5">
        <v>8</v>
      </c>
      <c r="E132" s="5">
        <v>25</v>
      </c>
      <c r="F132" s="8"/>
      <c r="G132" s="8"/>
      <c r="H132" s="5"/>
      <c r="I132" s="5" t="e" cm="1">
        <f t="array" ref="I132">_xlfn.IFS(
  H132="Mahuva", "Mahuva",
  H132="Jesar", "Mahuva",
  H132="Palitana", "Palitana",
  H132="Gariyadhar", "Palitana",
  H132="Talaja", "Talaja",
  H132="Vallabhipur", "Vallabhipur",
  H132="Umrala", "Vallabhipur",
  H132="Shihor", "Shihor",
  H132="Ghogha", "Bhavnagar",
  H132="Bhavnagar", "Bhavnagar"
)</f>
        <v>#N/A</v>
      </c>
      <c r="J132" s="5" t="s">
        <v>256</v>
      </c>
      <c r="K132" s="5" t="s">
        <v>418</v>
      </c>
      <c r="M132" s="5"/>
      <c r="N132" s="7">
        <v>45837</v>
      </c>
      <c r="O132" s="7">
        <v>45848</v>
      </c>
      <c r="P132" s="7">
        <v>45849</v>
      </c>
      <c r="Q132" s="7">
        <f t="shared" si="27"/>
        <v>45968</v>
      </c>
      <c r="S132" s="33" t="s">
        <v>233</v>
      </c>
      <c r="U132" s="10"/>
      <c r="V132" s="10" t="str">
        <f t="shared" si="28"/>
        <v>Equals</v>
      </c>
      <c r="W132" s="11" t="str" cm="1">
        <f t="array" ref="W132">NumberToWords(T132)</f>
        <v>Zero Rupees Only</v>
      </c>
      <c r="X132" s="10" t="str">
        <f t="shared" si="29"/>
        <v>Division</v>
      </c>
      <c r="Z132" s="9">
        <f t="shared" si="30"/>
        <v>0</v>
      </c>
      <c r="AB132" s="8">
        <f>_xlfn.XLOOKUP(AA132, 'Agency List'!A$2:A$145, 'Agency List'!B$2:B$145, "Not Found")</f>
        <v>0</v>
      </c>
      <c r="AC132" s="8">
        <f>_xlfn.XLOOKUP(AA132, 'Agency List'!A$2:A$145, 'Agency List'!C$2:C$145, "Not Found")</f>
        <v>0</v>
      </c>
      <c r="AD132" s="8">
        <f>_xlfn.XLOOKUP(AA132, 'Agency List'!A$2:A$145, 'Agency List'!D$2:D$145, "Not Found")</f>
        <v>0</v>
      </c>
      <c r="AE132" s="7"/>
      <c r="AF132" s="5"/>
      <c r="AG132" s="5" t="str">
        <f t="shared" si="31"/>
        <v>Bandhkam</v>
      </c>
      <c r="AH132" s="5"/>
      <c r="AI132" s="8"/>
      <c r="AJ132" s="8"/>
      <c r="AL132" s="16"/>
      <c r="AM132" s="12">
        <f t="shared" si="32"/>
        <v>0</v>
      </c>
      <c r="AN132" s="7">
        <f t="shared" si="33"/>
        <v>46334</v>
      </c>
      <c r="AO132" s="12">
        <f t="shared" si="34"/>
        <v>0</v>
      </c>
      <c r="AP132" s="12">
        <f t="shared" si="35"/>
        <v>0</v>
      </c>
      <c r="AQ132" s="15">
        <f t="shared" si="36"/>
        <v>45919</v>
      </c>
      <c r="AR132" s="7">
        <f t="shared" si="37"/>
        <v>46274</v>
      </c>
      <c r="AS132" s="5"/>
      <c r="AU132" s="5"/>
      <c r="AV132" s="17"/>
      <c r="AW132" s="17"/>
      <c r="AX132" s="5"/>
      <c r="AY132" s="5"/>
      <c r="AZ132" s="13"/>
      <c r="BA132" s="12"/>
      <c r="BB132" s="7"/>
      <c r="BC132" s="14"/>
      <c r="BD132" s="14"/>
      <c r="BF132" s="12"/>
      <c r="BG132" s="14"/>
      <c r="BH132" s="19">
        <v>45884</v>
      </c>
      <c r="BI132" s="5"/>
      <c r="BM132" s="18"/>
      <c r="BN132" s="18"/>
      <c r="BO132" s="18"/>
      <c r="BP132" s="18"/>
      <c r="BQ132" s="5"/>
      <c r="BR132" s="18"/>
      <c r="BS132" s="18"/>
      <c r="BT132" s="35">
        <f t="shared" si="26"/>
        <v>45884</v>
      </c>
    </row>
    <row r="133" spans="1:72" ht="43.5" x14ac:dyDescent="0.35">
      <c r="A133" s="5">
        <v>132</v>
      </c>
      <c r="B133" s="5"/>
      <c r="C133" s="5" t="s">
        <v>78</v>
      </c>
      <c r="D133" s="5">
        <v>8</v>
      </c>
      <c r="E133" s="5">
        <v>26</v>
      </c>
      <c r="F133" s="8" t="s">
        <v>502</v>
      </c>
      <c r="G133" s="8"/>
      <c r="H133" s="5" t="s">
        <v>1</v>
      </c>
      <c r="I133" s="5" t="str" cm="1">
        <f t="array" ref="I133">_xlfn.IFS(
  H133="Mahuva", "Mahuva",
  H133="Jesar", "Mahuva",
  H133="Palitana", "Palitana",
  H133="Gariyadhar", "Palitana",
  H133="Talaja", "Talaja",
  H133="Vallabhipur", "Vallabhipur",
  H133="Umrala", "Vallabhipur",
  H133="Shihor", "Shihor",
  H133="Ghogha", "Bhavnagar",
  H133="Bhavnagar", "Bhavnagar"
)</f>
        <v>Bhavnagar</v>
      </c>
      <c r="J133" s="5" t="s">
        <v>256</v>
      </c>
      <c r="K133" s="5" t="s">
        <v>418</v>
      </c>
      <c r="L133" s="5">
        <v>199613</v>
      </c>
      <c r="M133" s="5"/>
      <c r="N133" s="7">
        <v>45837</v>
      </c>
      <c r="O133" s="7">
        <v>45848</v>
      </c>
      <c r="P133" s="7">
        <v>45849</v>
      </c>
      <c r="Q133" s="7">
        <f t="shared" si="27"/>
        <v>45968</v>
      </c>
      <c r="R133" s="9">
        <v>2079935.08</v>
      </c>
      <c r="S133" s="33"/>
      <c r="T133" s="9">
        <v>1897940.76</v>
      </c>
      <c r="U133" s="10">
        <v>-8.75</v>
      </c>
      <c r="V133" s="10" t="str">
        <f t="shared" si="28"/>
        <v>Below</v>
      </c>
      <c r="W133" s="11" t="str" cm="1">
        <f t="array" ref="W133">NumberToWords(T133)</f>
        <v>Eighteen Lakh Ninety Seven Thousand Nine Hundred Forty Rupees and Seventy Six Paise Only</v>
      </c>
      <c r="X133" s="10" t="str">
        <f t="shared" si="29"/>
        <v>Division</v>
      </c>
      <c r="Z133" s="9">
        <f t="shared" si="30"/>
        <v>1897940.76</v>
      </c>
      <c r="AA133" s="5" t="s">
        <v>602</v>
      </c>
      <c r="AB133" s="8" t="str">
        <f>_xlfn.XLOOKUP(AA133, 'Agency List'!A$2:A$145, 'Agency List'!B$2:B$145, "Not Found")</f>
        <v>Paresh Lakhabhai Jora</v>
      </c>
      <c r="AC133" s="8" t="str">
        <f>_xlfn.XLOOKUP(AA133, 'Agency List'!A$2:A$145, 'Agency List'!C$2:C$145, "Not Found")</f>
        <v>At Umba, Taluka - Veraval, Dist. Gir Somnath - 362255</v>
      </c>
      <c r="AD133" s="8">
        <f>_xlfn.XLOOKUP(AA133, 'Agency List'!A$2:A$145, 'Agency List'!D$2:D$145, "Not Found")</f>
        <v>9712641067</v>
      </c>
      <c r="AE133" s="7"/>
      <c r="AF133" s="5"/>
      <c r="AG133" s="5" t="str">
        <f t="shared" si="31"/>
        <v>Bandhkam</v>
      </c>
      <c r="AH133" s="5"/>
      <c r="AI133" s="8"/>
      <c r="AJ133" s="8"/>
      <c r="AL133" s="16">
        <v>4</v>
      </c>
      <c r="AM133" s="12">
        <f t="shared" si="32"/>
        <v>95000</v>
      </c>
      <c r="AN133" s="7">
        <f t="shared" si="33"/>
        <v>46454</v>
      </c>
      <c r="AO133" s="12">
        <f t="shared" si="34"/>
        <v>4700</v>
      </c>
      <c r="AP133" s="12">
        <f t="shared" si="35"/>
        <v>0</v>
      </c>
      <c r="AQ133" s="15">
        <f t="shared" si="36"/>
        <v>46039</v>
      </c>
      <c r="AR133" s="7">
        <f t="shared" si="37"/>
        <v>46394</v>
      </c>
      <c r="AS133" s="5">
        <v>1141</v>
      </c>
      <c r="AT133" s="7">
        <v>45877</v>
      </c>
      <c r="AU133" s="5"/>
      <c r="AV133" s="17"/>
      <c r="AW133" s="17"/>
      <c r="AX133" s="5"/>
      <c r="AY133" s="5"/>
      <c r="AZ133" s="13"/>
      <c r="BA133" s="12"/>
      <c r="BB133" s="7"/>
      <c r="BC133" s="14"/>
      <c r="BD133" s="14"/>
      <c r="BF133" s="12"/>
      <c r="BG133" s="14"/>
      <c r="BH133" s="19">
        <v>45884</v>
      </c>
      <c r="BI133" s="5"/>
      <c r="BK133" s="5">
        <v>1726</v>
      </c>
      <c r="BL133" s="7">
        <v>46006</v>
      </c>
      <c r="BM133" s="18"/>
      <c r="BN133" s="18"/>
      <c r="BO133" s="18"/>
      <c r="BP133" s="18"/>
      <c r="BQ133" s="5"/>
      <c r="BR133" s="18"/>
      <c r="BS133" s="18"/>
      <c r="BT133" s="35">
        <f t="shared" si="26"/>
        <v>46004</v>
      </c>
    </row>
    <row r="134" spans="1:72" ht="58" x14ac:dyDescent="0.35">
      <c r="A134" s="5">
        <v>133</v>
      </c>
      <c r="B134" s="5"/>
      <c r="C134" s="5" t="s">
        <v>78</v>
      </c>
      <c r="D134" s="5">
        <v>8</v>
      </c>
      <c r="E134" s="5">
        <v>27</v>
      </c>
      <c r="F134" s="8" t="s">
        <v>503</v>
      </c>
      <c r="G134" s="8"/>
      <c r="H134" s="5" t="s">
        <v>1</v>
      </c>
      <c r="I134" s="5" t="str" cm="1">
        <f t="array" ref="I134">_xlfn.IFS(
  H134="Mahuva", "Mahuva",
  H134="Jesar", "Mahuva",
  H134="Palitana", "Palitana",
  H134="Gariyadhar", "Palitana",
  H134="Talaja", "Talaja",
  H134="Vallabhipur", "Vallabhipur",
  H134="Umrala", "Vallabhipur",
  H134="Shihor", "Shihor",
  H134="Ghogha", "Bhavnagar",
  H134="Bhavnagar", "Bhavnagar"
)</f>
        <v>Bhavnagar</v>
      </c>
      <c r="J134" s="5" t="s">
        <v>256</v>
      </c>
      <c r="K134" s="5" t="s">
        <v>418</v>
      </c>
      <c r="L134" s="5">
        <v>199614</v>
      </c>
      <c r="M134" s="5"/>
      <c r="N134" s="7">
        <v>45837</v>
      </c>
      <c r="O134" s="7">
        <v>45848</v>
      </c>
      <c r="P134" s="7">
        <v>45849</v>
      </c>
      <c r="Q134" s="7">
        <f t="shared" si="27"/>
        <v>45968</v>
      </c>
      <c r="R134" s="9">
        <v>2079935.08</v>
      </c>
      <c r="S134" s="33"/>
      <c r="T134" s="9">
        <v>1973234.41</v>
      </c>
      <c r="U134" s="10">
        <v>-5.13</v>
      </c>
      <c r="V134" s="10" t="str">
        <f t="shared" si="28"/>
        <v>Below</v>
      </c>
      <c r="W134" s="11" t="str" cm="1">
        <f t="array" ref="W134">NumberToWords(T134)</f>
        <v>Nineteen Lakh Seventy Three Thousand Two Hundred Thirty Four Rupees and Forty One Paise Only</v>
      </c>
      <c r="X134" s="10" t="str">
        <f t="shared" si="29"/>
        <v>Division</v>
      </c>
      <c r="Z134" s="9">
        <f t="shared" si="30"/>
        <v>1973234.41</v>
      </c>
      <c r="AA134" s="5" t="s">
        <v>401</v>
      </c>
      <c r="AB134" s="8" t="str">
        <f>_xlfn.XLOOKUP(AA134, 'Agency List'!A$2:A$145, 'Agency List'!B$2:B$145, "Not Found")</f>
        <v>(1) Harshad Kalubhai Dungrani
(2) Lalita Harshad Dungrani</v>
      </c>
      <c r="AC134" s="8" t="str">
        <f>_xlfn.XLOOKUP(AA134, 'Agency List'!A$2:A$145, 'Agency List'!C$2:C$145, "Not Found")</f>
        <v>G 402, Abhilasha Sky, Gopal Chowk, Nikol, Ahmedabad - 382350</v>
      </c>
      <c r="AD134" s="8">
        <f>_xlfn.XLOOKUP(AA134, 'Agency List'!A$2:A$145, 'Agency List'!D$2:D$145, "Not Found")</f>
        <v>9727220227</v>
      </c>
      <c r="AE134" s="7"/>
      <c r="AF134" s="5" t="s">
        <v>357</v>
      </c>
      <c r="AG134" s="5" t="str">
        <f t="shared" si="31"/>
        <v>Bandhkam</v>
      </c>
      <c r="AH134" s="5"/>
      <c r="AI134" s="8"/>
      <c r="AJ134" s="8"/>
      <c r="AL134" s="16">
        <v>4</v>
      </c>
      <c r="AM134" s="12">
        <f t="shared" si="32"/>
        <v>99000</v>
      </c>
      <c r="AN134" s="7">
        <f t="shared" si="33"/>
        <v>46480</v>
      </c>
      <c r="AO134" s="12">
        <f t="shared" si="34"/>
        <v>4900</v>
      </c>
      <c r="AP134" s="12">
        <f t="shared" si="35"/>
        <v>0</v>
      </c>
      <c r="AQ134" s="15">
        <f t="shared" si="36"/>
        <v>46065</v>
      </c>
      <c r="AR134" s="7">
        <f t="shared" si="37"/>
        <v>46420</v>
      </c>
      <c r="AS134" s="5">
        <v>1145</v>
      </c>
      <c r="AT134" s="7">
        <v>45877</v>
      </c>
      <c r="AU134" s="5" t="s">
        <v>78</v>
      </c>
      <c r="AV134" s="17">
        <v>145</v>
      </c>
      <c r="AW134" s="37">
        <v>45910</v>
      </c>
      <c r="AX134" s="5" t="s">
        <v>355</v>
      </c>
      <c r="AY134" s="5" t="s">
        <v>718</v>
      </c>
      <c r="AZ134" s="45" t="s">
        <v>719</v>
      </c>
      <c r="BA134" s="12">
        <v>99000</v>
      </c>
      <c r="BB134" s="7">
        <v>45889</v>
      </c>
      <c r="BC134" s="14"/>
      <c r="BD134" s="14"/>
      <c r="BF134" s="12"/>
      <c r="BG134" s="14"/>
      <c r="BH134" s="19">
        <v>45910</v>
      </c>
      <c r="BI134" s="5">
        <v>1289</v>
      </c>
      <c r="BJ134" s="19">
        <v>45910</v>
      </c>
      <c r="BM134" s="18"/>
      <c r="BN134" s="18"/>
      <c r="BO134" s="18"/>
      <c r="BP134" s="18"/>
      <c r="BQ134" s="5"/>
      <c r="BR134" s="18"/>
      <c r="BS134" s="18"/>
      <c r="BT134" s="35">
        <f t="shared" si="26"/>
        <v>46030</v>
      </c>
    </row>
    <row r="135" spans="1:72" ht="58" x14ac:dyDescent="0.35">
      <c r="A135" s="5">
        <v>134</v>
      </c>
      <c r="B135" s="5"/>
      <c r="C135" s="5" t="s">
        <v>78</v>
      </c>
      <c r="D135" s="5">
        <v>8</v>
      </c>
      <c r="E135" s="5">
        <v>28</v>
      </c>
      <c r="F135" s="8" t="s">
        <v>504</v>
      </c>
      <c r="G135" s="8"/>
      <c r="H135" s="5" t="s">
        <v>1</v>
      </c>
      <c r="I135" s="5" t="str" cm="1">
        <f t="array" ref="I135">_xlfn.IFS(
  H135="Mahuva", "Mahuva",
  H135="Jesar", "Mahuva",
  H135="Palitana", "Palitana",
  H135="Gariyadhar", "Palitana",
  H135="Talaja", "Talaja",
  H135="Vallabhipur", "Vallabhipur",
  H135="Umrala", "Vallabhipur",
  H135="Shihor", "Shihor",
  H135="Ghogha", "Bhavnagar",
  H135="Bhavnagar", "Bhavnagar"
)</f>
        <v>Bhavnagar</v>
      </c>
      <c r="J135" s="5" t="s">
        <v>256</v>
      </c>
      <c r="K135" s="5" t="s">
        <v>418</v>
      </c>
      <c r="L135" s="5">
        <v>199616</v>
      </c>
      <c r="M135" s="5"/>
      <c r="N135" s="7">
        <v>45837</v>
      </c>
      <c r="O135" s="7">
        <v>45848</v>
      </c>
      <c r="P135" s="7">
        <v>45849</v>
      </c>
      <c r="Q135" s="7">
        <f t="shared" si="27"/>
        <v>45968</v>
      </c>
      <c r="R135" s="9">
        <v>2079935.08</v>
      </c>
      <c r="S135" s="33"/>
      <c r="T135" s="9">
        <v>1972402.44</v>
      </c>
      <c r="U135" s="10">
        <v>-5.17</v>
      </c>
      <c r="V135" s="10" t="str">
        <f t="shared" si="28"/>
        <v>Below</v>
      </c>
      <c r="W135" s="11" t="str" cm="1">
        <f t="array" ref="W135">NumberToWords(T135)</f>
        <v>Nineteen Lakh Seventy Two Thousand Four Hundred Two Rupees and Forty Four Paise Only</v>
      </c>
      <c r="X135" s="10" t="str">
        <f t="shared" si="29"/>
        <v>Division</v>
      </c>
      <c r="Z135" s="9">
        <f t="shared" si="30"/>
        <v>1972402.44</v>
      </c>
      <c r="AA135" s="5" t="s">
        <v>401</v>
      </c>
      <c r="AB135" s="8" t="str">
        <f>_xlfn.XLOOKUP(AA135, 'Agency List'!A$2:A$145, 'Agency List'!B$2:B$145, "Not Found")</f>
        <v>(1) Harshad Kalubhai Dungrani
(2) Lalita Harshad Dungrani</v>
      </c>
      <c r="AC135" s="8" t="str">
        <f>_xlfn.XLOOKUP(AA135, 'Agency List'!A$2:A$145, 'Agency List'!C$2:C$145, "Not Found")</f>
        <v>G 402, Abhilasha Sky, Gopal Chowk, Nikol, Ahmedabad - 382350</v>
      </c>
      <c r="AD135" s="8">
        <f>_xlfn.XLOOKUP(AA135, 'Agency List'!A$2:A$145, 'Agency List'!D$2:D$145, "Not Found")</f>
        <v>9727220227</v>
      </c>
      <c r="AE135" s="7"/>
      <c r="AF135" s="5" t="s">
        <v>357</v>
      </c>
      <c r="AG135" s="5" t="str">
        <f t="shared" si="31"/>
        <v>Bandhkam</v>
      </c>
      <c r="AH135" s="5"/>
      <c r="AI135" s="8"/>
      <c r="AJ135" s="8"/>
      <c r="AL135" s="16">
        <v>4</v>
      </c>
      <c r="AM135" s="12">
        <f t="shared" si="32"/>
        <v>99000</v>
      </c>
      <c r="AN135" s="7">
        <f t="shared" si="33"/>
        <v>46480</v>
      </c>
      <c r="AO135" s="12">
        <f t="shared" si="34"/>
        <v>4900</v>
      </c>
      <c r="AP135" s="12">
        <f t="shared" si="35"/>
        <v>0</v>
      </c>
      <c r="AQ135" s="15">
        <f t="shared" si="36"/>
        <v>46065</v>
      </c>
      <c r="AR135" s="7">
        <f t="shared" si="37"/>
        <v>46420</v>
      </c>
      <c r="AS135" s="5">
        <v>1143</v>
      </c>
      <c r="AT135" s="7">
        <v>45877</v>
      </c>
      <c r="AU135" s="5" t="s">
        <v>78</v>
      </c>
      <c r="AV135" s="17">
        <v>146</v>
      </c>
      <c r="AW135" s="37">
        <v>45910</v>
      </c>
      <c r="AX135" s="5" t="s">
        <v>355</v>
      </c>
      <c r="AY135" s="5" t="s">
        <v>718</v>
      </c>
      <c r="AZ135" s="45" t="s">
        <v>720</v>
      </c>
      <c r="BA135" s="12">
        <v>99000</v>
      </c>
      <c r="BB135" s="7">
        <v>45889</v>
      </c>
      <c r="BC135" s="14"/>
      <c r="BD135" s="14"/>
      <c r="BF135" s="12"/>
      <c r="BG135" s="14"/>
      <c r="BH135" s="19">
        <v>45910</v>
      </c>
      <c r="BI135" s="5">
        <v>1290</v>
      </c>
      <c r="BJ135" s="19">
        <v>45910</v>
      </c>
      <c r="BM135" s="18"/>
      <c r="BN135" s="18"/>
      <c r="BO135" s="18"/>
      <c r="BP135" s="18"/>
      <c r="BQ135" s="5"/>
      <c r="BR135" s="18"/>
      <c r="BS135" s="18"/>
      <c r="BT135" s="35">
        <f t="shared" si="26"/>
        <v>46030</v>
      </c>
    </row>
    <row r="136" spans="1:72" ht="29" x14ac:dyDescent="0.35">
      <c r="A136" s="5">
        <v>135</v>
      </c>
      <c r="B136" s="5"/>
      <c r="C136" s="5" t="s">
        <v>78</v>
      </c>
      <c r="D136" s="5">
        <v>8</v>
      </c>
      <c r="E136" s="5">
        <v>29</v>
      </c>
      <c r="F136" s="8"/>
      <c r="G136" s="8"/>
      <c r="H136" s="5"/>
      <c r="I136" s="5" t="e" cm="1">
        <f t="array" ref="I136">_xlfn.IFS(
  H136="Mahuva", "Mahuva",
  H136="Jesar", "Mahuva",
  H136="Palitana", "Palitana",
  H136="Gariyadhar", "Palitana",
  H136="Talaja", "Talaja",
  H136="Vallabhipur", "Vallabhipur",
  H136="Umrala", "Vallabhipur",
  H136="Shihor", "Shihor",
  H136="Ghogha", "Bhavnagar",
  H136="Bhavnagar", "Bhavnagar"
)</f>
        <v>#N/A</v>
      </c>
      <c r="J136" s="5" t="s">
        <v>256</v>
      </c>
      <c r="K136" s="5" t="s">
        <v>418</v>
      </c>
      <c r="M136" s="5"/>
      <c r="N136" s="7">
        <v>45837</v>
      </c>
      <c r="O136" s="7">
        <v>45848</v>
      </c>
      <c r="P136" s="7">
        <v>45849</v>
      </c>
      <c r="Q136" s="7">
        <f t="shared" si="27"/>
        <v>45968</v>
      </c>
      <c r="S136" s="33" t="s">
        <v>233</v>
      </c>
      <c r="U136" s="10"/>
      <c r="V136" s="10" t="str">
        <f t="shared" si="28"/>
        <v>Equals</v>
      </c>
      <c r="W136" s="11" t="str" cm="1">
        <f t="array" ref="W136">NumberToWords(T136)</f>
        <v>Zero Rupees Only</v>
      </c>
      <c r="X136" s="10" t="str">
        <f t="shared" si="29"/>
        <v>Division</v>
      </c>
      <c r="Z136" s="9">
        <f t="shared" si="30"/>
        <v>0</v>
      </c>
      <c r="AB136" s="8">
        <f>_xlfn.XLOOKUP(AA136, 'Agency List'!A$2:A$145, 'Agency List'!B$2:B$145, "Not Found")</f>
        <v>0</v>
      </c>
      <c r="AC136" s="8">
        <f>_xlfn.XLOOKUP(AA136, 'Agency List'!A$2:A$145, 'Agency List'!C$2:C$145, "Not Found")</f>
        <v>0</v>
      </c>
      <c r="AD136" s="8">
        <f>_xlfn.XLOOKUP(AA136, 'Agency List'!A$2:A$145, 'Agency List'!D$2:D$145, "Not Found")</f>
        <v>0</v>
      </c>
      <c r="AE136" s="7"/>
      <c r="AF136" s="5"/>
      <c r="AG136" s="5" t="str">
        <f t="shared" si="31"/>
        <v>Bandhkam</v>
      </c>
      <c r="AH136" s="5"/>
      <c r="AI136" s="8"/>
      <c r="AJ136" s="8"/>
      <c r="AL136" s="16"/>
      <c r="AM136" s="12">
        <f t="shared" si="32"/>
        <v>0</v>
      </c>
      <c r="AN136" s="7">
        <f t="shared" si="33"/>
        <v>46334</v>
      </c>
      <c r="AO136" s="12">
        <f t="shared" si="34"/>
        <v>0</v>
      </c>
      <c r="AP136" s="12">
        <f t="shared" si="35"/>
        <v>0</v>
      </c>
      <c r="AQ136" s="15">
        <f t="shared" si="36"/>
        <v>45919</v>
      </c>
      <c r="AR136" s="7">
        <f t="shared" si="37"/>
        <v>46274</v>
      </c>
      <c r="AS136" s="5"/>
      <c r="AU136" s="5"/>
      <c r="AV136" s="17"/>
      <c r="AW136" s="17"/>
      <c r="AX136" s="5"/>
      <c r="AY136" s="5"/>
      <c r="AZ136" s="13"/>
      <c r="BA136" s="12"/>
      <c r="BB136" s="7"/>
      <c r="BC136" s="14"/>
      <c r="BD136" s="14"/>
      <c r="BF136" s="12"/>
      <c r="BG136" s="14"/>
      <c r="BH136" s="19">
        <v>45884</v>
      </c>
      <c r="BI136" s="5"/>
      <c r="BM136" s="18"/>
      <c r="BN136" s="18"/>
      <c r="BO136" s="18"/>
      <c r="BP136" s="18"/>
      <c r="BQ136" s="5"/>
      <c r="BR136" s="18"/>
      <c r="BS136" s="18"/>
      <c r="BT136" s="35">
        <f t="shared" si="26"/>
        <v>45884</v>
      </c>
    </row>
    <row r="137" spans="1:72" ht="29" x14ac:dyDescent="0.35">
      <c r="A137" s="5">
        <v>136</v>
      </c>
      <c r="B137" s="5"/>
      <c r="C137" s="5" t="s">
        <v>78</v>
      </c>
      <c r="D137" s="5">
        <v>8</v>
      </c>
      <c r="E137" s="5">
        <v>30</v>
      </c>
      <c r="F137" s="8"/>
      <c r="G137" s="8"/>
      <c r="H137" s="5"/>
      <c r="I137" s="5" t="e" cm="1">
        <f t="array" ref="I137">_xlfn.IFS(
  H137="Mahuva", "Mahuva",
  H137="Jesar", "Mahuva",
  H137="Palitana", "Palitana",
  H137="Gariyadhar", "Palitana",
  H137="Talaja", "Talaja",
  H137="Vallabhipur", "Vallabhipur",
  H137="Umrala", "Vallabhipur",
  H137="Shihor", "Shihor",
  H137="Ghogha", "Bhavnagar",
  H137="Bhavnagar", "Bhavnagar"
)</f>
        <v>#N/A</v>
      </c>
      <c r="J137" s="5" t="s">
        <v>256</v>
      </c>
      <c r="K137" s="5" t="s">
        <v>418</v>
      </c>
      <c r="M137" s="5"/>
      <c r="N137" s="7">
        <v>45837</v>
      </c>
      <c r="O137" s="7">
        <v>45848</v>
      </c>
      <c r="P137" s="7">
        <v>45849</v>
      </c>
      <c r="Q137" s="7">
        <f t="shared" si="27"/>
        <v>45968</v>
      </c>
      <c r="S137" s="33" t="s">
        <v>233</v>
      </c>
      <c r="U137" s="10"/>
      <c r="V137" s="10" t="str">
        <f t="shared" si="28"/>
        <v>Equals</v>
      </c>
      <c r="W137" s="11" t="str" cm="1">
        <f t="array" ref="W137">NumberToWords(T137)</f>
        <v>Zero Rupees Only</v>
      </c>
      <c r="X137" s="10" t="str">
        <f t="shared" si="29"/>
        <v>Division</v>
      </c>
      <c r="Z137" s="9">
        <f t="shared" si="30"/>
        <v>0</v>
      </c>
      <c r="AB137" s="8">
        <f>_xlfn.XLOOKUP(AA137, 'Agency List'!A$2:A$145, 'Agency List'!B$2:B$145, "Not Found")</f>
        <v>0</v>
      </c>
      <c r="AC137" s="8">
        <f>_xlfn.XLOOKUP(AA137, 'Agency List'!A$2:A$145, 'Agency List'!C$2:C$145, "Not Found")</f>
        <v>0</v>
      </c>
      <c r="AD137" s="8">
        <f>_xlfn.XLOOKUP(AA137, 'Agency List'!A$2:A$145, 'Agency List'!D$2:D$145, "Not Found")</f>
        <v>0</v>
      </c>
      <c r="AE137" s="7"/>
      <c r="AF137" s="5"/>
      <c r="AG137" s="5" t="str">
        <f t="shared" si="31"/>
        <v>Bandhkam</v>
      </c>
      <c r="AH137" s="5"/>
      <c r="AI137" s="8"/>
      <c r="AJ137" s="8"/>
      <c r="AL137" s="16"/>
      <c r="AM137" s="12">
        <f t="shared" si="32"/>
        <v>0</v>
      </c>
      <c r="AN137" s="7">
        <f t="shared" si="33"/>
        <v>46334</v>
      </c>
      <c r="AO137" s="12">
        <f t="shared" si="34"/>
        <v>0</v>
      </c>
      <c r="AP137" s="12">
        <f t="shared" si="35"/>
        <v>0</v>
      </c>
      <c r="AQ137" s="15">
        <f t="shared" si="36"/>
        <v>45919</v>
      </c>
      <c r="AR137" s="7">
        <f t="shared" si="37"/>
        <v>46274</v>
      </c>
      <c r="AS137" s="5"/>
      <c r="AU137" s="5"/>
      <c r="AV137" s="17"/>
      <c r="AW137" s="17"/>
      <c r="AX137" s="5"/>
      <c r="AY137" s="5"/>
      <c r="AZ137" s="13"/>
      <c r="BA137" s="12"/>
      <c r="BB137" s="7"/>
      <c r="BC137" s="14"/>
      <c r="BD137" s="14"/>
      <c r="BF137" s="12"/>
      <c r="BG137" s="14"/>
      <c r="BH137" s="19">
        <v>45884</v>
      </c>
      <c r="BI137" s="5"/>
      <c r="BM137" s="18"/>
      <c r="BN137" s="18"/>
      <c r="BO137" s="18"/>
      <c r="BP137" s="18"/>
      <c r="BQ137" s="5"/>
      <c r="BR137" s="18"/>
      <c r="BS137" s="18"/>
      <c r="BT137" s="35">
        <f t="shared" si="26"/>
        <v>45884</v>
      </c>
    </row>
    <row r="138" spans="1:72" ht="29" x14ac:dyDescent="0.35">
      <c r="A138" s="5">
        <v>137</v>
      </c>
      <c r="B138" s="5"/>
      <c r="C138" s="5" t="s">
        <v>78</v>
      </c>
      <c r="D138" s="5">
        <v>8</v>
      </c>
      <c r="E138" s="5">
        <v>31</v>
      </c>
      <c r="F138" s="8"/>
      <c r="G138" s="8"/>
      <c r="H138" s="5"/>
      <c r="I138" s="5" t="e" cm="1">
        <f t="array" ref="I138">_xlfn.IFS(
  H138="Mahuva", "Mahuva",
  H138="Jesar", "Mahuva",
  H138="Palitana", "Palitana",
  H138="Gariyadhar", "Palitana",
  H138="Talaja", "Talaja",
  H138="Vallabhipur", "Vallabhipur",
  H138="Umrala", "Vallabhipur",
  H138="Shihor", "Shihor",
  H138="Ghogha", "Bhavnagar",
  H138="Bhavnagar", "Bhavnagar"
)</f>
        <v>#N/A</v>
      </c>
      <c r="J138" s="5" t="s">
        <v>256</v>
      </c>
      <c r="K138" s="5" t="s">
        <v>418</v>
      </c>
      <c r="M138" s="5"/>
      <c r="N138" s="7">
        <v>45837</v>
      </c>
      <c r="O138" s="7">
        <v>45848</v>
      </c>
      <c r="P138" s="7">
        <v>45849</v>
      </c>
      <c r="Q138" s="7">
        <f t="shared" si="27"/>
        <v>45968</v>
      </c>
      <c r="S138" s="33" t="s">
        <v>233</v>
      </c>
      <c r="U138" s="10"/>
      <c r="V138" s="10" t="str">
        <f t="shared" si="28"/>
        <v>Equals</v>
      </c>
      <c r="W138" s="11" t="str" cm="1">
        <f t="array" ref="W138">NumberToWords(T138)</f>
        <v>Zero Rupees Only</v>
      </c>
      <c r="X138" s="10" t="str">
        <f t="shared" si="29"/>
        <v>Division</v>
      </c>
      <c r="Z138" s="9">
        <f t="shared" si="30"/>
        <v>0</v>
      </c>
      <c r="AB138" s="8">
        <f>_xlfn.XLOOKUP(AA138, 'Agency List'!A$2:A$145, 'Agency List'!B$2:B$145, "Not Found")</f>
        <v>0</v>
      </c>
      <c r="AC138" s="8">
        <f>_xlfn.XLOOKUP(AA138, 'Agency List'!A$2:A$145, 'Agency List'!C$2:C$145, "Not Found")</f>
        <v>0</v>
      </c>
      <c r="AD138" s="8">
        <f>_xlfn.XLOOKUP(AA138, 'Agency List'!A$2:A$145, 'Agency List'!D$2:D$145, "Not Found")</f>
        <v>0</v>
      </c>
      <c r="AE138" s="7"/>
      <c r="AF138" s="5"/>
      <c r="AG138" s="5" t="str">
        <f t="shared" si="31"/>
        <v>Bandhkam</v>
      </c>
      <c r="AH138" s="5"/>
      <c r="AI138" s="8"/>
      <c r="AJ138" s="8"/>
      <c r="AL138" s="16"/>
      <c r="AM138" s="12">
        <f t="shared" si="32"/>
        <v>0</v>
      </c>
      <c r="AN138" s="7">
        <f t="shared" si="33"/>
        <v>46334</v>
      </c>
      <c r="AO138" s="12">
        <f t="shared" si="34"/>
        <v>0</v>
      </c>
      <c r="AP138" s="12">
        <f t="shared" si="35"/>
        <v>0</v>
      </c>
      <c r="AQ138" s="15">
        <f t="shared" si="36"/>
        <v>45919</v>
      </c>
      <c r="AR138" s="7">
        <f t="shared" si="37"/>
        <v>46274</v>
      </c>
      <c r="AS138" s="5"/>
      <c r="AU138" s="5"/>
      <c r="AV138" s="17"/>
      <c r="AW138" s="17"/>
      <c r="AX138" s="5"/>
      <c r="AY138" s="5"/>
      <c r="AZ138" s="13"/>
      <c r="BA138" s="12"/>
      <c r="BB138" s="7"/>
      <c r="BC138" s="14"/>
      <c r="BD138" s="14"/>
      <c r="BF138" s="12"/>
      <c r="BG138" s="14"/>
      <c r="BH138" s="19">
        <v>45884</v>
      </c>
      <c r="BI138" s="5"/>
      <c r="BM138" s="18"/>
      <c r="BN138" s="18"/>
      <c r="BO138" s="18"/>
      <c r="BP138" s="18"/>
      <c r="BQ138" s="5"/>
      <c r="BR138" s="18"/>
      <c r="BS138" s="18"/>
      <c r="BT138" s="35">
        <f t="shared" si="26"/>
        <v>45884</v>
      </c>
    </row>
    <row r="139" spans="1:72" ht="29" x14ac:dyDescent="0.35">
      <c r="A139" s="5">
        <v>138</v>
      </c>
      <c r="B139" s="5"/>
      <c r="C139" s="5" t="s">
        <v>78</v>
      </c>
      <c r="D139" s="5">
        <v>8</v>
      </c>
      <c r="E139" s="5">
        <v>32</v>
      </c>
      <c r="F139" s="8"/>
      <c r="G139" s="8"/>
      <c r="H139" s="5"/>
      <c r="I139" s="5" t="e" cm="1">
        <f t="array" ref="I139">_xlfn.IFS(
  H139="Mahuva", "Mahuva",
  H139="Jesar", "Mahuva",
  H139="Palitana", "Palitana",
  H139="Gariyadhar", "Palitana",
  H139="Talaja", "Talaja",
  H139="Vallabhipur", "Vallabhipur",
  H139="Umrala", "Vallabhipur",
  H139="Shihor", "Shihor",
  H139="Ghogha", "Bhavnagar",
  H139="Bhavnagar", "Bhavnagar"
)</f>
        <v>#N/A</v>
      </c>
      <c r="J139" s="5" t="s">
        <v>256</v>
      </c>
      <c r="K139" s="5" t="s">
        <v>418</v>
      </c>
      <c r="M139" s="5"/>
      <c r="N139" s="7">
        <v>45837</v>
      </c>
      <c r="O139" s="7">
        <v>45848</v>
      </c>
      <c r="P139" s="7">
        <v>45849</v>
      </c>
      <c r="Q139" s="7">
        <f t="shared" si="27"/>
        <v>45968</v>
      </c>
      <c r="S139" s="33" t="s">
        <v>233</v>
      </c>
      <c r="U139" s="10"/>
      <c r="V139" s="10" t="str">
        <f t="shared" si="28"/>
        <v>Equals</v>
      </c>
      <c r="W139" s="11" t="str" cm="1">
        <f t="array" ref="W139">NumberToWords(T139)</f>
        <v>Zero Rupees Only</v>
      </c>
      <c r="X139" s="10" t="str">
        <f t="shared" si="29"/>
        <v>Division</v>
      </c>
      <c r="Z139" s="9">
        <f t="shared" si="30"/>
        <v>0</v>
      </c>
      <c r="AB139" s="8">
        <f>_xlfn.XLOOKUP(AA139, 'Agency List'!A$2:A$145, 'Agency List'!B$2:B$145, "Not Found")</f>
        <v>0</v>
      </c>
      <c r="AC139" s="8">
        <f>_xlfn.XLOOKUP(AA139, 'Agency List'!A$2:A$145, 'Agency List'!C$2:C$145, "Not Found")</f>
        <v>0</v>
      </c>
      <c r="AD139" s="8">
        <f>_xlfn.XLOOKUP(AA139, 'Agency List'!A$2:A$145, 'Agency List'!D$2:D$145, "Not Found")</f>
        <v>0</v>
      </c>
      <c r="AE139" s="7"/>
      <c r="AF139" s="5"/>
      <c r="AG139" s="5" t="str">
        <f t="shared" si="31"/>
        <v>Bandhkam</v>
      </c>
      <c r="AH139" s="5"/>
      <c r="AI139" s="8"/>
      <c r="AJ139" s="8"/>
      <c r="AL139" s="16"/>
      <c r="AM139" s="12">
        <f t="shared" si="32"/>
        <v>0</v>
      </c>
      <c r="AN139" s="7">
        <f t="shared" si="33"/>
        <v>46334</v>
      </c>
      <c r="AO139" s="12">
        <f t="shared" si="34"/>
        <v>0</v>
      </c>
      <c r="AP139" s="12">
        <f t="shared" si="35"/>
        <v>0</v>
      </c>
      <c r="AQ139" s="15">
        <f t="shared" si="36"/>
        <v>45919</v>
      </c>
      <c r="AR139" s="7">
        <f t="shared" si="37"/>
        <v>46274</v>
      </c>
      <c r="AS139" s="5"/>
      <c r="AU139" s="5"/>
      <c r="AV139" s="17"/>
      <c r="AW139" s="17"/>
      <c r="AX139" s="5"/>
      <c r="AY139" s="5"/>
      <c r="AZ139" s="13"/>
      <c r="BA139" s="12"/>
      <c r="BB139" s="7"/>
      <c r="BC139" s="14"/>
      <c r="BD139" s="14"/>
      <c r="BF139" s="12"/>
      <c r="BG139" s="14"/>
      <c r="BH139" s="19">
        <v>45884</v>
      </c>
      <c r="BI139" s="5"/>
      <c r="BM139" s="18"/>
      <c r="BN139" s="18"/>
      <c r="BO139" s="18"/>
      <c r="BP139" s="18"/>
      <c r="BQ139" s="5"/>
      <c r="BR139" s="18"/>
      <c r="BS139" s="18"/>
      <c r="BT139" s="35">
        <f t="shared" si="26"/>
        <v>45884</v>
      </c>
    </row>
    <row r="140" spans="1:72" ht="43.5" x14ac:dyDescent="0.35">
      <c r="A140" s="5">
        <v>139</v>
      </c>
      <c r="B140" s="5"/>
      <c r="C140" s="5" t="s">
        <v>78</v>
      </c>
      <c r="D140" s="5">
        <v>8</v>
      </c>
      <c r="E140" s="5">
        <v>33</v>
      </c>
      <c r="F140" s="8" t="s">
        <v>505</v>
      </c>
      <c r="G140" s="8"/>
      <c r="H140" s="5" t="s">
        <v>257</v>
      </c>
      <c r="I140" s="5" t="str" cm="1">
        <f t="array" ref="I140">_xlfn.IFS(
  H140="Mahuva", "Mahuva",
  H140="Jesar", "Mahuva",
  H140="Palitana", "Palitana",
  H140="Gariyadhar", "Palitana",
  H140="Talaja", "Talaja",
  H140="Vallabhipur", "Vallabhipur",
  H140="Umrala", "Vallabhipur",
  H140="Shihor", "Shihor",
  H140="Ghogha", "Bhavnagar",
  H140="Bhavnagar", "Bhavnagar"
)</f>
        <v>Palitana</v>
      </c>
      <c r="J140" s="5" t="s">
        <v>256</v>
      </c>
      <c r="K140" s="5" t="s">
        <v>418</v>
      </c>
      <c r="L140" s="5">
        <v>199628</v>
      </c>
      <c r="M140" s="5"/>
      <c r="N140" s="7">
        <v>45837</v>
      </c>
      <c r="O140" s="7">
        <v>45848</v>
      </c>
      <c r="P140" s="7">
        <v>45849</v>
      </c>
      <c r="Q140" s="7">
        <f t="shared" si="27"/>
        <v>45968</v>
      </c>
      <c r="R140" s="9">
        <v>2079935.08</v>
      </c>
      <c r="S140" s="33"/>
      <c r="T140" s="9">
        <v>1944531.31</v>
      </c>
      <c r="U140" s="10">
        <v>-6.51</v>
      </c>
      <c r="V140" s="10" t="str">
        <f t="shared" si="28"/>
        <v>Below</v>
      </c>
      <c r="W140" s="11" t="str" cm="1">
        <f t="array" ref="W140">NumberToWords(T140)</f>
        <v>Nineteen Lakh Forty Four Thousand Five Hundred Thirty One Rupees and Thirty One Paise Only</v>
      </c>
      <c r="X140" s="10" t="str">
        <f t="shared" si="29"/>
        <v>Division</v>
      </c>
      <c r="Z140" s="9">
        <f t="shared" si="30"/>
        <v>1944531.31</v>
      </c>
      <c r="AA140" s="5" t="s">
        <v>287</v>
      </c>
      <c r="AB140" s="8" t="str">
        <f>_xlfn.XLOOKUP(AA140, 'Agency List'!A$2:A$145, 'Agency List'!B$2:B$145, "Not Found")</f>
        <v>SANDIP DINESHBHAI VANZARA</v>
      </c>
      <c r="AC140" s="8" t="str">
        <f>_xlfn.XLOOKUP(AA140, 'Agency List'!A$2:A$145, 'Agency List'!C$2:C$145, "Not Found")</f>
        <v>Opp. HP PUMP, Palitana Road, Gariyadhar</v>
      </c>
      <c r="AD140" s="8">
        <f>_xlfn.XLOOKUP(AA140, 'Agency List'!A$2:A$145, 'Agency List'!D$2:D$145, "Not Found")</f>
        <v>8866209297</v>
      </c>
      <c r="AE140" s="7"/>
      <c r="AF140" s="5" t="s">
        <v>357</v>
      </c>
      <c r="AG140" s="5" t="str">
        <f t="shared" si="31"/>
        <v>Bandhkam</v>
      </c>
      <c r="AH140" s="5"/>
      <c r="AI140" s="8"/>
      <c r="AJ140" s="8"/>
      <c r="AL140" s="16">
        <v>4</v>
      </c>
      <c r="AM140" s="12">
        <f t="shared" si="32"/>
        <v>98000</v>
      </c>
      <c r="AN140" s="7">
        <f t="shared" si="33"/>
        <v>46612</v>
      </c>
      <c r="AO140" s="12">
        <f t="shared" si="34"/>
        <v>4900</v>
      </c>
      <c r="AP140" s="12">
        <f t="shared" si="35"/>
        <v>0</v>
      </c>
      <c r="AQ140" s="15">
        <f t="shared" si="36"/>
        <v>46197</v>
      </c>
      <c r="AR140" s="7">
        <f t="shared" si="37"/>
        <v>46552</v>
      </c>
      <c r="AS140" s="5">
        <v>1138</v>
      </c>
      <c r="AT140" s="7">
        <v>45877</v>
      </c>
      <c r="AU140" s="5" t="s">
        <v>78</v>
      </c>
      <c r="AV140" s="17">
        <v>276</v>
      </c>
      <c r="AW140" s="37">
        <v>46042</v>
      </c>
      <c r="AX140" s="5" t="s">
        <v>355</v>
      </c>
      <c r="AY140" s="5" t="s">
        <v>369</v>
      </c>
      <c r="AZ140" s="45" t="s">
        <v>1081</v>
      </c>
      <c r="BA140" s="12">
        <v>98000</v>
      </c>
      <c r="BB140" s="7">
        <v>46020</v>
      </c>
      <c r="BC140" s="14"/>
      <c r="BD140" s="14"/>
      <c r="BF140" s="12"/>
      <c r="BG140" s="14"/>
      <c r="BH140" s="19">
        <v>46042</v>
      </c>
      <c r="BI140" s="5">
        <v>70</v>
      </c>
      <c r="BJ140" s="19">
        <v>46042</v>
      </c>
      <c r="BK140" s="5">
        <v>1732</v>
      </c>
      <c r="BL140" s="7">
        <v>46006</v>
      </c>
      <c r="BM140" s="18"/>
      <c r="BN140" s="18"/>
      <c r="BO140" s="18"/>
      <c r="BP140" s="18"/>
      <c r="BQ140" s="5"/>
      <c r="BR140" s="18"/>
      <c r="BS140" s="18"/>
      <c r="BT140" s="35">
        <f t="shared" si="26"/>
        <v>46162</v>
      </c>
    </row>
    <row r="141" spans="1:72" ht="43.5" x14ac:dyDescent="0.35">
      <c r="A141" s="5">
        <v>140</v>
      </c>
      <c r="B141" s="5"/>
      <c r="C141" s="5" t="s">
        <v>78</v>
      </c>
      <c r="D141" s="5">
        <v>8</v>
      </c>
      <c r="E141" s="5">
        <v>34</v>
      </c>
      <c r="F141" s="8" t="s">
        <v>506</v>
      </c>
      <c r="G141" s="8"/>
      <c r="H141" s="5" t="s">
        <v>257</v>
      </c>
      <c r="I141" s="5" t="str" cm="1">
        <f t="array" ref="I141">_xlfn.IFS(
  H141="Mahuva", "Mahuva",
  H141="Jesar", "Mahuva",
  H141="Palitana", "Palitana",
  H141="Gariyadhar", "Palitana",
  H141="Talaja", "Talaja",
  H141="Vallabhipur", "Vallabhipur",
  H141="Umrala", "Vallabhipur",
  H141="Shihor", "Shihor",
  H141="Ghogha", "Bhavnagar",
  H141="Bhavnagar", "Bhavnagar"
)</f>
        <v>Palitana</v>
      </c>
      <c r="J141" s="5" t="s">
        <v>256</v>
      </c>
      <c r="K141" s="5" t="s">
        <v>418</v>
      </c>
      <c r="L141" s="5">
        <v>199630</v>
      </c>
      <c r="M141" s="5"/>
      <c r="N141" s="7">
        <v>45837</v>
      </c>
      <c r="O141" s="7">
        <v>45848</v>
      </c>
      <c r="P141" s="7">
        <v>45849</v>
      </c>
      <c r="Q141" s="7">
        <f t="shared" si="27"/>
        <v>45968</v>
      </c>
      <c r="R141" s="9">
        <v>2079935.08</v>
      </c>
      <c r="S141" s="33"/>
      <c r="T141" s="9">
        <v>1909172.41</v>
      </c>
      <c r="U141" s="10">
        <v>-8.2100000000000009</v>
      </c>
      <c r="V141" s="10" t="str">
        <f t="shared" si="28"/>
        <v>Below</v>
      </c>
      <c r="W141" s="11" t="str" cm="1">
        <f t="array" ref="W141">NumberToWords(T141)</f>
        <v>Nineteen Lakh Nine Thousand One Hundred Seventy Two Rupees and Forty One Paise Only</v>
      </c>
      <c r="X141" s="10" t="str">
        <f t="shared" si="29"/>
        <v>Division</v>
      </c>
      <c r="Z141" s="9">
        <f t="shared" si="30"/>
        <v>1909172.41</v>
      </c>
      <c r="AA141" s="5" t="s">
        <v>287</v>
      </c>
      <c r="AB141" s="8" t="str">
        <f>_xlfn.XLOOKUP(AA141, 'Agency List'!A$2:A$145, 'Agency List'!B$2:B$145, "Not Found")</f>
        <v>SANDIP DINESHBHAI VANZARA</v>
      </c>
      <c r="AC141" s="8" t="str">
        <f>_xlfn.XLOOKUP(AA141, 'Agency List'!A$2:A$145, 'Agency List'!C$2:C$145, "Not Found")</f>
        <v>Opp. HP PUMP, Palitana Road, Gariyadhar</v>
      </c>
      <c r="AD141" s="8">
        <f>_xlfn.XLOOKUP(AA141, 'Agency List'!A$2:A$145, 'Agency List'!D$2:D$145, "Not Found")</f>
        <v>8866209297</v>
      </c>
      <c r="AE141" s="7"/>
      <c r="AF141" s="5" t="s">
        <v>357</v>
      </c>
      <c r="AG141" s="5" t="str">
        <f t="shared" si="31"/>
        <v>Bandhkam</v>
      </c>
      <c r="AH141" s="5"/>
      <c r="AI141" s="8"/>
      <c r="AJ141" s="8"/>
      <c r="AL141" s="16">
        <v>4</v>
      </c>
      <c r="AM141" s="12">
        <f t="shared" si="32"/>
        <v>96000</v>
      </c>
      <c r="AN141" s="7">
        <f t="shared" si="33"/>
        <v>46583</v>
      </c>
      <c r="AO141" s="12">
        <f t="shared" si="34"/>
        <v>4800</v>
      </c>
      <c r="AP141" s="12">
        <f t="shared" si="35"/>
        <v>0</v>
      </c>
      <c r="AQ141" s="15">
        <f t="shared" si="36"/>
        <v>46168</v>
      </c>
      <c r="AR141" s="7">
        <f t="shared" si="37"/>
        <v>46523</v>
      </c>
      <c r="AS141" s="5">
        <v>1139</v>
      </c>
      <c r="AT141" s="7">
        <v>45877</v>
      </c>
      <c r="AU141" s="5" t="s">
        <v>78</v>
      </c>
      <c r="AV141" s="17">
        <v>241</v>
      </c>
      <c r="AW141" s="59">
        <v>46009</v>
      </c>
      <c r="AX141" s="5" t="s">
        <v>355</v>
      </c>
      <c r="AY141" s="5" t="s">
        <v>369</v>
      </c>
      <c r="AZ141" s="13">
        <v>44748016208</v>
      </c>
      <c r="BA141" s="12">
        <v>96000</v>
      </c>
      <c r="BB141" s="7">
        <v>46008</v>
      </c>
      <c r="BC141" s="14"/>
      <c r="BD141" s="14"/>
      <c r="BF141" s="12"/>
      <c r="BG141" s="14"/>
      <c r="BH141" s="19">
        <v>46013</v>
      </c>
      <c r="BI141" s="5">
        <v>1747</v>
      </c>
      <c r="BJ141" s="19">
        <v>46013</v>
      </c>
      <c r="BK141" s="5">
        <v>1727</v>
      </c>
      <c r="BL141" s="7">
        <v>46006</v>
      </c>
      <c r="BM141" s="18"/>
      <c r="BN141" s="18"/>
      <c r="BO141" s="18"/>
      <c r="BP141" s="18"/>
      <c r="BQ141" s="5"/>
      <c r="BR141" s="18"/>
      <c r="BS141" s="18"/>
      <c r="BT141" s="35">
        <f t="shared" si="26"/>
        <v>46133</v>
      </c>
    </row>
    <row r="142" spans="1:72" ht="29" x14ac:dyDescent="0.35">
      <c r="A142" s="5">
        <v>141</v>
      </c>
      <c r="B142" s="5"/>
      <c r="C142" s="5" t="s">
        <v>78</v>
      </c>
      <c r="D142" s="5">
        <v>8</v>
      </c>
      <c r="E142" s="5">
        <v>35</v>
      </c>
      <c r="F142" s="8"/>
      <c r="G142" s="8"/>
      <c r="H142" s="5"/>
      <c r="I142" s="5" t="e" cm="1">
        <f t="array" ref="I142">_xlfn.IFS(
  H142="Mahuva", "Mahuva",
  H142="Jesar", "Mahuva",
  H142="Palitana", "Palitana",
  H142="Gariyadhar", "Palitana",
  H142="Talaja", "Talaja",
  H142="Vallabhipur", "Vallabhipur",
  H142="Umrala", "Vallabhipur",
  H142="Shihor", "Shihor",
  H142="Ghogha", "Bhavnagar",
  H142="Bhavnagar", "Bhavnagar"
)</f>
        <v>#N/A</v>
      </c>
      <c r="J142" s="5" t="s">
        <v>256</v>
      </c>
      <c r="K142" s="5" t="s">
        <v>418</v>
      </c>
      <c r="M142" s="5"/>
      <c r="N142" s="7">
        <v>45837</v>
      </c>
      <c r="O142" s="7">
        <v>45848</v>
      </c>
      <c r="P142" s="7">
        <v>45849</v>
      </c>
      <c r="Q142" s="7">
        <f t="shared" si="27"/>
        <v>45968</v>
      </c>
      <c r="S142" s="33" t="s">
        <v>233</v>
      </c>
      <c r="U142" s="10"/>
      <c r="V142" s="10" t="str">
        <f t="shared" si="28"/>
        <v>Equals</v>
      </c>
      <c r="W142" s="11" t="str" cm="1">
        <f t="array" ref="W142">NumberToWords(T142)</f>
        <v>Zero Rupees Only</v>
      </c>
      <c r="X142" s="10" t="str">
        <f t="shared" si="29"/>
        <v>Division</v>
      </c>
      <c r="Z142" s="9">
        <f t="shared" si="30"/>
        <v>0</v>
      </c>
      <c r="AB142" s="8">
        <f>_xlfn.XLOOKUP(AA142, 'Agency List'!A$2:A$145, 'Agency List'!B$2:B$145, "Not Found")</f>
        <v>0</v>
      </c>
      <c r="AC142" s="8">
        <f>_xlfn.XLOOKUP(AA142, 'Agency List'!A$2:A$145, 'Agency List'!C$2:C$145, "Not Found")</f>
        <v>0</v>
      </c>
      <c r="AD142" s="8">
        <f>_xlfn.XLOOKUP(AA142, 'Agency List'!A$2:A$145, 'Agency List'!D$2:D$145, "Not Found")</f>
        <v>0</v>
      </c>
      <c r="AE142" s="7"/>
      <c r="AF142" s="5"/>
      <c r="AG142" s="5" t="str">
        <f t="shared" si="31"/>
        <v>Bandhkam</v>
      </c>
      <c r="AH142" s="5"/>
      <c r="AI142" s="8"/>
      <c r="AJ142" s="8"/>
      <c r="AL142" s="16"/>
      <c r="AM142" s="12">
        <f t="shared" si="32"/>
        <v>0</v>
      </c>
      <c r="AN142" s="7">
        <f t="shared" si="33"/>
        <v>46334</v>
      </c>
      <c r="AO142" s="12">
        <f t="shared" si="34"/>
        <v>0</v>
      </c>
      <c r="AP142" s="12">
        <f t="shared" si="35"/>
        <v>0</v>
      </c>
      <c r="AQ142" s="15">
        <f t="shared" si="36"/>
        <v>45919</v>
      </c>
      <c r="AR142" s="7">
        <f t="shared" si="37"/>
        <v>46274</v>
      </c>
      <c r="AS142" s="5"/>
      <c r="AU142" s="5"/>
      <c r="AV142" s="17"/>
      <c r="AW142" s="17"/>
      <c r="AX142" s="5"/>
      <c r="AY142" s="5"/>
      <c r="AZ142" s="13"/>
      <c r="BA142" s="12"/>
      <c r="BB142" s="7"/>
      <c r="BC142" s="14"/>
      <c r="BD142" s="14"/>
      <c r="BF142" s="12"/>
      <c r="BG142" s="14"/>
      <c r="BH142" s="19">
        <v>45884</v>
      </c>
      <c r="BI142" s="5"/>
      <c r="BM142" s="18"/>
      <c r="BN142" s="18"/>
      <c r="BO142" s="18"/>
      <c r="BP142" s="18"/>
      <c r="BQ142" s="5"/>
      <c r="BR142" s="18"/>
      <c r="BS142" s="18"/>
      <c r="BT142" s="35">
        <f t="shared" si="26"/>
        <v>45884</v>
      </c>
    </row>
    <row r="143" spans="1:72" ht="43.5" x14ac:dyDescent="0.35">
      <c r="A143" s="5">
        <v>142</v>
      </c>
      <c r="B143" s="5"/>
      <c r="C143" s="5" t="s">
        <v>78</v>
      </c>
      <c r="D143" s="5">
        <v>8</v>
      </c>
      <c r="E143" s="5">
        <v>36</v>
      </c>
      <c r="F143" s="8" t="s">
        <v>507</v>
      </c>
      <c r="G143" s="8"/>
      <c r="H143" s="5" t="s">
        <v>257</v>
      </c>
      <c r="I143" s="5" t="str" cm="1">
        <f t="array" ref="I143">_xlfn.IFS(
  H143="Mahuva", "Mahuva",
  H143="Jesar", "Mahuva",
  H143="Palitana", "Palitana",
  H143="Gariyadhar", "Palitana",
  H143="Talaja", "Talaja",
  H143="Vallabhipur", "Vallabhipur",
  H143="Umrala", "Vallabhipur",
  H143="Shihor", "Shihor",
  H143="Ghogha", "Bhavnagar",
  H143="Bhavnagar", "Bhavnagar"
)</f>
        <v>Palitana</v>
      </c>
      <c r="J143" s="5" t="s">
        <v>256</v>
      </c>
      <c r="K143" s="5" t="s">
        <v>418</v>
      </c>
      <c r="L143" s="5">
        <v>199632</v>
      </c>
      <c r="M143" s="5"/>
      <c r="N143" s="7">
        <v>45837</v>
      </c>
      <c r="O143" s="7">
        <v>45848</v>
      </c>
      <c r="P143" s="7">
        <v>45849</v>
      </c>
      <c r="Q143" s="7">
        <f t="shared" si="27"/>
        <v>45968</v>
      </c>
      <c r="R143" s="9">
        <v>2079935.08</v>
      </c>
      <c r="S143" s="33"/>
      <c r="T143" s="9">
        <v>1872149.57</v>
      </c>
      <c r="U143" s="10">
        <v>-9.99</v>
      </c>
      <c r="V143" s="10" t="str">
        <f t="shared" si="28"/>
        <v>Below</v>
      </c>
      <c r="W143" s="11" t="str" cm="1">
        <f t="array" ref="W143">NumberToWords(T143)</f>
        <v>Eighteen Lakh Seventy Two Thousand One Hundred Forty Nine Rupees and Fifty Seven Paise Only</v>
      </c>
      <c r="X143" s="10" t="str">
        <f t="shared" si="29"/>
        <v>Division</v>
      </c>
      <c r="Z143" s="9">
        <f t="shared" si="30"/>
        <v>1872149.57</v>
      </c>
      <c r="AA143" s="5" t="s">
        <v>402</v>
      </c>
      <c r="AB143" s="8" t="str">
        <f>_xlfn.XLOOKUP(AA143, 'Agency List'!A$2:A$145, 'Agency List'!B$2:B$145, "Not Found")</f>
        <v>Kanubhai Nagbhai Sandsur</v>
      </c>
      <c r="AC143" s="8" t="str">
        <f>_xlfn.XLOOKUP(AA143, 'Agency List'!A$2:A$145, 'Agency List'!C$2:C$145, "Not Found")</f>
        <v>Shop No. 6, Nilkanth Shopping, Opp. S.T. Workshop, Gariyadhar, Dist. Bhavnagar - 364505</v>
      </c>
      <c r="AD143" s="8">
        <f>_xlfn.XLOOKUP(AA143, 'Agency List'!A$2:A$145, 'Agency List'!D$2:D$145, "Not Found")</f>
        <v>9574555050</v>
      </c>
      <c r="AE143" s="7"/>
      <c r="AF143" s="5"/>
      <c r="AG143" s="5" t="str">
        <f t="shared" si="31"/>
        <v>Bandhkam</v>
      </c>
      <c r="AH143" s="5"/>
      <c r="AI143" s="8"/>
      <c r="AJ143" s="8"/>
      <c r="AL143" s="16">
        <v>4</v>
      </c>
      <c r="AM143" s="12">
        <f t="shared" si="32"/>
        <v>94000</v>
      </c>
      <c r="AN143" s="7">
        <f t="shared" si="33"/>
        <v>46468</v>
      </c>
      <c r="AO143" s="12">
        <f t="shared" si="34"/>
        <v>4700</v>
      </c>
      <c r="AP143" s="12">
        <f t="shared" si="35"/>
        <v>0</v>
      </c>
      <c r="AQ143" s="15">
        <f t="shared" si="36"/>
        <v>46053</v>
      </c>
      <c r="AR143" s="7">
        <f t="shared" si="37"/>
        <v>46408</v>
      </c>
      <c r="AS143" s="5">
        <v>1142</v>
      </c>
      <c r="AT143" s="7">
        <v>45877</v>
      </c>
      <c r="AU143" s="5" t="s">
        <v>78</v>
      </c>
      <c r="AV143" s="17">
        <v>118</v>
      </c>
      <c r="AW143" s="37">
        <v>45898</v>
      </c>
      <c r="AX143" s="5" t="s">
        <v>355</v>
      </c>
      <c r="AY143" s="5" t="s">
        <v>369</v>
      </c>
      <c r="AZ143" s="13">
        <v>44406538780</v>
      </c>
      <c r="BA143" s="12">
        <v>94000</v>
      </c>
      <c r="BB143" s="7">
        <v>45895</v>
      </c>
      <c r="BC143" s="14"/>
      <c r="BD143" s="14"/>
      <c r="BF143" s="12"/>
      <c r="BG143" s="14"/>
      <c r="BH143" s="37">
        <v>45898</v>
      </c>
      <c r="BI143" s="5">
        <v>1221</v>
      </c>
      <c r="BJ143" s="19">
        <v>45898</v>
      </c>
      <c r="BM143" s="18"/>
      <c r="BN143" s="18"/>
      <c r="BO143" s="18"/>
      <c r="BP143" s="18"/>
      <c r="BQ143" s="5"/>
      <c r="BR143" s="18"/>
      <c r="BS143" s="18"/>
      <c r="BT143" s="35">
        <f t="shared" si="26"/>
        <v>46018</v>
      </c>
    </row>
    <row r="144" spans="1:72" ht="43.5" x14ac:dyDescent="0.35">
      <c r="A144" s="5">
        <v>143</v>
      </c>
      <c r="B144" s="5"/>
      <c r="C144" s="5" t="s">
        <v>78</v>
      </c>
      <c r="D144" s="5">
        <v>8</v>
      </c>
      <c r="E144" s="5">
        <v>37</v>
      </c>
      <c r="F144" s="8" t="s">
        <v>508</v>
      </c>
      <c r="G144" s="8"/>
      <c r="H144" s="5" t="s">
        <v>257</v>
      </c>
      <c r="I144" s="5" t="str" cm="1">
        <f t="array" ref="I144">_xlfn.IFS(
  H144="Mahuva", "Mahuva",
  H144="Jesar", "Mahuva",
  H144="Palitana", "Palitana",
  H144="Gariyadhar", "Palitana",
  H144="Talaja", "Talaja",
  H144="Vallabhipur", "Vallabhipur",
  H144="Umrala", "Vallabhipur",
  H144="Shihor", "Shihor",
  H144="Ghogha", "Bhavnagar",
  H144="Bhavnagar", "Bhavnagar"
)</f>
        <v>Palitana</v>
      </c>
      <c r="J144" s="5" t="s">
        <v>256</v>
      </c>
      <c r="K144" s="5" t="s">
        <v>418</v>
      </c>
      <c r="L144" s="5">
        <v>199634</v>
      </c>
      <c r="M144" s="5"/>
      <c r="N144" s="7">
        <v>45837</v>
      </c>
      <c r="O144" s="7">
        <v>45848</v>
      </c>
      <c r="P144" s="7">
        <v>45849</v>
      </c>
      <c r="Q144" s="7">
        <f t="shared" si="27"/>
        <v>45968</v>
      </c>
      <c r="R144" s="9">
        <v>2079935.08</v>
      </c>
      <c r="S144" s="33"/>
      <c r="T144" s="9">
        <v>1909172.41</v>
      </c>
      <c r="U144" s="10">
        <v>-8.2100000000000009</v>
      </c>
      <c r="V144" s="10" t="str">
        <f t="shared" si="28"/>
        <v>Below</v>
      </c>
      <c r="W144" s="11" t="str" cm="1">
        <f t="array" ref="W144">NumberToWords(T144)</f>
        <v>Nineteen Lakh Nine Thousand One Hundred Seventy Two Rupees and Forty One Paise Only</v>
      </c>
      <c r="X144" s="10" t="str">
        <f t="shared" si="29"/>
        <v>Division</v>
      </c>
      <c r="Z144" s="9">
        <f t="shared" si="30"/>
        <v>1909172.41</v>
      </c>
      <c r="AA144" s="5" t="s">
        <v>287</v>
      </c>
      <c r="AB144" s="8" t="str">
        <f>_xlfn.XLOOKUP(AA144, 'Agency List'!A$2:A$145, 'Agency List'!B$2:B$145, "Not Found")</f>
        <v>SANDIP DINESHBHAI VANZARA</v>
      </c>
      <c r="AC144" s="8" t="str">
        <f>_xlfn.XLOOKUP(AA144, 'Agency List'!A$2:A$145, 'Agency List'!C$2:C$145, "Not Found")</f>
        <v>Opp. HP PUMP, Palitana Road, Gariyadhar</v>
      </c>
      <c r="AD144" s="8">
        <f>_xlfn.XLOOKUP(AA144, 'Agency List'!A$2:A$145, 'Agency List'!D$2:D$145, "Not Found")</f>
        <v>8866209297</v>
      </c>
      <c r="AE144" s="7"/>
      <c r="AF144" s="5" t="s">
        <v>357</v>
      </c>
      <c r="AG144" s="5" t="str">
        <f t="shared" si="31"/>
        <v>Bandhkam</v>
      </c>
      <c r="AH144" s="5"/>
      <c r="AI144" s="8"/>
      <c r="AJ144" s="8"/>
      <c r="AL144" s="16">
        <v>4</v>
      </c>
      <c r="AM144" s="12">
        <f t="shared" si="32"/>
        <v>96000</v>
      </c>
      <c r="AN144" s="7">
        <f t="shared" si="33"/>
        <v>46454</v>
      </c>
      <c r="AO144" s="12">
        <f t="shared" si="34"/>
        <v>4800</v>
      </c>
      <c r="AP144" s="12">
        <f t="shared" si="35"/>
        <v>0</v>
      </c>
      <c r="AQ144" s="15">
        <f t="shared" si="36"/>
        <v>46039</v>
      </c>
      <c r="AR144" s="7">
        <f t="shared" si="37"/>
        <v>46394</v>
      </c>
      <c r="AS144" s="5">
        <v>1140</v>
      </c>
      <c r="AT144" s="7">
        <v>45877</v>
      </c>
      <c r="AU144" s="5"/>
      <c r="AV144" s="17"/>
      <c r="AW144" s="17"/>
      <c r="AX144" s="5"/>
      <c r="AY144" s="5"/>
      <c r="AZ144" s="13"/>
      <c r="BA144" s="12"/>
      <c r="BB144" s="7"/>
      <c r="BC144" s="14"/>
      <c r="BD144" s="14"/>
      <c r="BF144" s="12"/>
      <c r="BG144" s="14"/>
      <c r="BH144" s="19">
        <v>45884</v>
      </c>
      <c r="BI144" s="5"/>
      <c r="BK144" s="5">
        <v>1731</v>
      </c>
      <c r="BL144" s="7">
        <v>46006</v>
      </c>
      <c r="BM144" s="18"/>
      <c r="BN144" s="18"/>
      <c r="BO144" s="18"/>
      <c r="BP144" s="18"/>
      <c r="BQ144" s="5"/>
      <c r="BR144" s="18"/>
      <c r="BS144" s="18"/>
      <c r="BT144" s="35">
        <f t="shared" si="26"/>
        <v>46004</v>
      </c>
    </row>
    <row r="145" spans="1:72" ht="29" x14ac:dyDescent="0.35">
      <c r="A145" s="5">
        <v>144</v>
      </c>
      <c r="B145" s="5"/>
      <c r="C145" s="5" t="s">
        <v>78</v>
      </c>
      <c r="D145" s="5">
        <v>8</v>
      </c>
      <c r="E145" s="5">
        <v>38</v>
      </c>
      <c r="F145" s="8"/>
      <c r="G145" s="8"/>
      <c r="H145" s="5"/>
      <c r="I145" s="5" t="e" cm="1">
        <f t="array" ref="I145">_xlfn.IFS(
  H145="Mahuva", "Mahuva",
  H145="Jesar", "Mahuva",
  H145="Palitana", "Palitana",
  H145="Gariyadhar", "Palitana",
  H145="Talaja", "Talaja",
  H145="Vallabhipur", "Vallabhipur",
  H145="Umrala", "Vallabhipur",
  H145="Shihor", "Shihor",
  H145="Ghogha", "Bhavnagar",
  H145="Bhavnagar", "Bhavnagar"
)</f>
        <v>#N/A</v>
      </c>
      <c r="J145" s="5" t="s">
        <v>256</v>
      </c>
      <c r="K145" s="5" t="s">
        <v>418</v>
      </c>
      <c r="M145" s="5"/>
      <c r="N145" s="7">
        <v>45837</v>
      </c>
      <c r="O145" s="7">
        <v>45848</v>
      </c>
      <c r="P145" s="7">
        <v>45849</v>
      </c>
      <c r="Q145" s="7">
        <f t="shared" si="27"/>
        <v>45968</v>
      </c>
      <c r="S145" s="33" t="s">
        <v>233</v>
      </c>
      <c r="U145" s="10"/>
      <c r="V145" s="10" t="str">
        <f t="shared" si="28"/>
        <v>Equals</v>
      </c>
      <c r="W145" s="11" t="str" cm="1">
        <f t="array" ref="W145">NumberToWords(T145)</f>
        <v>Zero Rupees Only</v>
      </c>
      <c r="X145" s="10" t="str">
        <f t="shared" si="29"/>
        <v>Division</v>
      </c>
      <c r="Z145" s="9">
        <f t="shared" si="30"/>
        <v>0</v>
      </c>
      <c r="AB145" s="8">
        <f>_xlfn.XLOOKUP(AA145, 'Agency List'!A$2:A$145, 'Agency List'!B$2:B$145, "Not Found")</f>
        <v>0</v>
      </c>
      <c r="AC145" s="8">
        <f>_xlfn.XLOOKUP(AA145, 'Agency List'!A$2:A$145, 'Agency List'!C$2:C$145, "Not Found")</f>
        <v>0</v>
      </c>
      <c r="AD145" s="8">
        <f>_xlfn.XLOOKUP(AA145, 'Agency List'!A$2:A$145, 'Agency List'!D$2:D$145, "Not Found")</f>
        <v>0</v>
      </c>
      <c r="AE145" s="7"/>
      <c r="AF145" s="5"/>
      <c r="AG145" s="5" t="str">
        <f t="shared" si="31"/>
        <v>Bandhkam</v>
      </c>
      <c r="AH145" s="5"/>
      <c r="AI145" s="8"/>
      <c r="AJ145" s="8"/>
      <c r="AL145" s="16"/>
      <c r="AM145" s="12">
        <f t="shared" si="32"/>
        <v>0</v>
      </c>
      <c r="AN145" s="7">
        <f t="shared" si="33"/>
        <v>46334</v>
      </c>
      <c r="AO145" s="12">
        <f t="shared" si="34"/>
        <v>0</v>
      </c>
      <c r="AP145" s="12">
        <f t="shared" si="35"/>
        <v>0</v>
      </c>
      <c r="AQ145" s="15">
        <f t="shared" si="36"/>
        <v>45919</v>
      </c>
      <c r="AR145" s="7">
        <f t="shared" si="37"/>
        <v>46274</v>
      </c>
      <c r="AS145" s="5"/>
      <c r="AU145" s="5"/>
      <c r="AV145" s="17"/>
      <c r="AW145" s="17"/>
      <c r="AX145" s="5"/>
      <c r="AY145" s="5"/>
      <c r="AZ145" s="13"/>
      <c r="BA145" s="12"/>
      <c r="BB145" s="7"/>
      <c r="BC145" s="14"/>
      <c r="BD145" s="14"/>
      <c r="BF145" s="12"/>
      <c r="BG145" s="14"/>
      <c r="BH145" s="19">
        <v>45884</v>
      </c>
      <c r="BI145" s="5"/>
      <c r="BM145" s="18"/>
      <c r="BN145" s="18"/>
      <c r="BO145" s="18"/>
      <c r="BP145" s="18"/>
      <c r="BQ145" s="5"/>
      <c r="BR145" s="18"/>
      <c r="BS145" s="18"/>
      <c r="BT145" s="35">
        <f t="shared" si="26"/>
        <v>45884</v>
      </c>
    </row>
    <row r="146" spans="1:72" ht="29" x14ac:dyDescent="0.35">
      <c r="A146" s="5">
        <v>145</v>
      </c>
      <c r="B146" s="5"/>
      <c r="C146" s="5" t="s">
        <v>78</v>
      </c>
      <c r="D146" s="5">
        <v>8</v>
      </c>
      <c r="E146" s="5">
        <v>39</v>
      </c>
      <c r="F146" s="8"/>
      <c r="G146" s="8"/>
      <c r="H146" s="5"/>
      <c r="I146" s="5" t="e" cm="1">
        <f t="array" ref="I146">_xlfn.IFS(
  H146="Mahuva", "Mahuva",
  H146="Jesar", "Mahuva",
  H146="Palitana", "Palitana",
  H146="Gariyadhar", "Palitana",
  H146="Talaja", "Talaja",
  H146="Vallabhipur", "Vallabhipur",
  H146="Umrala", "Vallabhipur",
  H146="Shihor", "Shihor",
  H146="Ghogha", "Bhavnagar",
  H146="Bhavnagar", "Bhavnagar"
)</f>
        <v>#N/A</v>
      </c>
      <c r="J146" s="5" t="s">
        <v>256</v>
      </c>
      <c r="K146" s="5" t="s">
        <v>418</v>
      </c>
      <c r="M146" s="5"/>
      <c r="N146" s="7">
        <v>45837</v>
      </c>
      <c r="O146" s="7">
        <v>45848</v>
      </c>
      <c r="P146" s="7">
        <v>45849</v>
      </c>
      <c r="Q146" s="7">
        <f t="shared" si="27"/>
        <v>45968</v>
      </c>
      <c r="S146" s="33" t="s">
        <v>233</v>
      </c>
      <c r="U146" s="10"/>
      <c r="V146" s="10" t="str">
        <f t="shared" si="28"/>
        <v>Equals</v>
      </c>
      <c r="W146" s="11" t="str" cm="1">
        <f t="array" ref="W146">NumberToWords(T146)</f>
        <v>Zero Rupees Only</v>
      </c>
      <c r="X146" s="10" t="str">
        <f t="shared" si="29"/>
        <v>Division</v>
      </c>
      <c r="Z146" s="9">
        <f t="shared" si="30"/>
        <v>0</v>
      </c>
      <c r="AB146" s="8">
        <f>_xlfn.XLOOKUP(AA146, 'Agency List'!A$2:A$145, 'Agency List'!B$2:B$145, "Not Found")</f>
        <v>0</v>
      </c>
      <c r="AC146" s="8">
        <f>_xlfn.XLOOKUP(AA146, 'Agency List'!A$2:A$145, 'Agency List'!C$2:C$145, "Not Found")</f>
        <v>0</v>
      </c>
      <c r="AD146" s="8">
        <f>_xlfn.XLOOKUP(AA146, 'Agency List'!A$2:A$145, 'Agency List'!D$2:D$145, "Not Found")</f>
        <v>0</v>
      </c>
      <c r="AE146" s="7"/>
      <c r="AF146" s="5"/>
      <c r="AG146" s="5" t="str">
        <f t="shared" si="31"/>
        <v>Bandhkam</v>
      </c>
      <c r="AH146" s="5"/>
      <c r="AI146" s="8"/>
      <c r="AJ146" s="8"/>
      <c r="AL146" s="16"/>
      <c r="AM146" s="12">
        <f t="shared" si="32"/>
        <v>0</v>
      </c>
      <c r="AN146" s="7">
        <f t="shared" si="33"/>
        <v>46334</v>
      </c>
      <c r="AO146" s="12">
        <f t="shared" si="34"/>
        <v>0</v>
      </c>
      <c r="AP146" s="12">
        <f t="shared" si="35"/>
        <v>0</v>
      </c>
      <c r="AQ146" s="15">
        <f t="shared" si="36"/>
        <v>45919</v>
      </c>
      <c r="AR146" s="7">
        <f t="shared" si="37"/>
        <v>46274</v>
      </c>
      <c r="AS146" s="5"/>
      <c r="AU146" s="5"/>
      <c r="AV146" s="17"/>
      <c r="AW146" s="17"/>
      <c r="AX146" s="5"/>
      <c r="AY146" s="5"/>
      <c r="AZ146" s="13"/>
      <c r="BA146" s="12"/>
      <c r="BB146" s="7"/>
      <c r="BC146" s="14"/>
      <c r="BD146" s="14"/>
      <c r="BF146" s="12"/>
      <c r="BG146" s="14"/>
      <c r="BH146" s="19">
        <v>45884</v>
      </c>
      <c r="BI146" s="5"/>
      <c r="BM146" s="18"/>
      <c r="BN146" s="18"/>
      <c r="BO146" s="18"/>
      <c r="BP146" s="18"/>
      <c r="BQ146" s="5"/>
      <c r="BR146" s="18"/>
      <c r="BS146" s="18"/>
      <c r="BT146" s="35">
        <f t="shared" si="26"/>
        <v>45884</v>
      </c>
    </row>
    <row r="147" spans="1:72" ht="29" x14ac:dyDescent="0.35">
      <c r="A147" s="5">
        <v>146</v>
      </c>
      <c r="B147" s="5"/>
      <c r="C147" s="5" t="s">
        <v>78</v>
      </c>
      <c r="D147" s="5">
        <v>8</v>
      </c>
      <c r="E147" s="5">
        <v>40</v>
      </c>
      <c r="F147" s="8"/>
      <c r="G147" s="8"/>
      <c r="H147" s="5"/>
      <c r="I147" s="5" t="e" cm="1">
        <f t="array" ref="I147">_xlfn.IFS(
  H147="Mahuva", "Mahuva",
  H147="Jesar", "Mahuva",
  H147="Palitana", "Palitana",
  H147="Gariyadhar", "Palitana",
  H147="Talaja", "Talaja",
  H147="Vallabhipur", "Vallabhipur",
  H147="Umrala", "Vallabhipur",
  H147="Shihor", "Shihor",
  H147="Ghogha", "Bhavnagar",
  H147="Bhavnagar", "Bhavnagar"
)</f>
        <v>#N/A</v>
      </c>
      <c r="J147" s="5" t="s">
        <v>256</v>
      </c>
      <c r="K147" s="5" t="s">
        <v>418</v>
      </c>
      <c r="M147" s="5"/>
      <c r="N147" s="7">
        <v>45837</v>
      </c>
      <c r="O147" s="7">
        <v>45848</v>
      </c>
      <c r="P147" s="7">
        <v>45849</v>
      </c>
      <c r="Q147" s="7">
        <f t="shared" si="27"/>
        <v>45968</v>
      </c>
      <c r="S147" s="33" t="s">
        <v>233</v>
      </c>
      <c r="U147" s="10"/>
      <c r="V147" s="10" t="str">
        <f t="shared" si="28"/>
        <v>Equals</v>
      </c>
      <c r="W147" s="11" t="str" cm="1">
        <f t="array" ref="W147">NumberToWords(T147)</f>
        <v>Zero Rupees Only</v>
      </c>
      <c r="X147" s="10" t="str">
        <f t="shared" si="29"/>
        <v>Division</v>
      </c>
      <c r="Z147" s="9">
        <f t="shared" si="30"/>
        <v>0</v>
      </c>
      <c r="AB147" s="8">
        <f>_xlfn.XLOOKUP(AA147, 'Agency List'!A$2:A$145, 'Agency List'!B$2:B$145, "Not Found")</f>
        <v>0</v>
      </c>
      <c r="AC147" s="8">
        <f>_xlfn.XLOOKUP(AA147, 'Agency List'!A$2:A$145, 'Agency List'!C$2:C$145, "Not Found")</f>
        <v>0</v>
      </c>
      <c r="AD147" s="8">
        <f>_xlfn.XLOOKUP(AA147, 'Agency List'!A$2:A$145, 'Agency List'!D$2:D$145, "Not Found")</f>
        <v>0</v>
      </c>
      <c r="AE147" s="7"/>
      <c r="AF147" s="5"/>
      <c r="AG147" s="5" t="str">
        <f t="shared" si="31"/>
        <v>Bandhkam</v>
      </c>
      <c r="AH147" s="5"/>
      <c r="AI147" s="8"/>
      <c r="AJ147" s="8"/>
      <c r="AL147" s="16"/>
      <c r="AM147" s="12">
        <f t="shared" si="32"/>
        <v>0</v>
      </c>
      <c r="AN147" s="7">
        <f t="shared" si="33"/>
        <v>46334</v>
      </c>
      <c r="AO147" s="12">
        <f t="shared" si="34"/>
        <v>0</v>
      </c>
      <c r="AP147" s="12">
        <f t="shared" si="35"/>
        <v>0</v>
      </c>
      <c r="AQ147" s="15">
        <f t="shared" si="36"/>
        <v>45919</v>
      </c>
      <c r="AR147" s="7">
        <f t="shared" si="37"/>
        <v>46274</v>
      </c>
      <c r="AS147" s="5"/>
      <c r="AU147" s="5"/>
      <c r="AV147" s="17"/>
      <c r="AW147" s="17"/>
      <c r="AX147" s="5"/>
      <c r="AY147" s="5"/>
      <c r="AZ147" s="13"/>
      <c r="BA147" s="12"/>
      <c r="BB147" s="7"/>
      <c r="BC147" s="14"/>
      <c r="BD147" s="14"/>
      <c r="BF147" s="12"/>
      <c r="BG147" s="14"/>
      <c r="BH147" s="19">
        <v>45884</v>
      </c>
      <c r="BI147" s="5"/>
      <c r="BM147" s="18"/>
      <c r="BN147" s="18"/>
      <c r="BO147" s="18"/>
      <c r="BP147" s="18"/>
      <c r="BQ147" s="5"/>
      <c r="BR147" s="18"/>
      <c r="BS147" s="18"/>
      <c r="BT147" s="35">
        <f t="shared" si="26"/>
        <v>45884</v>
      </c>
    </row>
    <row r="148" spans="1:72" ht="29" x14ac:dyDescent="0.35">
      <c r="A148" s="5">
        <v>147</v>
      </c>
      <c r="B148" s="5"/>
      <c r="C148" s="5" t="s">
        <v>78</v>
      </c>
      <c r="D148" s="5">
        <v>8</v>
      </c>
      <c r="E148" s="5">
        <v>41</v>
      </c>
      <c r="F148" s="8"/>
      <c r="G148" s="8"/>
      <c r="H148" s="5"/>
      <c r="I148" s="5" t="e" cm="1">
        <f t="array" ref="I148">_xlfn.IFS(
  H148="Mahuva", "Mahuva",
  H148="Jesar", "Mahuva",
  H148="Palitana", "Palitana",
  H148="Gariyadhar", "Palitana",
  H148="Talaja", "Talaja",
  H148="Vallabhipur", "Vallabhipur",
  H148="Umrala", "Vallabhipur",
  H148="Shihor", "Shihor",
  H148="Ghogha", "Bhavnagar",
  H148="Bhavnagar", "Bhavnagar"
)</f>
        <v>#N/A</v>
      </c>
      <c r="J148" s="5" t="s">
        <v>256</v>
      </c>
      <c r="K148" s="5" t="s">
        <v>418</v>
      </c>
      <c r="M148" s="5"/>
      <c r="N148" s="7">
        <v>45837</v>
      </c>
      <c r="O148" s="7">
        <v>45848</v>
      </c>
      <c r="P148" s="7">
        <v>45849</v>
      </c>
      <c r="Q148" s="7">
        <f t="shared" si="27"/>
        <v>45968</v>
      </c>
      <c r="S148" s="33" t="s">
        <v>233</v>
      </c>
      <c r="U148" s="10"/>
      <c r="V148" s="10" t="str">
        <f t="shared" si="28"/>
        <v>Equals</v>
      </c>
      <c r="W148" s="11" t="str" cm="1">
        <f t="array" ref="W148">NumberToWords(T148)</f>
        <v>Zero Rupees Only</v>
      </c>
      <c r="X148" s="10" t="str">
        <f t="shared" si="29"/>
        <v>Division</v>
      </c>
      <c r="Z148" s="9">
        <f t="shared" si="30"/>
        <v>0</v>
      </c>
      <c r="AB148" s="8">
        <f>_xlfn.XLOOKUP(AA148, 'Agency List'!A$2:A$145, 'Agency List'!B$2:B$145, "Not Found")</f>
        <v>0</v>
      </c>
      <c r="AC148" s="8">
        <f>_xlfn.XLOOKUP(AA148, 'Agency List'!A$2:A$145, 'Agency List'!C$2:C$145, "Not Found")</f>
        <v>0</v>
      </c>
      <c r="AD148" s="8">
        <f>_xlfn.XLOOKUP(AA148, 'Agency List'!A$2:A$145, 'Agency List'!D$2:D$145, "Not Found")</f>
        <v>0</v>
      </c>
      <c r="AE148" s="7"/>
      <c r="AF148" s="5"/>
      <c r="AG148" s="5" t="str">
        <f t="shared" si="31"/>
        <v>Bandhkam</v>
      </c>
      <c r="AH148" s="5"/>
      <c r="AI148" s="8"/>
      <c r="AJ148" s="8"/>
      <c r="AL148" s="16"/>
      <c r="AM148" s="12">
        <f t="shared" si="32"/>
        <v>0</v>
      </c>
      <c r="AN148" s="7">
        <f t="shared" si="33"/>
        <v>46334</v>
      </c>
      <c r="AO148" s="12">
        <f t="shared" si="34"/>
        <v>0</v>
      </c>
      <c r="AP148" s="12">
        <f t="shared" si="35"/>
        <v>0</v>
      </c>
      <c r="AQ148" s="15">
        <f t="shared" si="36"/>
        <v>45919</v>
      </c>
      <c r="AR148" s="7">
        <f t="shared" si="37"/>
        <v>46274</v>
      </c>
      <c r="AS148" s="5"/>
      <c r="AU148" s="5"/>
      <c r="AV148" s="17"/>
      <c r="AW148" s="17"/>
      <c r="AX148" s="5"/>
      <c r="AY148" s="5"/>
      <c r="AZ148" s="13"/>
      <c r="BA148" s="12"/>
      <c r="BB148" s="7"/>
      <c r="BC148" s="14"/>
      <c r="BD148" s="14"/>
      <c r="BF148" s="12"/>
      <c r="BG148" s="14"/>
      <c r="BH148" s="19">
        <v>45884</v>
      </c>
      <c r="BI148" s="5"/>
      <c r="BM148" s="18"/>
      <c r="BN148" s="18"/>
      <c r="BO148" s="18"/>
      <c r="BP148" s="18"/>
      <c r="BQ148" s="5"/>
      <c r="BR148" s="18"/>
      <c r="BS148" s="18"/>
      <c r="BT148" s="35">
        <f t="shared" si="26"/>
        <v>45884</v>
      </c>
    </row>
    <row r="149" spans="1:72" ht="43.5" x14ac:dyDescent="0.35">
      <c r="A149" s="5">
        <v>148</v>
      </c>
      <c r="B149" s="5"/>
      <c r="C149" s="5" t="s">
        <v>78</v>
      </c>
      <c r="D149" s="5">
        <v>8</v>
      </c>
      <c r="E149" s="5">
        <v>42</v>
      </c>
      <c r="F149" s="8" t="s">
        <v>509</v>
      </c>
      <c r="G149" s="8"/>
      <c r="H149" s="5" t="s">
        <v>257</v>
      </c>
      <c r="I149" s="5" t="str" cm="1">
        <f t="array" ref="I149">_xlfn.IFS(
  H149="Mahuva", "Mahuva",
  H149="Jesar", "Mahuva",
  H149="Palitana", "Palitana",
  H149="Gariyadhar", "Palitana",
  H149="Talaja", "Talaja",
  H149="Vallabhipur", "Vallabhipur",
  H149="Umrala", "Vallabhipur",
  H149="Shihor", "Shihor",
  H149="Ghogha", "Bhavnagar",
  H149="Bhavnagar", "Bhavnagar"
)</f>
        <v>Palitana</v>
      </c>
      <c r="J149" s="5" t="s">
        <v>256</v>
      </c>
      <c r="K149" s="5" t="s">
        <v>418</v>
      </c>
      <c r="L149" s="5">
        <v>199640</v>
      </c>
      <c r="M149" s="5"/>
      <c r="N149" s="7">
        <v>45837</v>
      </c>
      <c r="O149" s="7">
        <v>45848</v>
      </c>
      <c r="P149" s="7">
        <v>45849</v>
      </c>
      <c r="Q149" s="7">
        <f t="shared" si="27"/>
        <v>45968</v>
      </c>
      <c r="R149" s="9">
        <v>2079935.08</v>
      </c>
      <c r="S149" s="33"/>
      <c r="T149" s="9">
        <v>1932051.7</v>
      </c>
      <c r="U149" s="10">
        <v>-7.11</v>
      </c>
      <c r="V149" s="10" t="str">
        <f t="shared" si="28"/>
        <v>Below</v>
      </c>
      <c r="W149" s="11" t="str" cm="1">
        <f t="array" ref="W149">NumberToWords(T149)</f>
        <v>Nineteen Lakh Thirty Two Thousand Fifty One Rupees and Seven Paise Only</v>
      </c>
      <c r="X149" s="10" t="str">
        <f t="shared" si="29"/>
        <v>Division</v>
      </c>
      <c r="Z149" s="9">
        <f t="shared" si="30"/>
        <v>1932051.7</v>
      </c>
      <c r="AA149" s="5" t="s">
        <v>402</v>
      </c>
      <c r="AB149" s="8" t="str">
        <f>_xlfn.XLOOKUP(AA149, 'Agency List'!A$2:A$145, 'Agency List'!B$2:B$145, "Not Found")</f>
        <v>Kanubhai Nagbhai Sandsur</v>
      </c>
      <c r="AC149" s="8" t="str">
        <f>_xlfn.XLOOKUP(AA149, 'Agency List'!A$2:A$145, 'Agency List'!C$2:C$145, "Not Found")</f>
        <v>Shop No. 6, Nilkanth Shopping, Opp. S.T. Workshop, Gariyadhar, Dist. Bhavnagar - 364505</v>
      </c>
      <c r="AD149" s="8">
        <f>_xlfn.XLOOKUP(AA149, 'Agency List'!A$2:A$145, 'Agency List'!D$2:D$145, "Not Found")</f>
        <v>9574555050</v>
      </c>
      <c r="AE149" s="7"/>
      <c r="AF149" s="5"/>
      <c r="AG149" s="5" t="str">
        <f t="shared" si="31"/>
        <v>Bandhkam</v>
      </c>
      <c r="AH149" s="5"/>
      <c r="AI149" s="8"/>
      <c r="AJ149" s="8"/>
      <c r="AL149" s="16">
        <v>4</v>
      </c>
      <c r="AM149" s="12">
        <f t="shared" si="32"/>
        <v>97000</v>
      </c>
      <c r="AN149" s="7">
        <f t="shared" si="33"/>
        <v>46468</v>
      </c>
      <c r="AO149" s="12">
        <f t="shared" si="34"/>
        <v>4800</v>
      </c>
      <c r="AP149" s="12">
        <f t="shared" si="35"/>
        <v>0</v>
      </c>
      <c r="AQ149" s="15">
        <f t="shared" si="36"/>
        <v>46053</v>
      </c>
      <c r="AR149" s="7">
        <f t="shared" si="37"/>
        <v>46408</v>
      </c>
      <c r="AS149" s="5">
        <v>1099</v>
      </c>
      <c r="AT149" s="7">
        <v>45877</v>
      </c>
      <c r="AU149" s="5" t="s">
        <v>78</v>
      </c>
      <c r="AV149" s="17">
        <v>119</v>
      </c>
      <c r="AW149" s="37">
        <v>45898</v>
      </c>
      <c r="AX149" s="5" t="s">
        <v>355</v>
      </c>
      <c r="AY149" s="5" t="s">
        <v>369</v>
      </c>
      <c r="AZ149" s="13">
        <v>44406429679</v>
      </c>
      <c r="BA149" s="12">
        <v>97000</v>
      </c>
      <c r="BB149" s="7">
        <v>45895</v>
      </c>
      <c r="BC149" s="14"/>
      <c r="BD149" s="14"/>
      <c r="BF149" s="12"/>
      <c r="BG149" s="14"/>
      <c r="BH149" s="37">
        <v>45898</v>
      </c>
      <c r="BI149" s="5">
        <v>1222</v>
      </c>
      <c r="BJ149" s="19">
        <v>45898</v>
      </c>
      <c r="BM149" s="18"/>
      <c r="BN149" s="18"/>
      <c r="BO149" s="18"/>
      <c r="BP149" s="18"/>
      <c r="BQ149" s="5"/>
      <c r="BR149" s="18"/>
      <c r="BS149" s="18"/>
      <c r="BT149" s="35">
        <f t="shared" si="26"/>
        <v>46018</v>
      </c>
    </row>
    <row r="150" spans="1:72" ht="43.5" x14ac:dyDescent="0.35">
      <c r="A150" s="5">
        <v>149</v>
      </c>
      <c r="B150" s="5"/>
      <c r="C150" s="5" t="s">
        <v>78</v>
      </c>
      <c r="D150" s="5">
        <v>8</v>
      </c>
      <c r="E150" s="5">
        <v>43</v>
      </c>
      <c r="F150" s="8" t="s">
        <v>510</v>
      </c>
      <c r="G150" s="8"/>
      <c r="H150" s="5" t="s">
        <v>257</v>
      </c>
      <c r="I150" s="5" t="str" cm="1">
        <f t="array" ref="I150">_xlfn.IFS(
  H150="Mahuva", "Mahuva",
  H150="Jesar", "Mahuva",
  H150="Palitana", "Palitana",
  H150="Gariyadhar", "Palitana",
  H150="Talaja", "Talaja",
  H150="Vallabhipur", "Vallabhipur",
  H150="Umrala", "Vallabhipur",
  H150="Shihor", "Shihor",
  H150="Ghogha", "Bhavnagar",
  H150="Bhavnagar", "Bhavnagar"
)</f>
        <v>Palitana</v>
      </c>
      <c r="J150" s="5" t="s">
        <v>256</v>
      </c>
      <c r="K150" s="5" t="s">
        <v>418</v>
      </c>
      <c r="L150" s="5">
        <v>199641</v>
      </c>
      <c r="M150" s="5"/>
      <c r="N150" s="7">
        <v>45837</v>
      </c>
      <c r="O150" s="7">
        <v>45848</v>
      </c>
      <c r="P150" s="7">
        <v>45849</v>
      </c>
      <c r="Q150" s="7">
        <f t="shared" si="27"/>
        <v>45968</v>
      </c>
      <c r="R150" s="9">
        <v>2079935.08</v>
      </c>
      <c r="S150" s="33"/>
      <c r="T150" s="9">
        <v>1916036.2</v>
      </c>
      <c r="U150" s="10">
        <v>-7.88</v>
      </c>
      <c r="V150" s="10" t="str">
        <f t="shared" si="28"/>
        <v>Below</v>
      </c>
      <c r="W150" s="11" t="str" cm="1">
        <f t="array" ref="W150">NumberToWords(T150)</f>
        <v>Nineteen Lakh Sixteen Thousand Thirty Six Rupees and Two Paise Only</v>
      </c>
      <c r="X150" s="10" t="str">
        <f t="shared" si="29"/>
        <v>Division</v>
      </c>
      <c r="Z150" s="9">
        <f t="shared" si="30"/>
        <v>1916036.2</v>
      </c>
      <c r="AA150" s="5" t="s">
        <v>403</v>
      </c>
      <c r="AB150" s="8" t="str">
        <f>_xlfn.XLOOKUP(AA150, 'Agency List'!A$2:A$145, 'Agency List'!B$2:B$145, "Not Found")</f>
        <v>Sanjaysinh Rajendrasinh Gohil</v>
      </c>
      <c r="AC150" s="8" t="str">
        <f>_xlfn.XLOOKUP(AA150, 'Agency List'!A$2:A$145, 'Agency List'!C$2:C$145, "Not Found")</f>
        <v>184, Darbar Street, Wadi Area, Navagam (Nana) Ta. Ghogha. Dist. Bhavnagar</v>
      </c>
      <c r="AD150" s="8">
        <f>_xlfn.XLOOKUP(AA150, 'Agency List'!A$2:A$145, 'Agency List'!D$2:D$145, "Not Found")</f>
        <v>9624751929</v>
      </c>
      <c r="AE150" s="7"/>
      <c r="AF150" s="5" t="s">
        <v>357</v>
      </c>
      <c r="AG150" s="5" t="str">
        <f t="shared" si="31"/>
        <v>Bandhkam</v>
      </c>
      <c r="AH150" s="5"/>
      <c r="AI150" s="8"/>
      <c r="AJ150" s="8"/>
      <c r="AL150" s="16">
        <v>4</v>
      </c>
      <c r="AM150" s="12">
        <f t="shared" si="32"/>
        <v>96000</v>
      </c>
      <c r="AN150" s="7">
        <f t="shared" si="33"/>
        <v>46551</v>
      </c>
      <c r="AO150" s="12">
        <f t="shared" si="34"/>
        <v>4800</v>
      </c>
      <c r="AP150" s="12">
        <f t="shared" si="35"/>
        <v>0</v>
      </c>
      <c r="AQ150" s="15">
        <f t="shared" si="36"/>
        <v>46136</v>
      </c>
      <c r="AR150" s="7">
        <f t="shared" si="37"/>
        <v>46491</v>
      </c>
      <c r="AS150" s="5">
        <v>1090</v>
      </c>
      <c r="AT150" s="7">
        <v>45876</v>
      </c>
      <c r="AU150" s="5" t="s">
        <v>78</v>
      </c>
      <c r="AV150" s="17">
        <v>219</v>
      </c>
      <c r="AW150" s="37">
        <v>45981</v>
      </c>
      <c r="AX150" s="5" t="s">
        <v>355</v>
      </c>
      <c r="AY150" s="5" t="s">
        <v>701</v>
      </c>
      <c r="AZ150" s="13">
        <v>5896382185</v>
      </c>
      <c r="BA150" s="12">
        <v>96000</v>
      </c>
      <c r="BB150" s="7">
        <v>45967</v>
      </c>
      <c r="BC150" s="14"/>
      <c r="BD150" s="14"/>
      <c r="BF150" s="12"/>
      <c r="BG150" s="14"/>
      <c r="BH150" s="19">
        <v>45981</v>
      </c>
      <c r="BI150" s="5">
        <v>1551</v>
      </c>
      <c r="BJ150" s="19">
        <v>45981</v>
      </c>
      <c r="BM150" s="18"/>
      <c r="BN150" s="18"/>
      <c r="BO150" s="18"/>
      <c r="BP150" s="18"/>
      <c r="BQ150" s="5"/>
      <c r="BR150" s="18"/>
      <c r="BS150" s="18"/>
      <c r="BT150" s="35">
        <f t="shared" si="26"/>
        <v>46101</v>
      </c>
    </row>
    <row r="151" spans="1:72" ht="29" x14ac:dyDescent="0.35">
      <c r="A151" s="5">
        <v>150</v>
      </c>
      <c r="B151" s="5"/>
      <c r="C151" s="5" t="s">
        <v>78</v>
      </c>
      <c r="D151" s="5">
        <v>8</v>
      </c>
      <c r="E151" s="5">
        <v>44</v>
      </c>
      <c r="F151" s="8"/>
      <c r="G151" s="8"/>
      <c r="H151" s="5"/>
      <c r="I151" s="5" t="e" cm="1">
        <f t="array" ref="I151">_xlfn.IFS(
  H151="Mahuva", "Mahuva",
  H151="Jesar", "Mahuva",
  H151="Palitana", "Palitana",
  H151="Gariyadhar", "Palitana",
  H151="Talaja", "Talaja",
  H151="Vallabhipur", "Vallabhipur",
  H151="Umrala", "Vallabhipur",
  H151="Shihor", "Shihor",
  H151="Ghogha", "Bhavnagar",
  H151="Bhavnagar", "Bhavnagar"
)</f>
        <v>#N/A</v>
      </c>
      <c r="J151" s="5" t="s">
        <v>256</v>
      </c>
      <c r="K151" s="5" t="s">
        <v>418</v>
      </c>
      <c r="M151" s="5"/>
      <c r="N151" s="7">
        <v>45837</v>
      </c>
      <c r="O151" s="7">
        <v>45848</v>
      </c>
      <c r="P151" s="7">
        <v>45849</v>
      </c>
      <c r="Q151" s="7">
        <f t="shared" si="27"/>
        <v>45968</v>
      </c>
      <c r="S151" s="33" t="s">
        <v>233</v>
      </c>
      <c r="U151" s="10"/>
      <c r="V151" s="10" t="str">
        <f t="shared" si="28"/>
        <v>Equals</v>
      </c>
      <c r="W151" s="11" t="str" cm="1">
        <f t="array" ref="W151">NumberToWords(T151)</f>
        <v>Zero Rupees Only</v>
      </c>
      <c r="X151" s="10" t="str">
        <f t="shared" si="29"/>
        <v>Division</v>
      </c>
      <c r="Z151" s="9">
        <f t="shared" si="30"/>
        <v>0</v>
      </c>
      <c r="AB151" s="8">
        <f>_xlfn.XLOOKUP(AA151, 'Agency List'!A$2:A$145, 'Agency List'!B$2:B$145, "Not Found")</f>
        <v>0</v>
      </c>
      <c r="AC151" s="8">
        <f>_xlfn.XLOOKUP(AA151, 'Agency List'!A$2:A$145, 'Agency List'!C$2:C$145, "Not Found")</f>
        <v>0</v>
      </c>
      <c r="AD151" s="8">
        <f>_xlfn.XLOOKUP(AA151, 'Agency List'!A$2:A$145, 'Agency List'!D$2:D$145, "Not Found")</f>
        <v>0</v>
      </c>
      <c r="AE151" s="7"/>
      <c r="AF151" s="5"/>
      <c r="AG151" s="5" t="str">
        <f t="shared" si="31"/>
        <v>Bandhkam</v>
      </c>
      <c r="AH151" s="5"/>
      <c r="AI151" s="8"/>
      <c r="AJ151" s="8"/>
      <c r="AL151" s="16"/>
      <c r="AM151" s="12">
        <f t="shared" si="32"/>
        <v>0</v>
      </c>
      <c r="AN151" s="7">
        <f t="shared" si="33"/>
        <v>46334</v>
      </c>
      <c r="AO151" s="12">
        <f t="shared" si="34"/>
        <v>0</v>
      </c>
      <c r="AP151" s="12">
        <f t="shared" si="35"/>
        <v>0</v>
      </c>
      <c r="AQ151" s="15">
        <f t="shared" si="36"/>
        <v>45919</v>
      </c>
      <c r="AR151" s="7">
        <f t="shared" si="37"/>
        <v>46274</v>
      </c>
      <c r="AS151" s="5"/>
      <c r="AU151" s="5"/>
      <c r="AV151" s="17"/>
      <c r="AW151" s="17"/>
      <c r="AX151" s="5"/>
      <c r="AY151" s="5"/>
      <c r="AZ151" s="13"/>
      <c r="BA151" s="12"/>
      <c r="BB151" s="7"/>
      <c r="BC151" s="14"/>
      <c r="BD151" s="14"/>
      <c r="BF151" s="12"/>
      <c r="BG151" s="14"/>
      <c r="BH151" s="19">
        <v>45884</v>
      </c>
      <c r="BI151" s="5"/>
      <c r="BM151" s="18"/>
      <c r="BN151" s="18"/>
      <c r="BO151" s="18"/>
      <c r="BP151" s="18"/>
      <c r="BQ151" s="5"/>
      <c r="BR151" s="18"/>
      <c r="BS151" s="18"/>
      <c r="BT151" s="35">
        <f t="shared" si="26"/>
        <v>45884</v>
      </c>
    </row>
    <row r="152" spans="1:72" ht="43.5" x14ac:dyDescent="0.35">
      <c r="A152" s="5">
        <v>151</v>
      </c>
      <c r="B152" s="5"/>
      <c r="C152" s="5" t="s">
        <v>78</v>
      </c>
      <c r="D152" s="5">
        <v>8</v>
      </c>
      <c r="E152" s="5">
        <v>45</v>
      </c>
      <c r="F152" s="8" t="s">
        <v>511</v>
      </c>
      <c r="G152" s="8"/>
      <c r="H152" s="5" t="s">
        <v>332</v>
      </c>
      <c r="I152" s="5" t="str" cm="1">
        <f t="array" ref="I152">_xlfn.IFS(
  H152="Mahuva", "Mahuva",
  H152="Jesar", "Mahuva",
  H152="Palitana", "Palitana",
  H152="Gariyadhar", "Palitana",
  H152="Talaja", "Talaja",
  H152="Vallabhipur", "Vallabhipur",
  H152="Umrala", "Vallabhipur",
  H152="Shihor", "Shihor",
  H152="Ghogha", "Bhavnagar",
  H152="Bhavnagar", "Bhavnagar"
)</f>
        <v>Bhavnagar</v>
      </c>
      <c r="J152" s="5" t="s">
        <v>256</v>
      </c>
      <c r="K152" s="5" t="s">
        <v>418</v>
      </c>
      <c r="L152" s="5">
        <v>199644</v>
      </c>
      <c r="M152" s="5"/>
      <c r="N152" s="7">
        <v>45837</v>
      </c>
      <c r="O152" s="7">
        <v>45848</v>
      </c>
      <c r="P152" s="7">
        <v>45849</v>
      </c>
      <c r="Q152" s="7">
        <f t="shared" si="27"/>
        <v>45968</v>
      </c>
      <c r="R152" s="9">
        <v>2079935.08</v>
      </c>
      <c r="S152" s="33"/>
      <c r="T152" s="9">
        <v>2036048.45</v>
      </c>
      <c r="U152" s="10">
        <v>-2.11</v>
      </c>
      <c r="V152" s="10" t="str">
        <f t="shared" si="28"/>
        <v>Below</v>
      </c>
      <c r="W152" s="11" t="str" cm="1">
        <f t="array" ref="W152">NumberToWords(T152)</f>
        <v>Twenty Lakh Thirty Six Thousand Forty Eight Rupees and Forty Five Paise Only</v>
      </c>
      <c r="X152" s="10" t="str">
        <f t="shared" si="29"/>
        <v>Division</v>
      </c>
      <c r="Z152" s="9">
        <f t="shared" si="30"/>
        <v>2036048.45</v>
      </c>
      <c r="AA152" s="5" t="s">
        <v>400</v>
      </c>
      <c r="AB152" s="8" t="str">
        <f>_xlfn.XLOOKUP(AA152, 'Agency List'!A$2:A$145, 'Agency List'!B$2:B$145, "Not Found")</f>
        <v>PARTH Kiritkumar MEHTA</v>
      </c>
      <c r="AC152" s="8" t="str">
        <f>_xlfn.XLOOKUP(AA152, 'Agency List'!A$2:A$145, 'Agency List'!C$2:C$145, "Not Found")</f>
        <v>Plot No. 1578/I, New Champa Tenament, Divadi Road, Rupani Circle, Bhavnagar - 364002</v>
      </c>
      <c r="AD152" s="8">
        <f>_xlfn.XLOOKUP(AA152, 'Agency List'!A$2:A$145, 'Agency List'!D$2:D$145, "Not Found")</f>
        <v>7990934709</v>
      </c>
      <c r="AE152" s="7"/>
      <c r="AF152" s="5" t="s">
        <v>357</v>
      </c>
      <c r="AG152" s="5" t="str">
        <f t="shared" si="31"/>
        <v>Bandhkam</v>
      </c>
      <c r="AH152" s="5"/>
      <c r="AI152" s="8"/>
      <c r="AJ152" s="8"/>
      <c r="AL152" s="16">
        <v>4</v>
      </c>
      <c r="AM152" s="12">
        <f t="shared" si="32"/>
        <v>102000</v>
      </c>
      <c r="AN152" s="7">
        <f t="shared" si="33"/>
        <v>46454</v>
      </c>
      <c r="AO152" s="12">
        <f t="shared" si="34"/>
        <v>5000</v>
      </c>
      <c r="AP152" s="12">
        <f t="shared" si="35"/>
        <v>0</v>
      </c>
      <c r="AQ152" s="15">
        <f t="shared" si="36"/>
        <v>46039</v>
      </c>
      <c r="AR152" s="7">
        <f t="shared" si="37"/>
        <v>46394</v>
      </c>
      <c r="AS152" s="5">
        <v>1089</v>
      </c>
      <c r="AT152" s="7">
        <v>45876</v>
      </c>
      <c r="AU152" s="5"/>
      <c r="AV152" s="17"/>
      <c r="AW152" s="17"/>
      <c r="AX152" s="5"/>
      <c r="AY152" s="5"/>
      <c r="AZ152" s="13"/>
      <c r="BA152" s="12"/>
      <c r="BB152" s="7"/>
      <c r="BC152" s="14"/>
      <c r="BD152" s="14"/>
      <c r="BF152" s="12"/>
      <c r="BG152" s="14"/>
      <c r="BH152" s="19">
        <v>45884</v>
      </c>
      <c r="BI152" s="5"/>
      <c r="BK152" s="5">
        <v>1717</v>
      </c>
      <c r="BL152" s="7">
        <v>46006</v>
      </c>
      <c r="BM152" s="18"/>
      <c r="BN152" s="18"/>
      <c r="BO152" s="18"/>
      <c r="BP152" s="18"/>
      <c r="BQ152" s="5"/>
      <c r="BR152" s="18"/>
      <c r="BS152" s="18"/>
      <c r="BT152" s="35">
        <f t="shared" si="26"/>
        <v>46004</v>
      </c>
    </row>
    <row r="153" spans="1:72" ht="43.5" x14ac:dyDescent="0.35">
      <c r="A153" s="5">
        <v>152</v>
      </c>
      <c r="B153" s="5"/>
      <c r="C153" s="5" t="s">
        <v>78</v>
      </c>
      <c r="D153" s="5">
        <v>8</v>
      </c>
      <c r="E153" s="5">
        <v>46</v>
      </c>
      <c r="F153" s="8" t="s">
        <v>512</v>
      </c>
      <c r="G153" s="8"/>
      <c r="H153" s="5" t="s">
        <v>332</v>
      </c>
      <c r="I153" s="5" t="str" cm="1">
        <f t="array" ref="I153">_xlfn.IFS(
  H153="Mahuva", "Mahuva",
  H153="Jesar", "Mahuva",
  H153="Palitana", "Palitana",
  H153="Gariyadhar", "Palitana",
  H153="Talaja", "Talaja",
  H153="Vallabhipur", "Vallabhipur",
  H153="Umrala", "Vallabhipur",
  H153="Shihor", "Shihor",
  H153="Ghogha", "Bhavnagar",
  H153="Bhavnagar", "Bhavnagar"
)</f>
        <v>Bhavnagar</v>
      </c>
      <c r="J153" s="5" t="s">
        <v>256</v>
      </c>
      <c r="K153" s="5" t="s">
        <v>418</v>
      </c>
      <c r="L153" s="5">
        <v>199645</v>
      </c>
      <c r="M153" s="5"/>
      <c r="N153" s="7">
        <v>45837</v>
      </c>
      <c r="O153" s="7">
        <v>45848</v>
      </c>
      <c r="P153" s="7">
        <v>45849</v>
      </c>
      <c r="Q153" s="7">
        <f t="shared" si="27"/>
        <v>45968</v>
      </c>
      <c r="R153" s="9">
        <v>2079935.08</v>
      </c>
      <c r="S153" s="33"/>
      <c r="T153" s="9">
        <v>1970322.5</v>
      </c>
      <c r="U153" s="10">
        <v>-5.27</v>
      </c>
      <c r="V153" s="10" t="str">
        <f t="shared" si="28"/>
        <v>Below</v>
      </c>
      <c r="W153" s="11" t="str" cm="1">
        <f t="array" ref="W153">NumberToWords(T153)</f>
        <v>Nineteen Lakh Seventy Thousand Three Hundred Twenty Two Rupees and Five Paise Only</v>
      </c>
      <c r="X153" s="10" t="str">
        <f t="shared" si="29"/>
        <v>Division</v>
      </c>
      <c r="Z153" s="9">
        <f t="shared" si="30"/>
        <v>1970322.5</v>
      </c>
      <c r="AA153" s="5" t="s">
        <v>399</v>
      </c>
      <c r="AB153" s="8" t="str">
        <f>_xlfn.XLOOKUP(AA153, 'Agency List'!A$2:A$145, 'Agency List'!B$2:B$145, "Not Found")</f>
        <v>Pratapbhai Lakhubhai Beparia</v>
      </c>
      <c r="AC153" s="8" t="str">
        <f>_xlfn.XLOOKUP(AA153, 'Agency List'!A$2:A$145, 'Agency List'!C$2:C$145, "Not Found")</f>
        <v>At Lothpur, Ta. Jafarabad, Dist. Amreli - 365540</v>
      </c>
      <c r="AD153" s="8">
        <f>_xlfn.XLOOKUP(AA153, 'Agency List'!A$2:A$145, 'Agency List'!D$2:D$145, "Not Found")</f>
        <v>9727987777</v>
      </c>
      <c r="AE153" s="7"/>
      <c r="AF153" s="5" t="s">
        <v>357</v>
      </c>
      <c r="AG153" s="5" t="str">
        <f t="shared" si="31"/>
        <v>Bandhkam</v>
      </c>
      <c r="AH153" s="5"/>
      <c r="AI153" s="8"/>
      <c r="AJ153" s="8"/>
      <c r="AL153" s="16">
        <v>4</v>
      </c>
      <c r="AM153" s="12">
        <f t="shared" si="32"/>
        <v>99000</v>
      </c>
      <c r="AN153" s="7">
        <f t="shared" si="33"/>
        <v>46481</v>
      </c>
      <c r="AO153" s="12">
        <f t="shared" si="34"/>
        <v>4900</v>
      </c>
      <c r="AP153" s="12">
        <f t="shared" si="35"/>
        <v>0</v>
      </c>
      <c r="AQ153" s="15">
        <f t="shared" si="36"/>
        <v>46066</v>
      </c>
      <c r="AR153" s="7">
        <f t="shared" si="37"/>
        <v>46421</v>
      </c>
      <c r="AS153" s="5">
        <v>1088</v>
      </c>
      <c r="AT153" s="7">
        <v>45876</v>
      </c>
      <c r="AU153" s="5" t="s">
        <v>78</v>
      </c>
      <c r="AV153" s="17">
        <v>151</v>
      </c>
      <c r="AW153" s="19">
        <v>45911</v>
      </c>
      <c r="AX153" s="5" t="s">
        <v>355</v>
      </c>
      <c r="AY153" s="5" t="s">
        <v>605</v>
      </c>
      <c r="AZ153" s="45" t="s">
        <v>728</v>
      </c>
      <c r="BA153" s="12">
        <v>99000</v>
      </c>
      <c r="BB153" s="7">
        <v>45889</v>
      </c>
      <c r="BC153" s="14"/>
      <c r="BD153" s="14"/>
      <c r="BF153" s="12"/>
      <c r="BG153" s="14"/>
      <c r="BH153" s="19">
        <v>45911</v>
      </c>
      <c r="BI153" s="5">
        <v>1296</v>
      </c>
      <c r="BJ153" s="19">
        <v>45911</v>
      </c>
      <c r="BM153" s="18"/>
      <c r="BN153" s="18"/>
      <c r="BO153" s="18"/>
      <c r="BP153" s="18"/>
      <c r="BQ153" s="5"/>
      <c r="BR153" s="18"/>
      <c r="BS153" s="18"/>
      <c r="BT153" s="35">
        <f t="shared" si="26"/>
        <v>46031</v>
      </c>
    </row>
    <row r="154" spans="1:72" ht="43.5" x14ac:dyDescent="0.35">
      <c r="A154" s="5">
        <v>153</v>
      </c>
      <c r="B154" s="5"/>
      <c r="C154" s="5" t="s">
        <v>78</v>
      </c>
      <c r="D154" s="5">
        <v>8</v>
      </c>
      <c r="E154" s="5">
        <v>47</v>
      </c>
      <c r="F154" s="8" t="s">
        <v>513</v>
      </c>
      <c r="G154" s="8"/>
      <c r="H154" s="5" t="s">
        <v>332</v>
      </c>
      <c r="I154" s="5" t="str" cm="1">
        <f t="array" ref="I154">_xlfn.IFS(
  H154="Mahuva", "Mahuva",
  H154="Jesar", "Mahuva",
  H154="Palitana", "Palitana",
  H154="Gariyadhar", "Palitana",
  H154="Talaja", "Talaja",
  H154="Vallabhipur", "Vallabhipur",
  H154="Umrala", "Vallabhipur",
  H154="Shihor", "Shihor",
  H154="Ghogha", "Bhavnagar",
  H154="Bhavnagar", "Bhavnagar"
)</f>
        <v>Bhavnagar</v>
      </c>
      <c r="J154" s="5" t="s">
        <v>256</v>
      </c>
      <c r="K154" s="5" t="s">
        <v>418</v>
      </c>
      <c r="L154" s="5">
        <v>199647</v>
      </c>
      <c r="M154" s="5"/>
      <c r="N154" s="7">
        <v>45837</v>
      </c>
      <c r="O154" s="7">
        <v>45848</v>
      </c>
      <c r="P154" s="7">
        <v>45849</v>
      </c>
      <c r="Q154" s="7">
        <f t="shared" si="27"/>
        <v>45968</v>
      </c>
      <c r="R154" s="9">
        <v>2079935.08</v>
      </c>
      <c r="S154" s="33"/>
      <c r="T154" s="9">
        <v>1972194.44</v>
      </c>
      <c r="U154" s="10">
        <v>-5.18</v>
      </c>
      <c r="V154" s="10" t="str">
        <f t="shared" si="28"/>
        <v>Below</v>
      </c>
      <c r="W154" s="11" t="str" cm="1">
        <f t="array" ref="W154">NumberToWords(T154)</f>
        <v>Nineteen Lakh Seventy Two Thousand One Hundred Ninety Four Rupees and Forty Four Paise Only</v>
      </c>
      <c r="X154" s="10" t="str">
        <f t="shared" si="29"/>
        <v>Division</v>
      </c>
      <c r="Z154" s="9">
        <f t="shared" si="30"/>
        <v>1972194.44</v>
      </c>
      <c r="AA154" s="5" t="s">
        <v>399</v>
      </c>
      <c r="AB154" s="8" t="str">
        <f>_xlfn.XLOOKUP(AA154, 'Agency List'!A$2:A$145, 'Agency List'!B$2:B$145, "Not Found")</f>
        <v>Pratapbhai Lakhubhai Beparia</v>
      </c>
      <c r="AC154" s="8" t="str">
        <f>_xlfn.XLOOKUP(AA154, 'Agency List'!A$2:A$145, 'Agency List'!C$2:C$145, "Not Found")</f>
        <v>At Lothpur, Ta. Jafarabad, Dist. Amreli - 365540</v>
      </c>
      <c r="AD154" s="8">
        <f>_xlfn.XLOOKUP(AA154, 'Agency List'!A$2:A$145, 'Agency List'!D$2:D$145, "Not Found")</f>
        <v>9727987777</v>
      </c>
      <c r="AE154" s="7"/>
      <c r="AF154" s="5" t="s">
        <v>357</v>
      </c>
      <c r="AG154" s="5" t="str">
        <f t="shared" si="31"/>
        <v>Bandhkam</v>
      </c>
      <c r="AH154" s="5"/>
      <c r="AI154" s="8"/>
      <c r="AJ154" s="8"/>
      <c r="AL154" s="16">
        <v>4</v>
      </c>
      <c r="AM154" s="12">
        <f t="shared" si="32"/>
        <v>99000</v>
      </c>
      <c r="AN154" s="7">
        <f t="shared" si="33"/>
        <v>46481</v>
      </c>
      <c r="AO154" s="12">
        <f t="shared" si="34"/>
        <v>4900</v>
      </c>
      <c r="AP154" s="12">
        <f t="shared" si="35"/>
        <v>0</v>
      </c>
      <c r="AQ154" s="15">
        <f t="shared" si="36"/>
        <v>46066</v>
      </c>
      <c r="AR154" s="7">
        <f t="shared" si="37"/>
        <v>46421</v>
      </c>
      <c r="AS154" s="5">
        <v>1087</v>
      </c>
      <c r="AT154" s="7">
        <v>45876</v>
      </c>
      <c r="AU154" s="5" t="s">
        <v>78</v>
      </c>
      <c r="AV154" s="17">
        <v>152</v>
      </c>
      <c r="AW154" s="19">
        <v>45911</v>
      </c>
      <c r="AX154" s="5" t="s">
        <v>355</v>
      </c>
      <c r="AY154" s="5" t="s">
        <v>605</v>
      </c>
      <c r="AZ154" s="45" t="s">
        <v>729</v>
      </c>
      <c r="BA154" s="12">
        <v>99000</v>
      </c>
      <c r="BB154" s="7">
        <v>45889</v>
      </c>
      <c r="BC154" s="14"/>
      <c r="BD154" s="14"/>
      <c r="BF154" s="12"/>
      <c r="BG154" s="14"/>
      <c r="BH154" s="19">
        <v>45911</v>
      </c>
      <c r="BI154" s="5">
        <v>1297</v>
      </c>
      <c r="BJ154" s="19">
        <v>45911</v>
      </c>
      <c r="BM154" s="18"/>
      <c r="BN154" s="18"/>
      <c r="BO154" s="18"/>
      <c r="BP154" s="18"/>
      <c r="BQ154" s="5"/>
      <c r="BR154" s="18"/>
      <c r="BS154" s="18"/>
      <c r="BT154" s="35">
        <f t="shared" ref="BT154:BT174" si="38">BH154+AL154*30</f>
        <v>46031</v>
      </c>
    </row>
    <row r="155" spans="1:72" ht="43.5" x14ac:dyDescent="0.35">
      <c r="A155" s="5">
        <v>154</v>
      </c>
      <c r="B155" s="5"/>
      <c r="C155" s="5" t="s">
        <v>78</v>
      </c>
      <c r="D155" s="5">
        <v>8</v>
      </c>
      <c r="E155" s="5">
        <v>48</v>
      </c>
      <c r="F155" s="8" t="s">
        <v>514</v>
      </c>
      <c r="G155" s="8"/>
      <c r="H155" s="5" t="s">
        <v>332</v>
      </c>
      <c r="I155" s="5" t="str" cm="1">
        <f t="array" ref="I155">_xlfn.IFS(
  H155="Mahuva", "Mahuva",
  H155="Jesar", "Mahuva",
  H155="Palitana", "Palitana",
  H155="Gariyadhar", "Palitana",
  H155="Talaja", "Talaja",
  H155="Vallabhipur", "Vallabhipur",
  H155="Umrala", "Vallabhipur",
  H155="Shihor", "Shihor",
  H155="Ghogha", "Bhavnagar",
  H155="Bhavnagar", "Bhavnagar"
)</f>
        <v>Bhavnagar</v>
      </c>
      <c r="J155" s="5" t="s">
        <v>256</v>
      </c>
      <c r="K155" s="5" t="s">
        <v>418</v>
      </c>
      <c r="L155" s="5">
        <v>199648</v>
      </c>
      <c r="M155" s="5"/>
      <c r="N155" s="7">
        <v>45837</v>
      </c>
      <c r="O155" s="7">
        <v>45848</v>
      </c>
      <c r="P155" s="7">
        <v>45849</v>
      </c>
      <c r="Q155" s="7">
        <f t="shared" si="27"/>
        <v>45968</v>
      </c>
      <c r="R155" s="9">
        <v>2079935.08</v>
      </c>
      <c r="S155" s="33"/>
      <c r="T155" s="9">
        <v>2036048.45</v>
      </c>
      <c r="U155" s="10">
        <v>-2.11</v>
      </c>
      <c r="V155" s="10" t="str">
        <f t="shared" si="28"/>
        <v>Below</v>
      </c>
      <c r="W155" s="11" t="str" cm="1">
        <f t="array" ref="W155">NumberToWords(T155)</f>
        <v>Twenty Lakh Thirty Six Thousand Forty Eight Rupees and Forty Five Paise Only</v>
      </c>
      <c r="X155" s="10" t="str">
        <f t="shared" si="29"/>
        <v>Division</v>
      </c>
      <c r="Z155" s="9">
        <f t="shared" si="30"/>
        <v>2036048.45</v>
      </c>
      <c r="AA155" s="5" t="s">
        <v>400</v>
      </c>
      <c r="AB155" s="8" t="str">
        <f>_xlfn.XLOOKUP(AA155, 'Agency List'!A$2:A$145, 'Agency List'!B$2:B$145, "Not Found")</f>
        <v>PARTH Kiritkumar MEHTA</v>
      </c>
      <c r="AC155" s="8" t="str">
        <f>_xlfn.XLOOKUP(AA155, 'Agency List'!A$2:A$145, 'Agency List'!C$2:C$145, "Not Found")</f>
        <v>Plot No. 1578/I, New Champa Tenament, Divadi Road, Rupani Circle, Bhavnagar - 364002</v>
      </c>
      <c r="AD155" s="8">
        <f>_xlfn.XLOOKUP(AA155, 'Agency List'!A$2:A$145, 'Agency List'!D$2:D$145, "Not Found")</f>
        <v>7990934709</v>
      </c>
      <c r="AE155" s="7"/>
      <c r="AF155" s="5" t="s">
        <v>357</v>
      </c>
      <c r="AG155" s="5" t="str">
        <f t="shared" si="31"/>
        <v>Bandhkam</v>
      </c>
      <c r="AH155" s="5"/>
      <c r="AI155" s="8"/>
      <c r="AJ155" s="8"/>
      <c r="AL155" s="16">
        <v>4</v>
      </c>
      <c r="AM155" s="12">
        <f t="shared" si="32"/>
        <v>102000</v>
      </c>
      <c r="AN155" s="7">
        <f t="shared" si="33"/>
        <v>46515</v>
      </c>
      <c r="AO155" s="12">
        <f t="shared" si="34"/>
        <v>5000</v>
      </c>
      <c r="AP155" s="12">
        <f t="shared" si="35"/>
        <v>0</v>
      </c>
      <c r="AQ155" s="15">
        <f t="shared" si="36"/>
        <v>46100</v>
      </c>
      <c r="AR155" s="7">
        <f t="shared" si="37"/>
        <v>46455</v>
      </c>
      <c r="AS155" s="5">
        <v>1114</v>
      </c>
      <c r="AT155" s="7">
        <v>45877</v>
      </c>
      <c r="AU155" s="5" t="s">
        <v>78</v>
      </c>
      <c r="AV155" s="17">
        <v>188</v>
      </c>
      <c r="AW155" s="19">
        <v>45943</v>
      </c>
      <c r="AX155" s="5" t="s">
        <v>355</v>
      </c>
      <c r="AY155" s="5" t="s">
        <v>369</v>
      </c>
      <c r="AZ155" s="13">
        <v>44461406656</v>
      </c>
      <c r="BA155" s="12">
        <v>102000</v>
      </c>
      <c r="BB155" s="7">
        <v>45911</v>
      </c>
      <c r="BC155" s="14"/>
      <c r="BD155" s="14"/>
      <c r="BF155" s="12"/>
      <c r="BG155" s="14"/>
      <c r="BH155" s="19">
        <v>45945</v>
      </c>
      <c r="BI155" s="5">
        <v>1472</v>
      </c>
      <c r="BJ155" s="19">
        <v>45943</v>
      </c>
      <c r="BM155" s="18"/>
      <c r="BN155" s="18"/>
      <c r="BO155" s="18"/>
      <c r="BP155" s="18"/>
      <c r="BQ155" s="5"/>
      <c r="BR155" s="18"/>
      <c r="BS155" s="18"/>
      <c r="BT155" s="35">
        <f t="shared" si="38"/>
        <v>46065</v>
      </c>
    </row>
    <row r="156" spans="1:72" ht="72.5" x14ac:dyDescent="0.35">
      <c r="A156" s="5">
        <v>155</v>
      </c>
      <c r="B156" s="5"/>
      <c r="C156" s="5" t="s">
        <v>78</v>
      </c>
      <c r="D156" s="5">
        <v>8</v>
      </c>
      <c r="E156" s="5">
        <v>49</v>
      </c>
      <c r="F156" s="8" t="s">
        <v>515</v>
      </c>
      <c r="G156" s="8"/>
      <c r="H156" s="5" t="s">
        <v>12</v>
      </c>
      <c r="I156" s="5" t="str" cm="1">
        <f t="array" ref="I156">_xlfn.IFS(
  H156="Mahuva", "Mahuva",
  H156="Jesar", "Mahuva",
  H156="Palitana", "Palitana",
  H156="Gariyadhar", "Palitana",
  H156="Talaja", "Talaja",
  H156="Vallabhipur", "Vallabhipur",
  H156="Umrala", "Vallabhipur",
  H156="Shihor", "Shihor",
  H156="Ghogha", "Bhavnagar",
  H156="Bhavnagar", "Bhavnagar"
)</f>
        <v>Mahuva</v>
      </c>
      <c r="J156" s="5" t="s">
        <v>256</v>
      </c>
      <c r="K156" s="5" t="s">
        <v>418</v>
      </c>
      <c r="L156" s="5">
        <v>199649</v>
      </c>
      <c r="M156" s="5"/>
      <c r="N156" s="7">
        <v>45837</v>
      </c>
      <c r="O156" s="7">
        <v>45848</v>
      </c>
      <c r="P156" s="7">
        <v>45849</v>
      </c>
      <c r="Q156" s="7">
        <f t="shared" si="27"/>
        <v>45968</v>
      </c>
      <c r="R156" s="9">
        <v>2079935.08</v>
      </c>
      <c r="S156" s="33"/>
      <c r="T156" s="9">
        <v>1944947.29</v>
      </c>
      <c r="U156" s="10">
        <v>-6.49</v>
      </c>
      <c r="V156" s="10" t="str">
        <f t="shared" si="28"/>
        <v>Below</v>
      </c>
      <c r="W156" s="11" t="str" cm="1">
        <f t="array" ref="W156">NumberToWords(T156)</f>
        <v>Nineteen Lakh Forty Four Thousand Nine Hundred Forty Seven Rupees and Twenty Nine Paise Only</v>
      </c>
      <c r="X156" s="10" t="str">
        <f t="shared" si="29"/>
        <v>Division</v>
      </c>
      <c r="Z156" s="9">
        <f t="shared" si="30"/>
        <v>1944947.29</v>
      </c>
      <c r="AA156" s="5" t="s">
        <v>396</v>
      </c>
      <c r="AB156" s="8" t="str">
        <f>_xlfn.XLOOKUP(AA156, 'Agency List'!A$2:A$145, 'Agency List'!B$2:B$145, "Not Found")</f>
        <v>KISHANKUMAR PATABHAI KALSARIYA</v>
      </c>
      <c r="AC156" s="8" t="str">
        <f>_xlfn.XLOOKUP(AA156, 'Agency List'!A$2:A$145, 'Agency List'!C$2:C$145, "Not Found")</f>
        <v>Survey No. 374 P/A 2-16, Office No. 2, Left side of Entry Gate of Balkrushna Campus, Gir Gadhada Road, At. Una, Taluka Una, Dist. Gir Somnath - 362560</v>
      </c>
      <c r="AD156" s="8">
        <f>_xlfn.XLOOKUP(AA156, 'Agency List'!A$2:A$145, 'Agency List'!D$2:D$145, "Not Found")</f>
        <v>9824251035</v>
      </c>
      <c r="AE156" s="7"/>
      <c r="AF156" s="5" t="s">
        <v>357</v>
      </c>
      <c r="AG156" s="5" t="str">
        <f t="shared" si="31"/>
        <v>Bandhkam</v>
      </c>
      <c r="AH156" s="5"/>
      <c r="AI156" s="8"/>
      <c r="AJ156" s="8"/>
      <c r="AL156" s="16">
        <v>4</v>
      </c>
      <c r="AM156" s="12">
        <f t="shared" si="32"/>
        <v>98000</v>
      </c>
      <c r="AN156" s="7">
        <f t="shared" si="33"/>
        <v>46469</v>
      </c>
      <c r="AO156" s="12">
        <f t="shared" si="34"/>
        <v>4900</v>
      </c>
      <c r="AP156" s="12">
        <f t="shared" si="35"/>
        <v>0</v>
      </c>
      <c r="AQ156" s="15">
        <f t="shared" si="36"/>
        <v>46054</v>
      </c>
      <c r="AR156" s="7">
        <f t="shared" si="37"/>
        <v>46409</v>
      </c>
      <c r="AS156" s="5">
        <v>1115</v>
      </c>
      <c r="AT156" s="7">
        <v>45877</v>
      </c>
      <c r="AU156" s="5" t="s">
        <v>78</v>
      </c>
      <c r="AV156" s="17">
        <v>123</v>
      </c>
      <c r="AW156" s="37">
        <v>45899</v>
      </c>
      <c r="AX156" s="5" t="s">
        <v>355</v>
      </c>
      <c r="AY156" s="5" t="s">
        <v>605</v>
      </c>
      <c r="AZ156" s="45" t="s">
        <v>696</v>
      </c>
      <c r="BA156" s="12">
        <v>98000</v>
      </c>
      <c r="BB156" s="7">
        <v>45889</v>
      </c>
      <c r="BC156" s="14"/>
      <c r="BD156" s="14"/>
      <c r="BF156" s="12"/>
      <c r="BG156" s="14"/>
      <c r="BH156" s="37">
        <v>45899</v>
      </c>
      <c r="BI156" s="5">
        <v>1228</v>
      </c>
      <c r="BJ156" s="19">
        <v>45899</v>
      </c>
      <c r="BM156" s="18"/>
      <c r="BN156" s="18"/>
      <c r="BO156" s="18"/>
      <c r="BP156" s="18"/>
      <c r="BQ156" s="5"/>
      <c r="BR156" s="18"/>
      <c r="BS156" s="18"/>
      <c r="BT156" s="35">
        <f t="shared" si="38"/>
        <v>46019</v>
      </c>
    </row>
    <row r="157" spans="1:72" ht="29" x14ac:dyDescent="0.35">
      <c r="A157" s="5">
        <v>156</v>
      </c>
      <c r="B157" s="5"/>
      <c r="C157" s="5" t="s">
        <v>78</v>
      </c>
      <c r="D157" s="5">
        <v>8</v>
      </c>
      <c r="E157" s="5">
        <v>50</v>
      </c>
      <c r="F157" s="8"/>
      <c r="G157" s="8"/>
      <c r="H157" s="5"/>
      <c r="I157" s="5" t="e" cm="1">
        <f t="array" ref="I157">_xlfn.IFS(
  H157="Mahuva", "Mahuva",
  H157="Jesar", "Mahuva",
  H157="Palitana", "Palitana",
  H157="Gariyadhar", "Palitana",
  H157="Talaja", "Talaja",
  H157="Vallabhipur", "Vallabhipur",
  H157="Umrala", "Vallabhipur",
  H157="Shihor", "Shihor",
  H157="Ghogha", "Bhavnagar",
  H157="Bhavnagar", "Bhavnagar"
)</f>
        <v>#N/A</v>
      </c>
      <c r="J157" s="5" t="s">
        <v>256</v>
      </c>
      <c r="K157" s="5" t="s">
        <v>418</v>
      </c>
      <c r="M157" s="5"/>
      <c r="N157" s="7">
        <v>45837</v>
      </c>
      <c r="O157" s="7">
        <v>45848</v>
      </c>
      <c r="P157" s="7">
        <v>45849</v>
      </c>
      <c r="Q157" s="7">
        <f t="shared" si="27"/>
        <v>45968</v>
      </c>
      <c r="S157" s="33" t="s">
        <v>233</v>
      </c>
      <c r="U157" s="10"/>
      <c r="V157" s="10" t="str">
        <f t="shared" si="28"/>
        <v>Equals</v>
      </c>
      <c r="W157" s="11" t="str" cm="1">
        <f t="array" ref="W157">NumberToWords(T157)</f>
        <v>Zero Rupees Only</v>
      </c>
      <c r="X157" s="10" t="str">
        <f t="shared" si="29"/>
        <v>Division</v>
      </c>
      <c r="Z157" s="9">
        <f t="shared" si="30"/>
        <v>0</v>
      </c>
      <c r="AB157" s="8">
        <f>_xlfn.XLOOKUP(AA157, 'Agency List'!A$2:A$145, 'Agency List'!B$2:B$145, "Not Found")</f>
        <v>0</v>
      </c>
      <c r="AC157" s="8">
        <f>_xlfn.XLOOKUP(AA157, 'Agency List'!A$2:A$145, 'Agency List'!C$2:C$145, "Not Found")</f>
        <v>0</v>
      </c>
      <c r="AD157" s="8">
        <f>_xlfn.XLOOKUP(AA157, 'Agency List'!A$2:A$145, 'Agency List'!D$2:D$145, "Not Found")</f>
        <v>0</v>
      </c>
      <c r="AE157" s="7"/>
      <c r="AF157" s="5"/>
      <c r="AG157" s="5" t="str">
        <f t="shared" si="31"/>
        <v>Bandhkam</v>
      </c>
      <c r="AH157" s="5"/>
      <c r="AI157" s="8"/>
      <c r="AJ157" s="8"/>
      <c r="AL157" s="16"/>
      <c r="AM157" s="12">
        <f t="shared" si="32"/>
        <v>0</v>
      </c>
      <c r="AN157" s="7">
        <f t="shared" si="33"/>
        <v>46334</v>
      </c>
      <c r="AO157" s="12">
        <f t="shared" si="34"/>
        <v>0</v>
      </c>
      <c r="AP157" s="12">
        <f t="shared" si="35"/>
        <v>0</v>
      </c>
      <c r="AQ157" s="15">
        <f t="shared" si="36"/>
        <v>45919</v>
      </c>
      <c r="AR157" s="7">
        <f t="shared" si="37"/>
        <v>46274</v>
      </c>
      <c r="AS157" s="5"/>
      <c r="AU157" s="5"/>
      <c r="AV157" s="17"/>
      <c r="AW157" s="17"/>
      <c r="AX157" s="5"/>
      <c r="AY157" s="5"/>
      <c r="AZ157" s="13"/>
      <c r="BA157" s="12"/>
      <c r="BB157" s="7"/>
      <c r="BC157" s="14"/>
      <c r="BD157" s="14"/>
      <c r="BF157" s="12"/>
      <c r="BG157" s="14"/>
      <c r="BH157" s="19">
        <v>45884</v>
      </c>
      <c r="BI157" s="5"/>
      <c r="BM157" s="18"/>
      <c r="BN157" s="18"/>
      <c r="BO157" s="18"/>
      <c r="BP157" s="18"/>
      <c r="BQ157" s="5"/>
      <c r="BR157" s="18"/>
      <c r="BS157" s="18"/>
      <c r="BT157" s="35">
        <f t="shared" si="38"/>
        <v>45884</v>
      </c>
    </row>
    <row r="158" spans="1:72" ht="29" x14ac:dyDescent="0.35">
      <c r="A158" s="5">
        <v>157</v>
      </c>
      <c r="B158" s="5"/>
      <c r="C158" s="5" t="s">
        <v>78</v>
      </c>
      <c r="D158" s="5">
        <v>8</v>
      </c>
      <c r="E158" s="5">
        <v>51</v>
      </c>
      <c r="F158" s="8"/>
      <c r="G158" s="8"/>
      <c r="H158" s="5"/>
      <c r="I158" s="5" t="e" cm="1">
        <f t="array" ref="I158">_xlfn.IFS(
  H158="Mahuva", "Mahuva",
  H158="Jesar", "Mahuva",
  H158="Palitana", "Palitana",
  H158="Gariyadhar", "Palitana",
  H158="Talaja", "Talaja",
  H158="Vallabhipur", "Vallabhipur",
  H158="Umrala", "Vallabhipur",
  H158="Shihor", "Shihor",
  H158="Ghogha", "Bhavnagar",
  H158="Bhavnagar", "Bhavnagar"
)</f>
        <v>#N/A</v>
      </c>
      <c r="J158" s="5" t="s">
        <v>256</v>
      </c>
      <c r="K158" s="5" t="s">
        <v>418</v>
      </c>
      <c r="M158" s="5"/>
      <c r="N158" s="7">
        <v>45837</v>
      </c>
      <c r="O158" s="7">
        <v>45848</v>
      </c>
      <c r="P158" s="7">
        <v>45849</v>
      </c>
      <c r="Q158" s="7">
        <f t="shared" si="27"/>
        <v>45968</v>
      </c>
      <c r="S158" s="33" t="s">
        <v>233</v>
      </c>
      <c r="U158" s="10"/>
      <c r="V158" s="10" t="str">
        <f t="shared" si="28"/>
        <v>Equals</v>
      </c>
      <c r="W158" s="11" t="str" cm="1">
        <f t="array" ref="W158">NumberToWords(T158)</f>
        <v>Zero Rupees Only</v>
      </c>
      <c r="X158" s="10" t="str">
        <f t="shared" si="29"/>
        <v>Division</v>
      </c>
      <c r="Z158" s="9">
        <f t="shared" si="30"/>
        <v>0</v>
      </c>
      <c r="AB158" s="8">
        <f>_xlfn.XLOOKUP(AA158, 'Agency List'!A$2:A$145, 'Agency List'!B$2:B$145, "Not Found")</f>
        <v>0</v>
      </c>
      <c r="AC158" s="8">
        <f>_xlfn.XLOOKUP(AA158, 'Agency List'!A$2:A$145, 'Agency List'!C$2:C$145, "Not Found")</f>
        <v>0</v>
      </c>
      <c r="AD158" s="8">
        <f>_xlfn.XLOOKUP(AA158, 'Agency List'!A$2:A$145, 'Agency List'!D$2:D$145, "Not Found")</f>
        <v>0</v>
      </c>
      <c r="AE158" s="7"/>
      <c r="AF158" s="5"/>
      <c r="AG158" s="5" t="str">
        <f t="shared" si="31"/>
        <v>Bandhkam</v>
      </c>
      <c r="AH158" s="5"/>
      <c r="AI158" s="8"/>
      <c r="AJ158" s="8"/>
      <c r="AL158" s="16"/>
      <c r="AM158" s="12">
        <f t="shared" si="32"/>
        <v>0</v>
      </c>
      <c r="AN158" s="7">
        <f t="shared" si="33"/>
        <v>46334</v>
      </c>
      <c r="AO158" s="12">
        <f t="shared" si="34"/>
        <v>0</v>
      </c>
      <c r="AP158" s="12">
        <f t="shared" si="35"/>
        <v>0</v>
      </c>
      <c r="AQ158" s="15">
        <f t="shared" si="36"/>
        <v>45919</v>
      </c>
      <c r="AR158" s="7">
        <f t="shared" si="37"/>
        <v>46274</v>
      </c>
      <c r="AS158" s="5"/>
      <c r="AU158" s="5"/>
      <c r="AV158" s="17"/>
      <c r="AW158" s="17"/>
      <c r="AX158" s="5"/>
      <c r="AY158" s="5"/>
      <c r="AZ158" s="13"/>
      <c r="BA158" s="12"/>
      <c r="BB158" s="7"/>
      <c r="BC158" s="14"/>
      <c r="BD158" s="14"/>
      <c r="BF158" s="12"/>
      <c r="BG158" s="14"/>
      <c r="BH158" s="19">
        <v>45884</v>
      </c>
      <c r="BI158" s="5"/>
      <c r="BM158" s="18"/>
      <c r="BN158" s="18"/>
      <c r="BO158" s="18"/>
      <c r="BP158" s="18"/>
      <c r="BQ158" s="5"/>
      <c r="BR158" s="18"/>
      <c r="BS158" s="18"/>
      <c r="BT158" s="35">
        <f t="shared" si="38"/>
        <v>45884</v>
      </c>
    </row>
    <row r="159" spans="1:72" ht="29" x14ac:dyDescent="0.35">
      <c r="A159" s="5">
        <v>158</v>
      </c>
      <c r="B159" s="5"/>
      <c r="C159" s="5" t="s">
        <v>78</v>
      </c>
      <c r="D159" s="5">
        <v>8</v>
      </c>
      <c r="E159" s="5">
        <v>52</v>
      </c>
      <c r="F159" s="8"/>
      <c r="G159" s="8"/>
      <c r="H159" s="5"/>
      <c r="I159" s="5" t="e" cm="1">
        <f t="array" ref="I159">_xlfn.IFS(
  H159="Mahuva", "Mahuva",
  H159="Jesar", "Mahuva",
  H159="Palitana", "Palitana",
  H159="Gariyadhar", "Palitana",
  H159="Talaja", "Talaja",
  H159="Vallabhipur", "Vallabhipur",
  H159="Umrala", "Vallabhipur",
  H159="Shihor", "Shihor",
  H159="Ghogha", "Bhavnagar",
  H159="Bhavnagar", "Bhavnagar"
)</f>
        <v>#N/A</v>
      </c>
      <c r="J159" s="5" t="s">
        <v>256</v>
      </c>
      <c r="K159" s="5" t="s">
        <v>418</v>
      </c>
      <c r="M159" s="5"/>
      <c r="N159" s="7">
        <v>45837</v>
      </c>
      <c r="O159" s="7">
        <v>45848</v>
      </c>
      <c r="P159" s="7">
        <v>45849</v>
      </c>
      <c r="Q159" s="7">
        <f t="shared" si="27"/>
        <v>45968</v>
      </c>
      <c r="S159" s="33" t="s">
        <v>233</v>
      </c>
      <c r="U159" s="10"/>
      <c r="V159" s="10" t="str">
        <f t="shared" si="28"/>
        <v>Equals</v>
      </c>
      <c r="W159" s="11" t="str" cm="1">
        <f t="array" ref="W159">NumberToWords(T159)</f>
        <v>Zero Rupees Only</v>
      </c>
      <c r="X159" s="10" t="str">
        <f t="shared" si="29"/>
        <v>Division</v>
      </c>
      <c r="Z159" s="9">
        <f t="shared" si="30"/>
        <v>0</v>
      </c>
      <c r="AB159" s="8">
        <f>_xlfn.XLOOKUP(AA159, 'Agency List'!A$2:A$145, 'Agency List'!B$2:B$145, "Not Found")</f>
        <v>0</v>
      </c>
      <c r="AC159" s="8">
        <f>_xlfn.XLOOKUP(AA159, 'Agency List'!A$2:A$145, 'Agency List'!C$2:C$145, "Not Found")</f>
        <v>0</v>
      </c>
      <c r="AD159" s="8">
        <f>_xlfn.XLOOKUP(AA159, 'Agency List'!A$2:A$145, 'Agency List'!D$2:D$145, "Not Found")</f>
        <v>0</v>
      </c>
      <c r="AE159" s="7"/>
      <c r="AF159" s="5"/>
      <c r="AG159" s="5" t="str">
        <f t="shared" si="31"/>
        <v>Bandhkam</v>
      </c>
      <c r="AH159" s="5"/>
      <c r="AI159" s="8"/>
      <c r="AJ159" s="8"/>
      <c r="AL159" s="16"/>
      <c r="AM159" s="12">
        <f t="shared" si="32"/>
        <v>0</v>
      </c>
      <c r="AN159" s="7">
        <f t="shared" si="33"/>
        <v>46334</v>
      </c>
      <c r="AO159" s="12">
        <f t="shared" si="34"/>
        <v>0</v>
      </c>
      <c r="AP159" s="12">
        <f t="shared" si="35"/>
        <v>0</v>
      </c>
      <c r="AQ159" s="15">
        <f t="shared" si="36"/>
        <v>45919</v>
      </c>
      <c r="AR159" s="7">
        <f t="shared" si="37"/>
        <v>46274</v>
      </c>
      <c r="AS159" s="5"/>
      <c r="AU159" s="5"/>
      <c r="AV159" s="17"/>
      <c r="AW159" s="17"/>
      <c r="AX159" s="5"/>
      <c r="AY159" s="5"/>
      <c r="AZ159" s="13"/>
      <c r="BA159" s="12"/>
      <c r="BB159" s="7"/>
      <c r="BC159" s="14"/>
      <c r="BD159" s="14"/>
      <c r="BF159" s="12"/>
      <c r="BG159" s="14"/>
      <c r="BH159" s="19">
        <v>45884</v>
      </c>
      <c r="BI159" s="5"/>
      <c r="BM159" s="18"/>
      <c r="BN159" s="18"/>
      <c r="BO159" s="18"/>
      <c r="BP159" s="18"/>
      <c r="BQ159" s="5"/>
      <c r="BR159" s="18"/>
      <c r="BS159" s="18"/>
      <c r="BT159" s="35">
        <f t="shared" si="38"/>
        <v>45884</v>
      </c>
    </row>
    <row r="160" spans="1:72" ht="29" x14ac:dyDescent="0.35">
      <c r="A160" s="5">
        <v>159</v>
      </c>
      <c r="B160" s="5"/>
      <c r="C160" s="5" t="s">
        <v>78</v>
      </c>
      <c r="D160" s="5">
        <v>8</v>
      </c>
      <c r="E160" s="5">
        <v>53</v>
      </c>
      <c r="F160" s="8"/>
      <c r="G160" s="8"/>
      <c r="H160" s="5"/>
      <c r="I160" s="5" t="e" cm="1">
        <f t="array" ref="I160">_xlfn.IFS(
  H160="Mahuva", "Mahuva",
  H160="Jesar", "Mahuva",
  H160="Palitana", "Palitana",
  H160="Gariyadhar", "Palitana",
  H160="Talaja", "Talaja",
  H160="Vallabhipur", "Vallabhipur",
  H160="Umrala", "Vallabhipur",
  H160="Shihor", "Shihor",
  H160="Ghogha", "Bhavnagar",
  H160="Bhavnagar", "Bhavnagar"
)</f>
        <v>#N/A</v>
      </c>
      <c r="J160" s="5" t="s">
        <v>256</v>
      </c>
      <c r="K160" s="5" t="s">
        <v>418</v>
      </c>
      <c r="M160" s="5"/>
      <c r="N160" s="7">
        <v>45837</v>
      </c>
      <c r="O160" s="7">
        <v>45848</v>
      </c>
      <c r="P160" s="7">
        <v>45849</v>
      </c>
      <c r="Q160" s="7">
        <f t="shared" si="27"/>
        <v>45968</v>
      </c>
      <c r="S160" s="33" t="s">
        <v>233</v>
      </c>
      <c r="U160" s="10"/>
      <c r="V160" s="10" t="str">
        <f t="shared" si="28"/>
        <v>Equals</v>
      </c>
      <c r="W160" s="11" t="str" cm="1">
        <f t="array" ref="W160">NumberToWords(T160)</f>
        <v>Zero Rupees Only</v>
      </c>
      <c r="X160" s="10" t="str">
        <f t="shared" si="29"/>
        <v>Division</v>
      </c>
      <c r="Z160" s="9">
        <f t="shared" si="30"/>
        <v>0</v>
      </c>
      <c r="AB160" s="8">
        <f>_xlfn.XLOOKUP(AA160, 'Agency List'!A$2:A$145, 'Agency List'!B$2:B$145, "Not Found")</f>
        <v>0</v>
      </c>
      <c r="AC160" s="8">
        <f>_xlfn.XLOOKUP(AA160, 'Agency List'!A$2:A$145, 'Agency List'!C$2:C$145, "Not Found")</f>
        <v>0</v>
      </c>
      <c r="AD160" s="8">
        <f>_xlfn.XLOOKUP(AA160, 'Agency List'!A$2:A$145, 'Agency List'!D$2:D$145, "Not Found")</f>
        <v>0</v>
      </c>
      <c r="AE160" s="7"/>
      <c r="AF160" s="5"/>
      <c r="AG160" s="5" t="str">
        <f t="shared" si="31"/>
        <v>Bandhkam</v>
      </c>
      <c r="AH160" s="5"/>
      <c r="AI160" s="8"/>
      <c r="AJ160" s="8"/>
      <c r="AL160" s="16"/>
      <c r="AM160" s="12">
        <f t="shared" si="32"/>
        <v>0</v>
      </c>
      <c r="AN160" s="7">
        <f t="shared" si="33"/>
        <v>46334</v>
      </c>
      <c r="AO160" s="12">
        <f t="shared" si="34"/>
        <v>0</v>
      </c>
      <c r="AP160" s="12">
        <f t="shared" si="35"/>
        <v>0</v>
      </c>
      <c r="AQ160" s="15">
        <f t="shared" si="36"/>
        <v>45919</v>
      </c>
      <c r="AR160" s="7">
        <f t="shared" si="37"/>
        <v>46274</v>
      </c>
      <c r="AS160" s="5"/>
      <c r="AU160" s="5"/>
      <c r="AV160" s="17"/>
      <c r="AW160" s="17"/>
      <c r="AX160" s="5"/>
      <c r="AY160" s="5"/>
      <c r="AZ160" s="13"/>
      <c r="BA160" s="12"/>
      <c r="BB160" s="7"/>
      <c r="BC160" s="14"/>
      <c r="BD160" s="14"/>
      <c r="BF160" s="12"/>
      <c r="BG160" s="14"/>
      <c r="BH160" s="19">
        <v>45884</v>
      </c>
      <c r="BI160" s="5"/>
      <c r="BM160" s="18"/>
      <c r="BN160" s="18"/>
      <c r="BO160" s="18"/>
      <c r="BP160" s="18"/>
      <c r="BQ160" s="5"/>
      <c r="BR160" s="18"/>
      <c r="BS160" s="18"/>
      <c r="BT160" s="35">
        <f t="shared" si="38"/>
        <v>45884</v>
      </c>
    </row>
    <row r="161" spans="1:72" ht="43.5" x14ac:dyDescent="0.35">
      <c r="A161" s="5">
        <v>160</v>
      </c>
      <c r="B161" s="5"/>
      <c r="C161" s="5" t="s">
        <v>78</v>
      </c>
      <c r="D161" s="5">
        <v>8</v>
      </c>
      <c r="E161" s="5">
        <v>54</v>
      </c>
      <c r="F161" s="8" t="s">
        <v>516</v>
      </c>
      <c r="G161" s="8"/>
      <c r="H161" s="5" t="s">
        <v>12</v>
      </c>
      <c r="I161" s="5" t="str" cm="1">
        <f t="array" ref="I161">_xlfn.IFS(
  H161="Mahuva", "Mahuva",
  H161="Jesar", "Mahuva",
  H161="Palitana", "Palitana",
  H161="Gariyadhar", "Palitana",
  H161="Talaja", "Talaja",
  H161="Vallabhipur", "Vallabhipur",
  H161="Umrala", "Vallabhipur",
  H161="Shihor", "Shihor",
  H161="Ghogha", "Bhavnagar",
  H161="Bhavnagar", "Bhavnagar"
)</f>
        <v>Mahuva</v>
      </c>
      <c r="J161" s="5" t="s">
        <v>256</v>
      </c>
      <c r="K161" s="5" t="s">
        <v>418</v>
      </c>
      <c r="L161" s="5">
        <v>199654</v>
      </c>
      <c r="M161" s="5"/>
      <c r="N161" s="7">
        <v>45837</v>
      </c>
      <c r="O161" s="7">
        <v>45848</v>
      </c>
      <c r="P161" s="7">
        <v>45849</v>
      </c>
      <c r="Q161" s="7">
        <f t="shared" si="27"/>
        <v>45968</v>
      </c>
      <c r="R161" s="9">
        <v>2079935.08</v>
      </c>
      <c r="S161" s="33"/>
      <c r="T161" s="9">
        <v>1874021.51</v>
      </c>
      <c r="U161" s="10">
        <v>-9.9</v>
      </c>
      <c r="V161" s="10" t="str">
        <f t="shared" si="28"/>
        <v>Below</v>
      </c>
      <c r="W161" s="11" t="str" cm="1">
        <f t="array" ref="W161">NumberToWords(T161)</f>
        <v>Eighteen Lakh Seventy Four Thousand Twenty One Rupees and Fifty One Paise Only</v>
      </c>
      <c r="X161" s="10" t="str">
        <f t="shared" si="29"/>
        <v>Division</v>
      </c>
      <c r="Z161" s="9">
        <f t="shared" si="30"/>
        <v>1874021.51</v>
      </c>
      <c r="AA161" s="5" t="s">
        <v>392</v>
      </c>
      <c r="AB161" s="8" t="str">
        <f>_xlfn.XLOOKUP(AA161, 'Agency List'!A$2:A$145, 'Agency List'!B$2:B$145, "Not Found")</f>
        <v>Labhshankar ladhva</v>
      </c>
      <c r="AC161" s="8" t="str">
        <f>_xlfn.XLOOKUP(AA161, 'Agency List'!A$2:A$145, 'Agency List'!C$2:C$145, "Not Found")</f>
        <v>At Po. Karmadiya, Via Thaliya, Ta. Mahuva, Dist. Bhavnagar - 364145</v>
      </c>
      <c r="AD161" s="8">
        <f>_xlfn.XLOOKUP(AA161, 'Agency List'!A$2:A$145, 'Agency List'!D$2:D$145, "Not Found")</f>
        <v>9825445121</v>
      </c>
      <c r="AE161" s="7"/>
      <c r="AF161" s="5" t="s">
        <v>357</v>
      </c>
      <c r="AG161" s="5" t="str">
        <f t="shared" si="31"/>
        <v>Bandhkam</v>
      </c>
      <c r="AH161" s="5"/>
      <c r="AI161" s="8"/>
      <c r="AJ161" s="8"/>
      <c r="AL161" s="16">
        <v>4</v>
      </c>
      <c r="AM161" s="12">
        <f t="shared" si="32"/>
        <v>94000</v>
      </c>
      <c r="AN161" s="7">
        <f t="shared" si="33"/>
        <v>46501</v>
      </c>
      <c r="AO161" s="12">
        <f t="shared" si="34"/>
        <v>4700</v>
      </c>
      <c r="AP161" s="12">
        <f t="shared" si="35"/>
        <v>0</v>
      </c>
      <c r="AQ161" s="15">
        <f t="shared" si="36"/>
        <v>46086</v>
      </c>
      <c r="AR161" s="7">
        <f t="shared" si="37"/>
        <v>46441</v>
      </c>
      <c r="AS161" s="5">
        <v>1116</v>
      </c>
      <c r="AT161" s="7">
        <v>45877</v>
      </c>
      <c r="AU161" s="5" t="s">
        <v>78</v>
      </c>
      <c r="AV161" s="17">
        <v>169</v>
      </c>
      <c r="AW161" s="37">
        <v>45931</v>
      </c>
      <c r="AX161" s="5" t="s">
        <v>355</v>
      </c>
      <c r="AY161" s="5" t="s">
        <v>356</v>
      </c>
      <c r="AZ161" s="13">
        <v>78048996947</v>
      </c>
      <c r="BA161" s="12">
        <v>94000</v>
      </c>
      <c r="BB161" s="7">
        <v>45887</v>
      </c>
      <c r="BC161" s="14"/>
      <c r="BD161" s="14"/>
      <c r="BF161" s="12"/>
      <c r="BG161" s="14"/>
      <c r="BH161" s="37">
        <v>45931</v>
      </c>
      <c r="BI161" s="5">
        <v>1409</v>
      </c>
      <c r="BJ161" s="37">
        <v>45931</v>
      </c>
      <c r="BM161" s="18"/>
      <c r="BN161" s="18"/>
      <c r="BO161" s="18"/>
      <c r="BP161" s="18"/>
      <c r="BQ161" s="5"/>
      <c r="BR161" s="18"/>
      <c r="BS161" s="18"/>
      <c r="BT161" s="35">
        <f t="shared" si="38"/>
        <v>46051</v>
      </c>
    </row>
    <row r="162" spans="1:72" ht="29" x14ac:dyDescent="0.35">
      <c r="A162" s="5">
        <v>161</v>
      </c>
      <c r="B162" s="5"/>
      <c r="C162" s="5" t="s">
        <v>78</v>
      </c>
      <c r="D162" s="5">
        <v>8</v>
      </c>
      <c r="E162" s="5">
        <v>55</v>
      </c>
      <c r="F162" s="8"/>
      <c r="G162" s="8"/>
      <c r="H162" s="5"/>
      <c r="I162" s="5" t="e" cm="1">
        <f t="array" ref="I162">_xlfn.IFS(
  H162="Mahuva", "Mahuva",
  H162="Jesar", "Mahuva",
  H162="Palitana", "Palitana",
  H162="Gariyadhar", "Palitana",
  H162="Talaja", "Talaja",
  H162="Vallabhipur", "Vallabhipur",
  H162="Umrala", "Vallabhipur",
  H162="Shihor", "Shihor",
  H162="Ghogha", "Bhavnagar",
  H162="Bhavnagar", "Bhavnagar"
)</f>
        <v>#N/A</v>
      </c>
      <c r="J162" s="5" t="s">
        <v>256</v>
      </c>
      <c r="K162" s="5" t="s">
        <v>418</v>
      </c>
      <c r="M162" s="5"/>
      <c r="N162" s="7">
        <v>45837</v>
      </c>
      <c r="O162" s="7">
        <v>45848</v>
      </c>
      <c r="P162" s="7">
        <v>45849</v>
      </c>
      <c r="Q162" s="7">
        <f t="shared" si="27"/>
        <v>45968</v>
      </c>
      <c r="S162" s="33" t="s">
        <v>233</v>
      </c>
      <c r="U162" s="10"/>
      <c r="V162" s="10" t="str">
        <f t="shared" si="28"/>
        <v>Equals</v>
      </c>
      <c r="W162" s="11" t="str" cm="1">
        <f t="array" ref="W162">NumberToWords(T162)</f>
        <v>Zero Rupees Only</v>
      </c>
      <c r="X162" s="10" t="str">
        <f t="shared" si="29"/>
        <v>Division</v>
      </c>
      <c r="Z162" s="9">
        <f t="shared" si="30"/>
        <v>0</v>
      </c>
      <c r="AB162" s="8">
        <f>_xlfn.XLOOKUP(AA162, 'Agency List'!A$2:A$145, 'Agency List'!B$2:B$145, "Not Found")</f>
        <v>0</v>
      </c>
      <c r="AC162" s="8">
        <f>_xlfn.XLOOKUP(AA162, 'Agency List'!A$2:A$145, 'Agency List'!C$2:C$145, "Not Found")</f>
        <v>0</v>
      </c>
      <c r="AD162" s="8">
        <f>_xlfn.XLOOKUP(AA162, 'Agency List'!A$2:A$145, 'Agency List'!D$2:D$145, "Not Found")</f>
        <v>0</v>
      </c>
      <c r="AE162" s="7"/>
      <c r="AF162" s="5"/>
      <c r="AG162" s="5" t="str">
        <f t="shared" si="31"/>
        <v>Bandhkam</v>
      </c>
      <c r="AH162" s="5"/>
      <c r="AI162" s="8"/>
      <c r="AJ162" s="8"/>
      <c r="AL162" s="16"/>
      <c r="AM162" s="12">
        <f t="shared" si="32"/>
        <v>0</v>
      </c>
      <c r="AN162" s="7">
        <f t="shared" si="33"/>
        <v>46334</v>
      </c>
      <c r="AO162" s="12">
        <f t="shared" si="34"/>
        <v>0</v>
      </c>
      <c r="AP162" s="12">
        <f t="shared" si="35"/>
        <v>0</v>
      </c>
      <c r="AQ162" s="15">
        <f t="shared" si="36"/>
        <v>45919</v>
      </c>
      <c r="AR162" s="7">
        <f t="shared" si="37"/>
        <v>46274</v>
      </c>
      <c r="AS162" s="5"/>
      <c r="AU162" s="5"/>
      <c r="AV162" s="17"/>
      <c r="AW162" s="17"/>
      <c r="AX162" s="5"/>
      <c r="AY162" s="5"/>
      <c r="AZ162" s="13"/>
      <c r="BA162" s="12"/>
      <c r="BB162" s="7"/>
      <c r="BC162" s="14"/>
      <c r="BD162" s="14"/>
      <c r="BF162" s="12"/>
      <c r="BG162" s="14"/>
      <c r="BH162" s="19">
        <v>45884</v>
      </c>
      <c r="BI162" s="5"/>
      <c r="BM162" s="18"/>
      <c r="BN162" s="18"/>
      <c r="BO162" s="18"/>
      <c r="BP162" s="18"/>
      <c r="BQ162" s="5"/>
      <c r="BR162" s="18"/>
      <c r="BS162" s="18"/>
      <c r="BT162" s="35">
        <f t="shared" si="38"/>
        <v>45884</v>
      </c>
    </row>
    <row r="163" spans="1:72" ht="29" x14ac:dyDescent="0.35">
      <c r="A163" s="5">
        <v>162</v>
      </c>
      <c r="B163" s="5"/>
      <c r="C163" s="5" t="s">
        <v>78</v>
      </c>
      <c r="D163" s="5">
        <v>8</v>
      </c>
      <c r="E163" s="5">
        <v>56</v>
      </c>
      <c r="F163" s="8"/>
      <c r="G163" s="8"/>
      <c r="H163" s="5"/>
      <c r="I163" s="5" t="e" cm="1">
        <f t="array" ref="I163">_xlfn.IFS(
  H163="Mahuva", "Mahuva",
  H163="Jesar", "Mahuva",
  H163="Palitana", "Palitana",
  H163="Gariyadhar", "Palitana",
  H163="Talaja", "Talaja",
  H163="Vallabhipur", "Vallabhipur",
  H163="Umrala", "Vallabhipur",
  H163="Shihor", "Shihor",
  H163="Ghogha", "Bhavnagar",
  H163="Bhavnagar", "Bhavnagar"
)</f>
        <v>#N/A</v>
      </c>
      <c r="J163" s="5" t="s">
        <v>256</v>
      </c>
      <c r="K163" s="5" t="s">
        <v>418</v>
      </c>
      <c r="M163" s="5"/>
      <c r="N163" s="7">
        <v>45837</v>
      </c>
      <c r="O163" s="7">
        <v>45848</v>
      </c>
      <c r="P163" s="7">
        <v>45849</v>
      </c>
      <c r="Q163" s="7">
        <f t="shared" si="27"/>
        <v>45968</v>
      </c>
      <c r="S163" s="33" t="s">
        <v>233</v>
      </c>
      <c r="U163" s="10"/>
      <c r="V163" s="10" t="str">
        <f t="shared" si="28"/>
        <v>Equals</v>
      </c>
      <c r="W163" s="11" t="str" cm="1">
        <f t="array" ref="W163">NumberToWords(T163)</f>
        <v>Zero Rupees Only</v>
      </c>
      <c r="X163" s="10" t="str">
        <f t="shared" si="29"/>
        <v>Division</v>
      </c>
      <c r="Z163" s="9">
        <f t="shared" si="30"/>
        <v>0</v>
      </c>
      <c r="AB163" s="8">
        <f>_xlfn.XLOOKUP(AA163, 'Agency List'!A$2:A$145, 'Agency List'!B$2:B$145, "Not Found")</f>
        <v>0</v>
      </c>
      <c r="AC163" s="8">
        <f>_xlfn.XLOOKUP(AA163, 'Agency List'!A$2:A$145, 'Agency List'!C$2:C$145, "Not Found")</f>
        <v>0</v>
      </c>
      <c r="AD163" s="8">
        <f>_xlfn.XLOOKUP(AA163, 'Agency List'!A$2:A$145, 'Agency List'!D$2:D$145, "Not Found")</f>
        <v>0</v>
      </c>
      <c r="AE163" s="7"/>
      <c r="AF163" s="5"/>
      <c r="AG163" s="5" t="str">
        <f t="shared" si="31"/>
        <v>Bandhkam</v>
      </c>
      <c r="AH163" s="5"/>
      <c r="AI163" s="8"/>
      <c r="AJ163" s="8"/>
      <c r="AL163" s="16"/>
      <c r="AM163" s="12">
        <f t="shared" si="32"/>
        <v>0</v>
      </c>
      <c r="AN163" s="7">
        <f t="shared" si="33"/>
        <v>46334</v>
      </c>
      <c r="AO163" s="12">
        <f t="shared" si="34"/>
        <v>0</v>
      </c>
      <c r="AP163" s="12">
        <f t="shared" si="35"/>
        <v>0</v>
      </c>
      <c r="AQ163" s="15">
        <f t="shared" si="36"/>
        <v>45919</v>
      </c>
      <c r="AR163" s="7">
        <f t="shared" si="37"/>
        <v>46274</v>
      </c>
      <c r="AS163" s="5"/>
      <c r="AU163" s="5"/>
      <c r="AV163" s="17"/>
      <c r="AW163" s="17"/>
      <c r="AX163" s="5"/>
      <c r="AY163" s="5"/>
      <c r="AZ163" s="13"/>
      <c r="BA163" s="12"/>
      <c r="BB163" s="7"/>
      <c r="BC163" s="14"/>
      <c r="BD163" s="14"/>
      <c r="BF163" s="12"/>
      <c r="BG163" s="14"/>
      <c r="BH163" s="19">
        <v>45884</v>
      </c>
      <c r="BI163" s="5"/>
      <c r="BM163" s="18"/>
      <c r="BN163" s="18"/>
      <c r="BO163" s="18"/>
      <c r="BP163" s="18"/>
      <c r="BQ163" s="5"/>
      <c r="BR163" s="18"/>
      <c r="BS163" s="18"/>
      <c r="BT163" s="35">
        <f t="shared" si="38"/>
        <v>45884</v>
      </c>
    </row>
    <row r="164" spans="1:72" ht="43.5" x14ac:dyDescent="0.35">
      <c r="A164" s="5">
        <v>163</v>
      </c>
      <c r="B164" s="5"/>
      <c r="C164" s="5" t="s">
        <v>78</v>
      </c>
      <c r="D164" s="5">
        <v>8</v>
      </c>
      <c r="E164" s="5">
        <v>57</v>
      </c>
      <c r="F164" s="8" t="s">
        <v>517</v>
      </c>
      <c r="G164" s="8"/>
      <c r="H164" s="5" t="s">
        <v>12</v>
      </c>
      <c r="I164" s="5" t="str" cm="1">
        <f t="array" ref="I164">_xlfn.IFS(
  H164="Mahuva", "Mahuva",
  H164="Jesar", "Mahuva",
  H164="Palitana", "Palitana",
  H164="Gariyadhar", "Palitana",
  H164="Talaja", "Talaja",
  H164="Vallabhipur", "Vallabhipur",
  H164="Umrala", "Vallabhipur",
  H164="Shihor", "Shihor",
  H164="Ghogha", "Bhavnagar",
  H164="Bhavnagar", "Bhavnagar"
)</f>
        <v>Mahuva</v>
      </c>
      <c r="J164" s="5" t="s">
        <v>256</v>
      </c>
      <c r="K164" s="5" t="s">
        <v>418</v>
      </c>
      <c r="L164" s="5">
        <v>199657</v>
      </c>
      <c r="M164" s="5"/>
      <c r="N164" s="7">
        <v>45837</v>
      </c>
      <c r="O164" s="7">
        <v>45848</v>
      </c>
      <c r="P164" s="7">
        <v>45849</v>
      </c>
      <c r="Q164" s="7">
        <f t="shared" si="27"/>
        <v>45968</v>
      </c>
      <c r="R164" s="9">
        <v>2079935.08</v>
      </c>
      <c r="S164" s="33"/>
      <c r="T164" s="9">
        <v>2077855.14</v>
      </c>
      <c r="U164" s="10">
        <v>-0.1</v>
      </c>
      <c r="V164" s="10" t="str">
        <f t="shared" si="28"/>
        <v>Below</v>
      </c>
      <c r="W164" s="11" t="str" cm="1">
        <f t="array" ref="W164">NumberToWords(T164)</f>
        <v>Twenty Lakh Seventy Seven Thousand Eight Hundred Fifty Five Rupees and Fourteen Paise Only</v>
      </c>
      <c r="X164" s="10" t="str">
        <f t="shared" si="29"/>
        <v>Division</v>
      </c>
      <c r="Z164" s="9">
        <f t="shared" si="30"/>
        <v>2077855.14</v>
      </c>
      <c r="AA164" s="5" t="s">
        <v>397</v>
      </c>
      <c r="AB164" s="8" t="str">
        <f>_xlfn.XLOOKUP(AA164, 'Agency List'!A$2:A$145, 'Agency List'!B$2:B$145, "Not Found")</f>
        <v>Khuman Shivrajbhai Dilubhai</v>
      </c>
      <c r="AC164" s="8" t="str">
        <f>_xlfn.XLOOKUP(AA164, 'Agency List'!A$2:A$145, 'Agency List'!C$2:C$145, "Not Found")</f>
        <v>52, Lion Shopping Center, Near Kohinoor Hotel, Jafarabad Road, Rajula, Dist. Amreli - 365560</v>
      </c>
      <c r="AD164" s="8">
        <f>_xlfn.XLOOKUP(AA164, 'Agency List'!A$2:A$145, 'Agency List'!D$2:D$145, "Not Found")</f>
        <v>9909950650</v>
      </c>
      <c r="AE164" s="7"/>
      <c r="AF164" s="5" t="s">
        <v>357</v>
      </c>
      <c r="AG164" s="5" t="str">
        <f t="shared" si="31"/>
        <v>Bandhkam</v>
      </c>
      <c r="AH164" s="5"/>
      <c r="AI164" s="8"/>
      <c r="AJ164" s="8"/>
      <c r="AL164" s="16">
        <v>4</v>
      </c>
      <c r="AM164" s="12">
        <f t="shared" si="32"/>
        <v>104000</v>
      </c>
      <c r="AN164" s="7">
        <f t="shared" si="33"/>
        <v>46469</v>
      </c>
      <c r="AO164" s="12">
        <f t="shared" si="34"/>
        <v>5100</v>
      </c>
      <c r="AP164" s="12">
        <f t="shared" si="35"/>
        <v>0</v>
      </c>
      <c r="AQ164" s="15">
        <f t="shared" si="36"/>
        <v>46054</v>
      </c>
      <c r="AR164" s="7">
        <f t="shared" si="37"/>
        <v>46409</v>
      </c>
      <c r="AS164" s="5">
        <v>1117</v>
      </c>
      <c r="AT164" s="7">
        <v>45877</v>
      </c>
      <c r="AU164" s="5" t="s">
        <v>78</v>
      </c>
      <c r="AV164" s="17">
        <v>121</v>
      </c>
      <c r="AW164" s="37">
        <v>45899</v>
      </c>
      <c r="AX164" s="5" t="s">
        <v>355</v>
      </c>
      <c r="AY164" s="5" t="s">
        <v>458</v>
      </c>
      <c r="AZ164" s="45" t="s">
        <v>694</v>
      </c>
      <c r="BA164" s="12">
        <v>104000</v>
      </c>
      <c r="BB164" s="7">
        <v>45892</v>
      </c>
      <c r="BC164" s="14"/>
      <c r="BD164" s="14"/>
      <c r="BF164" s="12"/>
      <c r="BG164" s="14"/>
      <c r="BH164" s="19">
        <v>45899</v>
      </c>
      <c r="BI164" s="5">
        <v>1226</v>
      </c>
      <c r="BJ164" s="19">
        <v>45899</v>
      </c>
      <c r="BM164" s="18"/>
      <c r="BN164" s="18"/>
      <c r="BO164" s="18"/>
      <c r="BP164" s="18"/>
      <c r="BQ164" s="5"/>
      <c r="BR164" s="18"/>
      <c r="BS164" s="18"/>
      <c r="BT164" s="35">
        <f t="shared" si="38"/>
        <v>46019</v>
      </c>
    </row>
    <row r="165" spans="1:72" ht="29" x14ac:dyDescent="0.35">
      <c r="A165" s="5">
        <v>164</v>
      </c>
      <c r="B165" s="5"/>
      <c r="C165" s="5" t="s">
        <v>78</v>
      </c>
      <c r="D165" s="5">
        <v>8</v>
      </c>
      <c r="E165" s="5">
        <v>58</v>
      </c>
      <c r="F165" s="8"/>
      <c r="G165" s="8"/>
      <c r="H165" s="5"/>
      <c r="I165" s="5" t="e" cm="1">
        <f t="array" ref="I165">_xlfn.IFS(
  H165="Mahuva", "Mahuva",
  H165="Jesar", "Mahuva",
  H165="Palitana", "Palitana",
  H165="Gariyadhar", "Palitana",
  H165="Talaja", "Talaja",
  H165="Vallabhipur", "Vallabhipur",
  H165="Umrala", "Vallabhipur",
  H165="Shihor", "Shihor",
  H165="Ghogha", "Bhavnagar",
  H165="Bhavnagar", "Bhavnagar"
)</f>
        <v>#N/A</v>
      </c>
      <c r="J165" s="5" t="s">
        <v>256</v>
      </c>
      <c r="K165" s="5" t="s">
        <v>418</v>
      </c>
      <c r="M165" s="5"/>
      <c r="N165" s="7">
        <v>45837</v>
      </c>
      <c r="O165" s="7">
        <v>45848</v>
      </c>
      <c r="P165" s="7">
        <v>45849</v>
      </c>
      <c r="Q165" s="7">
        <f t="shared" si="27"/>
        <v>45968</v>
      </c>
      <c r="S165" s="33" t="s">
        <v>233</v>
      </c>
      <c r="U165" s="10"/>
      <c r="V165" s="10" t="str">
        <f t="shared" si="28"/>
        <v>Equals</v>
      </c>
      <c r="W165" s="11" t="str" cm="1">
        <f t="array" ref="W165">NumberToWords(T165)</f>
        <v>Zero Rupees Only</v>
      </c>
      <c r="X165" s="10" t="str">
        <f t="shared" si="29"/>
        <v>Division</v>
      </c>
      <c r="Z165" s="9">
        <f t="shared" si="30"/>
        <v>0</v>
      </c>
      <c r="AB165" s="8">
        <f>_xlfn.XLOOKUP(AA165, 'Agency List'!A$2:A$145, 'Agency List'!B$2:B$145, "Not Found")</f>
        <v>0</v>
      </c>
      <c r="AC165" s="8">
        <f>_xlfn.XLOOKUP(AA165, 'Agency List'!A$2:A$145, 'Agency List'!C$2:C$145, "Not Found")</f>
        <v>0</v>
      </c>
      <c r="AD165" s="8">
        <f>_xlfn.XLOOKUP(AA165, 'Agency List'!A$2:A$145, 'Agency List'!D$2:D$145, "Not Found")</f>
        <v>0</v>
      </c>
      <c r="AE165" s="7"/>
      <c r="AF165" s="5"/>
      <c r="AG165" s="5" t="str">
        <f t="shared" si="31"/>
        <v>Bandhkam</v>
      </c>
      <c r="AH165" s="5"/>
      <c r="AI165" s="8"/>
      <c r="AJ165" s="8"/>
      <c r="AL165" s="16"/>
      <c r="AM165" s="12">
        <f t="shared" si="32"/>
        <v>0</v>
      </c>
      <c r="AN165" s="7">
        <f t="shared" si="33"/>
        <v>46334</v>
      </c>
      <c r="AO165" s="12">
        <f t="shared" si="34"/>
        <v>0</v>
      </c>
      <c r="AP165" s="12">
        <f t="shared" si="35"/>
        <v>0</v>
      </c>
      <c r="AQ165" s="15">
        <f t="shared" si="36"/>
        <v>45919</v>
      </c>
      <c r="AR165" s="7">
        <f t="shared" si="37"/>
        <v>46274</v>
      </c>
      <c r="AS165" s="5"/>
      <c r="AU165" s="5"/>
      <c r="AV165" s="17"/>
      <c r="AW165" s="17"/>
      <c r="AX165" s="5"/>
      <c r="AY165" s="5"/>
      <c r="AZ165" s="13"/>
      <c r="BA165" s="12"/>
      <c r="BB165" s="7"/>
      <c r="BC165" s="14"/>
      <c r="BD165" s="14"/>
      <c r="BF165" s="12"/>
      <c r="BG165" s="14"/>
      <c r="BH165" s="19">
        <v>45884</v>
      </c>
      <c r="BI165" s="5"/>
      <c r="BM165" s="18"/>
      <c r="BN165" s="18"/>
      <c r="BO165" s="18"/>
      <c r="BP165" s="18"/>
      <c r="BQ165" s="5"/>
      <c r="BR165" s="18"/>
      <c r="BS165" s="18"/>
      <c r="BT165" s="35">
        <f t="shared" si="38"/>
        <v>45884</v>
      </c>
    </row>
    <row r="166" spans="1:72" ht="29" x14ac:dyDescent="0.35">
      <c r="A166" s="5">
        <v>165</v>
      </c>
      <c r="B166" s="5"/>
      <c r="C166" s="5" t="s">
        <v>78</v>
      </c>
      <c r="D166" s="5">
        <v>8</v>
      </c>
      <c r="E166" s="5">
        <v>59</v>
      </c>
      <c r="F166" s="8"/>
      <c r="G166" s="8"/>
      <c r="H166" s="5"/>
      <c r="I166" s="5" t="e" cm="1">
        <f t="array" ref="I166">_xlfn.IFS(
  H166="Mahuva", "Mahuva",
  H166="Jesar", "Mahuva",
  H166="Palitana", "Palitana",
  H166="Gariyadhar", "Palitana",
  H166="Talaja", "Talaja",
  H166="Vallabhipur", "Vallabhipur",
  H166="Umrala", "Vallabhipur",
  H166="Shihor", "Shihor",
  H166="Ghogha", "Bhavnagar",
  H166="Bhavnagar", "Bhavnagar"
)</f>
        <v>#N/A</v>
      </c>
      <c r="J166" s="5" t="s">
        <v>256</v>
      </c>
      <c r="K166" s="5" t="s">
        <v>418</v>
      </c>
      <c r="M166" s="5"/>
      <c r="N166" s="7">
        <v>45837</v>
      </c>
      <c r="O166" s="7">
        <v>45848</v>
      </c>
      <c r="P166" s="7">
        <v>45849</v>
      </c>
      <c r="Q166" s="7">
        <f t="shared" si="27"/>
        <v>45968</v>
      </c>
      <c r="S166" s="33" t="s">
        <v>233</v>
      </c>
      <c r="U166" s="10"/>
      <c r="V166" s="10" t="str">
        <f t="shared" si="28"/>
        <v>Equals</v>
      </c>
      <c r="W166" s="11" t="str" cm="1">
        <f t="array" ref="W166">NumberToWords(T166)</f>
        <v>Zero Rupees Only</v>
      </c>
      <c r="X166" s="10" t="str">
        <f t="shared" si="29"/>
        <v>Division</v>
      </c>
      <c r="Z166" s="9">
        <f t="shared" si="30"/>
        <v>0</v>
      </c>
      <c r="AB166" s="8">
        <f>_xlfn.XLOOKUP(AA166, 'Agency List'!A$2:A$145, 'Agency List'!B$2:B$145, "Not Found")</f>
        <v>0</v>
      </c>
      <c r="AC166" s="8">
        <f>_xlfn.XLOOKUP(AA166, 'Agency List'!A$2:A$145, 'Agency List'!C$2:C$145, "Not Found")</f>
        <v>0</v>
      </c>
      <c r="AD166" s="8">
        <f>_xlfn.XLOOKUP(AA166, 'Agency List'!A$2:A$145, 'Agency List'!D$2:D$145, "Not Found")</f>
        <v>0</v>
      </c>
      <c r="AE166" s="7"/>
      <c r="AF166" s="5"/>
      <c r="AG166" s="5" t="str">
        <f t="shared" si="31"/>
        <v>Bandhkam</v>
      </c>
      <c r="AH166" s="5"/>
      <c r="AI166" s="8"/>
      <c r="AJ166" s="8"/>
      <c r="AL166" s="16"/>
      <c r="AM166" s="12">
        <f t="shared" si="32"/>
        <v>0</v>
      </c>
      <c r="AN166" s="7">
        <f t="shared" si="33"/>
        <v>46334</v>
      </c>
      <c r="AO166" s="12">
        <f t="shared" si="34"/>
        <v>0</v>
      </c>
      <c r="AP166" s="12">
        <f t="shared" si="35"/>
        <v>0</v>
      </c>
      <c r="AQ166" s="15">
        <f t="shared" si="36"/>
        <v>45919</v>
      </c>
      <c r="AR166" s="7">
        <f t="shared" si="37"/>
        <v>46274</v>
      </c>
      <c r="AS166" s="5"/>
      <c r="AU166" s="5"/>
      <c r="AV166" s="17"/>
      <c r="AW166" s="17"/>
      <c r="AX166" s="5"/>
      <c r="AY166" s="5"/>
      <c r="AZ166" s="13"/>
      <c r="BA166" s="12"/>
      <c r="BB166" s="7"/>
      <c r="BC166" s="14"/>
      <c r="BD166" s="14"/>
      <c r="BF166" s="12"/>
      <c r="BG166" s="14"/>
      <c r="BH166" s="19">
        <v>45884</v>
      </c>
      <c r="BI166" s="5"/>
      <c r="BM166" s="18"/>
      <c r="BN166" s="18"/>
      <c r="BO166" s="18"/>
      <c r="BP166" s="18"/>
      <c r="BQ166" s="5"/>
      <c r="BR166" s="18"/>
      <c r="BS166" s="18"/>
      <c r="BT166" s="35">
        <f t="shared" si="38"/>
        <v>45884</v>
      </c>
    </row>
    <row r="167" spans="1:72" ht="29" x14ac:dyDescent="0.35">
      <c r="A167" s="5">
        <v>166</v>
      </c>
      <c r="B167" s="5"/>
      <c r="C167" s="5" t="s">
        <v>78</v>
      </c>
      <c r="D167" s="5">
        <v>8</v>
      </c>
      <c r="E167" s="5">
        <v>60</v>
      </c>
      <c r="F167" s="8"/>
      <c r="G167" s="8"/>
      <c r="H167" s="5"/>
      <c r="I167" s="5" t="e" cm="1">
        <f t="array" ref="I167">_xlfn.IFS(
  H167="Mahuva", "Mahuva",
  H167="Jesar", "Mahuva",
  H167="Palitana", "Palitana",
  H167="Gariyadhar", "Palitana",
  H167="Talaja", "Talaja",
  H167="Vallabhipur", "Vallabhipur",
  H167="Umrala", "Vallabhipur",
  H167="Shihor", "Shihor",
  H167="Ghogha", "Bhavnagar",
  H167="Bhavnagar", "Bhavnagar"
)</f>
        <v>#N/A</v>
      </c>
      <c r="J167" s="5" t="s">
        <v>256</v>
      </c>
      <c r="K167" s="5" t="s">
        <v>418</v>
      </c>
      <c r="M167" s="5"/>
      <c r="N167" s="7">
        <v>45837</v>
      </c>
      <c r="O167" s="7">
        <v>45848</v>
      </c>
      <c r="P167" s="7">
        <v>45849</v>
      </c>
      <c r="Q167" s="7">
        <f t="shared" si="27"/>
        <v>45968</v>
      </c>
      <c r="S167" s="33" t="s">
        <v>233</v>
      </c>
      <c r="U167" s="10"/>
      <c r="V167" s="10" t="str">
        <f t="shared" si="28"/>
        <v>Equals</v>
      </c>
      <c r="W167" s="11" t="str" cm="1">
        <f t="array" ref="W167">NumberToWords(T167)</f>
        <v>Zero Rupees Only</v>
      </c>
      <c r="X167" s="10" t="str">
        <f t="shared" si="29"/>
        <v>Division</v>
      </c>
      <c r="Z167" s="9">
        <f t="shared" si="30"/>
        <v>0</v>
      </c>
      <c r="AB167" s="8">
        <f>_xlfn.XLOOKUP(AA167, 'Agency List'!A$2:A$145, 'Agency List'!B$2:B$145, "Not Found")</f>
        <v>0</v>
      </c>
      <c r="AC167" s="8">
        <f>_xlfn.XLOOKUP(AA167, 'Agency List'!A$2:A$145, 'Agency List'!C$2:C$145, "Not Found")</f>
        <v>0</v>
      </c>
      <c r="AD167" s="8">
        <f>_xlfn.XLOOKUP(AA167, 'Agency List'!A$2:A$145, 'Agency List'!D$2:D$145, "Not Found")</f>
        <v>0</v>
      </c>
      <c r="AE167" s="7"/>
      <c r="AF167" s="5"/>
      <c r="AG167" s="5" t="str">
        <f t="shared" si="31"/>
        <v>Bandhkam</v>
      </c>
      <c r="AH167" s="5"/>
      <c r="AI167" s="8"/>
      <c r="AJ167" s="8"/>
      <c r="AL167" s="16"/>
      <c r="AM167" s="12">
        <f t="shared" si="32"/>
        <v>0</v>
      </c>
      <c r="AN167" s="7">
        <f t="shared" si="33"/>
        <v>46334</v>
      </c>
      <c r="AO167" s="12">
        <f t="shared" si="34"/>
        <v>0</v>
      </c>
      <c r="AP167" s="12">
        <f t="shared" si="35"/>
        <v>0</v>
      </c>
      <c r="AQ167" s="15">
        <f t="shared" si="36"/>
        <v>45919</v>
      </c>
      <c r="AR167" s="7">
        <f t="shared" si="37"/>
        <v>46274</v>
      </c>
      <c r="AS167" s="5"/>
      <c r="AU167" s="5"/>
      <c r="AV167" s="17"/>
      <c r="AW167" s="17"/>
      <c r="AX167" s="5"/>
      <c r="AY167" s="5"/>
      <c r="AZ167" s="13"/>
      <c r="BA167" s="12"/>
      <c r="BB167" s="7"/>
      <c r="BC167" s="14"/>
      <c r="BD167" s="14"/>
      <c r="BF167" s="12"/>
      <c r="BG167" s="14"/>
      <c r="BH167" s="19">
        <v>45884</v>
      </c>
      <c r="BI167" s="5"/>
      <c r="BM167" s="18"/>
      <c r="BN167" s="18"/>
      <c r="BO167" s="18"/>
      <c r="BP167" s="18"/>
      <c r="BQ167" s="5"/>
      <c r="BR167" s="18"/>
      <c r="BS167" s="18"/>
      <c r="BT167" s="35">
        <f t="shared" si="38"/>
        <v>45884</v>
      </c>
    </row>
    <row r="168" spans="1:72" ht="29" x14ac:dyDescent="0.35">
      <c r="A168" s="5">
        <v>167</v>
      </c>
      <c r="B168" s="5"/>
      <c r="C168" s="5" t="s">
        <v>78</v>
      </c>
      <c r="D168" s="5">
        <v>8</v>
      </c>
      <c r="E168" s="5">
        <v>61</v>
      </c>
      <c r="F168" s="8"/>
      <c r="G168" s="8"/>
      <c r="H168" s="5"/>
      <c r="I168" s="5" t="e" cm="1">
        <f t="array" ref="I168">_xlfn.IFS(
  H168="Mahuva", "Mahuva",
  H168="Jesar", "Mahuva",
  H168="Palitana", "Palitana",
  H168="Gariyadhar", "Palitana",
  H168="Talaja", "Talaja",
  H168="Vallabhipur", "Vallabhipur",
  H168="Umrala", "Vallabhipur",
  H168="Shihor", "Shihor",
  H168="Ghogha", "Bhavnagar",
  H168="Bhavnagar", "Bhavnagar"
)</f>
        <v>#N/A</v>
      </c>
      <c r="J168" s="5" t="s">
        <v>256</v>
      </c>
      <c r="K168" s="5" t="s">
        <v>418</v>
      </c>
      <c r="M168" s="5"/>
      <c r="N168" s="7">
        <v>45837</v>
      </c>
      <c r="O168" s="7">
        <v>45848</v>
      </c>
      <c r="P168" s="7">
        <v>45849</v>
      </c>
      <c r="Q168" s="7">
        <f t="shared" si="27"/>
        <v>45968</v>
      </c>
      <c r="S168" s="33" t="s">
        <v>233</v>
      </c>
      <c r="U168" s="10"/>
      <c r="V168" s="10" t="str">
        <f t="shared" si="28"/>
        <v>Equals</v>
      </c>
      <c r="W168" s="11" t="str" cm="1">
        <f t="array" ref="W168">NumberToWords(T168)</f>
        <v>Zero Rupees Only</v>
      </c>
      <c r="X168" s="10" t="str">
        <f t="shared" si="29"/>
        <v>Division</v>
      </c>
      <c r="Z168" s="9">
        <f t="shared" si="30"/>
        <v>0</v>
      </c>
      <c r="AB168" s="8">
        <f>_xlfn.XLOOKUP(AA168, 'Agency List'!A$2:A$145, 'Agency List'!B$2:B$145, "Not Found")</f>
        <v>0</v>
      </c>
      <c r="AC168" s="8">
        <f>_xlfn.XLOOKUP(AA168, 'Agency List'!A$2:A$145, 'Agency List'!C$2:C$145, "Not Found")</f>
        <v>0</v>
      </c>
      <c r="AD168" s="8">
        <f>_xlfn.XLOOKUP(AA168, 'Agency List'!A$2:A$145, 'Agency List'!D$2:D$145, "Not Found")</f>
        <v>0</v>
      </c>
      <c r="AE168" s="7"/>
      <c r="AF168" s="5"/>
      <c r="AG168" s="5" t="str">
        <f t="shared" si="31"/>
        <v>Bandhkam</v>
      </c>
      <c r="AH168" s="5"/>
      <c r="AI168" s="8"/>
      <c r="AJ168" s="8"/>
      <c r="AL168" s="16"/>
      <c r="AM168" s="12">
        <f t="shared" si="32"/>
        <v>0</v>
      </c>
      <c r="AN168" s="7">
        <f t="shared" si="33"/>
        <v>46334</v>
      </c>
      <c r="AO168" s="12">
        <f t="shared" si="34"/>
        <v>0</v>
      </c>
      <c r="AP168" s="12">
        <f t="shared" si="35"/>
        <v>0</v>
      </c>
      <c r="AQ168" s="15">
        <f t="shared" si="36"/>
        <v>45919</v>
      </c>
      <c r="AR168" s="7">
        <f t="shared" si="37"/>
        <v>46274</v>
      </c>
      <c r="AS168" s="5"/>
      <c r="AU168" s="5"/>
      <c r="AV168" s="17"/>
      <c r="AW168" s="17"/>
      <c r="AX168" s="5"/>
      <c r="AY168" s="5"/>
      <c r="AZ168" s="13"/>
      <c r="BA168" s="12"/>
      <c r="BB168" s="7"/>
      <c r="BC168" s="14"/>
      <c r="BD168" s="14"/>
      <c r="BF168" s="12"/>
      <c r="BG168" s="14"/>
      <c r="BH168" s="19">
        <v>45884</v>
      </c>
      <c r="BI168" s="5"/>
      <c r="BM168" s="18"/>
      <c r="BN168" s="18"/>
      <c r="BO168" s="18"/>
      <c r="BP168" s="18"/>
      <c r="BQ168" s="5"/>
      <c r="BR168" s="18"/>
      <c r="BS168" s="18"/>
      <c r="BT168" s="35">
        <f t="shared" si="38"/>
        <v>45884</v>
      </c>
    </row>
    <row r="169" spans="1:72" ht="29" x14ac:dyDescent="0.35">
      <c r="A169" s="5">
        <v>168</v>
      </c>
      <c r="B169" s="5"/>
      <c r="C169" s="5" t="s">
        <v>78</v>
      </c>
      <c r="D169" s="5">
        <v>8</v>
      </c>
      <c r="E169" s="5">
        <v>62</v>
      </c>
      <c r="F169" s="8"/>
      <c r="G169" s="8"/>
      <c r="H169" s="5"/>
      <c r="I169" s="5" t="e" cm="1">
        <f t="array" ref="I169">_xlfn.IFS(
  H169="Mahuva", "Mahuva",
  H169="Jesar", "Mahuva",
  H169="Palitana", "Palitana",
  H169="Gariyadhar", "Palitana",
  H169="Talaja", "Talaja",
  H169="Vallabhipur", "Vallabhipur",
  H169="Umrala", "Vallabhipur",
  H169="Shihor", "Shihor",
  H169="Ghogha", "Bhavnagar",
  H169="Bhavnagar", "Bhavnagar"
)</f>
        <v>#N/A</v>
      </c>
      <c r="J169" s="5" t="s">
        <v>256</v>
      </c>
      <c r="K169" s="5" t="s">
        <v>418</v>
      </c>
      <c r="M169" s="5"/>
      <c r="N169" s="7">
        <v>45837</v>
      </c>
      <c r="O169" s="7">
        <v>45848</v>
      </c>
      <c r="P169" s="7">
        <v>45849</v>
      </c>
      <c r="Q169" s="7">
        <f t="shared" si="27"/>
        <v>45968</v>
      </c>
      <c r="S169" s="33" t="s">
        <v>233</v>
      </c>
      <c r="U169" s="10"/>
      <c r="V169" s="10" t="str">
        <f t="shared" si="28"/>
        <v>Equals</v>
      </c>
      <c r="W169" s="11" t="str" cm="1">
        <f t="array" ref="W169">NumberToWords(T169)</f>
        <v>Zero Rupees Only</v>
      </c>
      <c r="X169" s="10" t="str">
        <f t="shared" si="29"/>
        <v>Division</v>
      </c>
      <c r="Z169" s="9">
        <f t="shared" si="30"/>
        <v>0</v>
      </c>
      <c r="AB169" s="8">
        <f>_xlfn.XLOOKUP(AA169, 'Agency List'!A$2:A$145, 'Agency List'!B$2:B$145, "Not Found")</f>
        <v>0</v>
      </c>
      <c r="AC169" s="8">
        <f>_xlfn.XLOOKUP(AA169, 'Agency List'!A$2:A$145, 'Agency List'!C$2:C$145, "Not Found")</f>
        <v>0</v>
      </c>
      <c r="AD169" s="8">
        <f>_xlfn.XLOOKUP(AA169, 'Agency List'!A$2:A$145, 'Agency List'!D$2:D$145, "Not Found")</f>
        <v>0</v>
      </c>
      <c r="AE169" s="7"/>
      <c r="AF169" s="5"/>
      <c r="AG169" s="5" t="str">
        <f t="shared" si="31"/>
        <v>Bandhkam</v>
      </c>
      <c r="AH169" s="5"/>
      <c r="AI169" s="8"/>
      <c r="AJ169" s="8"/>
      <c r="AL169" s="16"/>
      <c r="AM169" s="12">
        <f t="shared" si="32"/>
        <v>0</v>
      </c>
      <c r="AN169" s="7">
        <f t="shared" si="33"/>
        <v>46334</v>
      </c>
      <c r="AO169" s="12">
        <f t="shared" si="34"/>
        <v>0</v>
      </c>
      <c r="AP169" s="12">
        <f t="shared" si="35"/>
        <v>0</v>
      </c>
      <c r="AQ169" s="15">
        <f t="shared" si="36"/>
        <v>45919</v>
      </c>
      <c r="AR169" s="7">
        <f t="shared" si="37"/>
        <v>46274</v>
      </c>
      <c r="AS169" s="5"/>
      <c r="AU169" s="5"/>
      <c r="AV169" s="17"/>
      <c r="AW169" s="17"/>
      <c r="AX169" s="5"/>
      <c r="AY169" s="5"/>
      <c r="AZ169" s="13"/>
      <c r="BA169" s="12"/>
      <c r="BB169" s="7"/>
      <c r="BC169" s="14"/>
      <c r="BD169" s="14"/>
      <c r="BF169" s="12"/>
      <c r="BG169" s="14"/>
      <c r="BH169" s="19">
        <v>45884</v>
      </c>
      <c r="BI169" s="5"/>
      <c r="BM169" s="18"/>
      <c r="BN169" s="18"/>
      <c r="BO169" s="18"/>
      <c r="BP169" s="18"/>
      <c r="BQ169" s="5"/>
      <c r="BR169" s="18"/>
      <c r="BS169" s="18"/>
      <c r="BT169" s="35">
        <f t="shared" si="38"/>
        <v>45884</v>
      </c>
    </row>
    <row r="170" spans="1:72" ht="29" x14ac:dyDescent="0.35">
      <c r="A170" s="5">
        <v>169</v>
      </c>
      <c r="B170" s="5"/>
      <c r="C170" s="5" t="s">
        <v>78</v>
      </c>
      <c r="D170" s="5">
        <v>8</v>
      </c>
      <c r="E170" s="5">
        <v>63</v>
      </c>
      <c r="F170" s="8"/>
      <c r="G170" s="8"/>
      <c r="H170" s="5"/>
      <c r="I170" s="5" t="e" cm="1">
        <f t="array" ref="I170">_xlfn.IFS(
  H170="Mahuva", "Mahuva",
  H170="Jesar", "Mahuva",
  H170="Palitana", "Palitana",
  H170="Gariyadhar", "Palitana",
  H170="Talaja", "Talaja",
  H170="Vallabhipur", "Vallabhipur",
  H170="Umrala", "Vallabhipur",
  H170="Shihor", "Shihor",
  H170="Ghogha", "Bhavnagar",
  H170="Bhavnagar", "Bhavnagar"
)</f>
        <v>#N/A</v>
      </c>
      <c r="J170" s="5" t="s">
        <v>256</v>
      </c>
      <c r="K170" s="5" t="s">
        <v>418</v>
      </c>
      <c r="M170" s="5"/>
      <c r="N170" s="7">
        <v>45837</v>
      </c>
      <c r="O170" s="7">
        <v>45848</v>
      </c>
      <c r="P170" s="7">
        <v>45849</v>
      </c>
      <c r="Q170" s="7">
        <f t="shared" si="27"/>
        <v>45968</v>
      </c>
      <c r="S170" s="33" t="s">
        <v>233</v>
      </c>
      <c r="U170" s="10"/>
      <c r="V170" s="10" t="str">
        <f t="shared" si="28"/>
        <v>Equals</v>
      </c>
      <c r="W170" s="11" t="str" cm="1">
        <f t="array" ref="W170">NumberToWords(T170)</f>
        <v>Zero Rupees Only</v>
      </c>
      <c r="X170" s="10" t="str">
        <f t="shared" si="29"/>
        <v>Division</v>
      </c>
      <c r="Z170" s="9">
        <f t="shared" si="30"/>
        <v>0</v>
      </c>
      <c r="AB170" s="8">
        <f>_xlfn.XLOOKUP(AA170, 'Agency List'!A$2:A$145, 'Agency List'!B$2:B$145, "Not Found")</f>
        <v>0</v>
      </c>
      <c r="AC170" s="8">
        <f>_xlfn.XLOOKUP(AA170, 'Agency List'!A$2:A$145, 'Agency List'!C$2:C$145, "Not Found")</f>
        <v>0</v>
      </c>
      <c r="AD170" s="8">
        <f>_xlfn.XLOOKUP(AA170, 'Agency List'!A$2:A$145, 'Agency List'!D$2:D$145, "Not Found")</f>
        <v>0</v>
      </c>
      <c r="AE170" s="7"/>
      <c r="AF170" s="5"/>
      <c r="AG170" s="5" t="str">
        <f t="shared" si="31"/>
        <v>Bandhkam</v>
      </c>
      <c r="AH170" s="5"/>
      <c r="AI170" s="8"/>
      <c r="AJ170" s="8"/>
      <c r="AL170" s="16"/>
      <c r="AM170" s="12">
        <f t="shared" si="32"/>
        <v>0</v>
      </c>
      <c r="AN170" s="7">
        <f t="shared" si="33"/>
        <v>46334</v>
      </c>
      <c r="AO170" s="12">
        <f t="shared" si="34"/>
        <v>0</v>
      </c>
      <c r="AP170" s="12">
        <f t="shared" si="35"/>
        <v>0</v>
      </c>
      <c r="AQ170" s="15">
        <f t="shared" si="36"/>
        <v>45919</v>
      </c>
      <c r="AR170" s="7">
        <f t="shared" si="37"/>
        <v>46274</v>
      </c>
      <c r="AS170" s="5"/>
      <c r="AU170" s="5"/>
      <c r="AV170" s="17"/>
      <c r="AW170" s="17"/>
      <c r="AX170" s="5"/>
      <c r="AY170" s="5"/>
      <c r="AZ170" s="13"/>
      <c r="BA170" s="12"/>
      <c r="BB170" s="7"/>
      <c r="BC170" s="14"/>
      <c r="BD170" s="14"/>
      <c r="BF170" s="12"/>
      <c r="BG170" s="14"/>
      <c r="BH170" s="19">
        <v>45884</v>
      </c>
      <c r="BI170" s="5"/>
      <c r="BM170" s="18"/>
      <c r="BN170" s="18"/>
      <c r="BO170" s="18"/>
      <c r="BP170" s="18"/>
      <c r="BQ170" s="5"/>
      <c r="BR170" s="18"/>
      <c r="BS170" s="18"/>
      <c r="BT170" s="35">
        <f t="shared" si="38"/>
        <v>45884</v>
      </c>
    </row>
    <row r="171" spans="1:72" ht="43.5" x14ac:dyDescent="0.35">
      <c r="A171" s="5">
        <v>170</v>
      </c>
      <c r="B171" s="5"/>
      <c r="C171" s="5" t="s">
        <v>78</v>
      </c>
      <c r="D171" s="5">
        <v>8</v>
      </c>
      <c r="E171" s="5">
        <v>64</v>
      </c>
      <c r="F171" s="8" t="s">
        <v>518</v>
      </c>
      <c r="G171" s="8"/>
      <c r="H171" s="5" t="s">
        <v>12</v>
      </c>
      <c r="I171" s="5" t="str" cm="1">
        <f t="array" ref="I171">_xlfn.IFS(
  H171="Mahuva", "Mahuva",
  H171="Jesar", "Mahuva",
  H171="Palitana", "Palitana",
  H171="Gariyadhar", "Palitana",
  H171="Talaja", "Talaja",
  H171="Vallabhipur", "Vallabhipur",
  H171="Umrala", "Vallabhipur",
  H171="Shihor", "Shihor",
  H171="Ghogha", "Bhavnagar",
  H171="Bhavnagar", "Bhavnagar"
)</f>
        <v>Mahuva</v>
      </c>
      <c r="J171" s="5" t="s">
        <v>256</v>
      </c>
      <c r="K171" s="5" t="s">
        <v>418</v>
      </c>
      <c r="L171" s="5">
        <v>199665</v>
      </c>
      <c r="M171" s="5"/>
      <c r="N171" s="7">
        <v>45837</v>
      </c>
      <c r="O171" s="7">
        <v>45848</v>
      </c>
      <c r="P171" s="7">
        <v>45849</v>
      </c>
      <c r="Q171" s="7">
        <f t="shared" si="27"/>
        <v>45968</v>
      </c>
      <c r="R171" s="9">
        <v>2079935.08</v>
      </c>
      <c r="S171" s="33"/>
      <c r="T171" s="9">
        <v>1733625.89</v>
      </c>
      <c r="U171" s="10">
        <v>-16.649999999999999</v>
      </c>
      <c r="V171" s="10" t="str">
        <f t="shared" si="28"/>
        <v>Below</v>
      </c>
      <c r="W171" s="11" t="str" cm="1">
        <f t="array" ref="W171">NumberToWords(T171)</f>
        <v>Seventeen Lakh Thirty Three Thousand Six Hundred Twenty Five Rupees and Eighty Nine Paise Only</v>
      </c>
      <c r="X171" s="10" t="str">
        <f t="shared" si="29"/>
        <v>Division</v>
      </c>
      <c r="Z171" s="9">
        <f t="shared" si="30"/>
        <v>1733625.89</v>
      </c>
      <c r="AA171" s="5" t="s">
        <v>395</v>
      </c>
      <c r="AB171" s="8" t="str">
        <f>_xlfn.XLOOKUP(AA171, 'Agency List'!A$2:A$145, 'Agency List'!B$2:B$145, "Not Found")</f>
        <v>Siddharth Parbatbhai Bed</v>
      </c>
      <c r="AC171" s="8" t="str">
        <f>_xlfn.XLOOKUP(AA171, 'Agency List'!A$2:A$145, 'Agency List'!C$2:C$145, "Not Found")</f>
        <v>At Hemal, Ta. Jafarabad, Dist. Amreli - 365545</v>
      </c>
      <c r="AD171" s="8">
        <f>_xlfn.XLOOKUP(AA171, 'Agency List'!A$2:A$145, 'Agency List'!D$2:D$145, "Not Found")</f>
        <v>9586762457</v>
      </c>
      <c r="AE171" s="7"/>
      <c r="AF171" s="5" t="s">
        <v>357</v>
      </c>
      <c r="AG171" s="5" t="str">
        <f t="shared" si="31"/>
        <v>Bandhkam</v>
      </c>
      <c r="AH171" s="5"/>
      <c r="AI171" s="8"/>
      <c r="AJ171" s="8"/>
      <c r="AL171" s="16">
        <v>4</v>
      </c>
      <c r="AM171" s="12">
        <f t="shared" si="32"/>
        <v>87000</v>
      </c>
      <c r="AN171" s="7">
        <f t="shared" si="33"/>
        <v>46480</v>
      </c>
      <c r="AO171" s="12">
        <f t="shared" si="34"/>
        <v>5700</v>
      </c>
      <c r="AP171" s="12">
        <f t="shared" si="35"/>
        <v>28000</v>
      </c>
      <c r="AQ171" s="15">
        <f t="shared" si="36"/>
        <v>46065</v>
      </c>
      <c r="AR171" s="7">
        <f t="shared" si="37"/>
        <v>46420</v>
      </c>
      <c r="AS171" s="5">
        <v>1067</v>
      </c>
      <c r="AT171" s="7">
        <v>45874</v>
      </c>
      <c r="AU171" s="5" t="s">
        <v>78</v>
      </c>
      <c r="AV171" s="17">
        <v>144</v>
      </c>
      <c r="AW171" s="37">
        <v>45910</v>
      </c>
      <c r="AX171" s="5" t="s">
        <v>355</v>
      </c>
      <c r="AY171" s="5" t="s">
        <v>356</v>
      </c>
      <c r="AZ171" s="13">
        <v>78049184800</v>
      </c>
      <c r="BA171" s="12">
        <v>87000</v>
      </c>
      <c r="BB171" s="7">
        <v>45903</v>
      </c>
      <c r="BC171" s="5" t="s">
        <v>355</v>
      </c>
      <c r="BD171" s="5" t="s">
        <v>356</v>
      </c>
      <c r="BE171" s="13">
        <v>78049184811</v>
      </c>
      <c r="BF171" s="12">
        <v>28000</v>
      </c>
      <c r="BG171" s="7">
        <v>45903</v>
      </c>
      <c r="BH171" s="19">
        <v>45910</v>
      </c>
      <c r="BI171" s="5">
        <v>1287</v>
      </c>
      <c r="BJ171" s="19">
        <v>45910</v>
      </c>
      <c r="BM171" s="18"/>
      <c r="BN171" s="18"/>
      <c r="BO171" s="18"/>
      <c r="BP171" s="18"/>
      <c r="BQ171" s="5"/>
      <c r="BR171" s="18"/>
      <c r="BS171" s="18"/>
      <c r="BT171" s="35">
        <f t="shared" si="38"/>
        <v>46030</v>
      </c>
    </row>
    <row r="172" spans="1:72" ht="29" x14ac:dyDescent="0.35">
      <c r="A172" s="5">
        <v>171</v>
      </c>
      <c r="B172" s="5"/>
      <c r="C172" s="5" t="s">
        <v>78</v>
      </c>
      <c r="D172" s="5">
        <v>8</v>
      </c>
      <c r="E172" s="5">
        <v>65</v>
      </c>
      <c r="F172" s="8"/>
      <c r="G172" s="8"/>
      <c r="H172" s="5"/>
      <c r="I172" s="5" t="e" cm="1">
        <f t="array" ref="I172">_xlfn.IFS(
  H172="Mahuva", "Mahuva",
  H172="Jesar", "Mahuva",
  H172="Palitana", "Palitana",
  H172="Gariyadhar", "Palitana",
  H172="Talaja", "Talaja",
  H172="Vallabhipur", "Vallabhipur",
  H172="Umrala", "Vallabhipur",
  H172="Shihor", "Shihor",
  H172="Ghogha", "Bhavnagar",
  H172="Bhavnagar", "Bhavnagar"
)</f>
        <v>#N/A</v>
      </c>
      <c r="J172" s="5" t="s">
        <v>256</v>
      </c>
      <c r="K172" s="5" t="s">
        <v>418</v>
      </c>
      <c r="M172" s="5"/>
      <c r="N172" s="7">
        <v>45837</v>
      </c>
      <c r="O172" s="7">
        <v>45848</v>
      </c>
      <c r="P172" s="7">
        <v>45849</v>
      </c>
      <c r="Q172" s="7">
        <f t="shared" si="27"/>
        <v>45968</v>
      </c>
      <c r="S172" s="33" t="s">
        <v>233</v>
      </c>
      <c r="U172" s="10"/>
      <c r="V172" s="10" t="str">
        <f t="shared" si="28"/>
        <v>Equals</v>
      </c>
      <c r="W172" s="11" t="str" cm="1">
        <f t="array" ref="W172">NumberToWords(T172)</f>
        <v>Zero Rupees Only</v>
      </c>
      <c r="X172" s="10" t="str">
        <f t="shared" si="29"/>
        <v>Division</v>
      </c>
      <c r="Z172" s="9">
        <f t="shared" si="30"/>
        <v>0</v>
      </c>
      <c r="AB172" s="8">
        <f>_xlfn.XLOOKUP(AA172, 'Agency List'!A$2:A$145, 'Agency List'!B$2:B$145, "Not Found")</f>
        <v>0</v>
      </c>
      <c r="AC172" s="8">
        <f>_xlfn.XLOOKUP(AA172, 'Agency List'!A$2:A$145, 'Agency List'!C$2:C$145, "Not Found")</f>
        <v>0</v>
      </c>
      <c r="AD172" s="8">
        <f>_xlfn.XLOOKUP(AA172, 'Agency List'!A$2:A$145, 'Agency List'!D$2:D$145, "Not Found")</f>
        <v>0</v>
      </c>
      <c r="AE172" s="7"/>
      <c r="AF172" s="5"/>
      <c r="AG172" s="5" t="str">
        <f t="shared" si="31"/>
        <v>Bandhkam</v>
      </c>
      <c r="AH172" s="5"/>
      <c r="AI172" s="8"/>
      <c r="AJ172" s="8"/>
      <c r="AL172" s="16"/>
      <c r="AM172" s="12">
        <f t="shared" si="32"/>
        <v>0</v>
      </c>
      <c r="AN172" s="7">
        <f t="shared" si="33"/>
        <v>46334</v>
      </c>
      <c r="AO172" s="12">
        <f t="shared" si="34"/>
        <v>0</v>
      </c>
      <c r="AP172" s="12">
        <f t="shared" si="35"/>
        <v>0</v>
      </c>
      <c r="AQ172" s="15">
        <f t="shared" si="36"/>
        <v>45919</v>
      </c>
      <c r="AR172" s="7">
        <f t="shared" si="37"/>
        <v>46274</v>
      </c>
      <c r="AS172" s="5"/>
      <c r="AU172" s="5"/>
      <c r="AV172" s="17"/>
      <c r="AW172" s="17"/>
      <c r="AX172" s="5"/>
      <c r="AY172" s="5"/>
      <c r="AZ172" s="13"/>
      <c r="BA172" s="12"/>
      <c r="BB172" s="7"/>
      <c r="BC172" s="14"/>
      <c r="BD172" s="14"/>
      <c r="BF172" s="12"/>
      <c r="BG172" s="14"/>
      <c r="BH172" s="19">
        <v>45884</v>
      </c>
      <c r="BI172" s="5"/>
      <c r="BM172" s="18"/>
      <c r="BN172" s="18"/>
      <c r="BO172" s="18"/>
      <c r="BP172" s="18"/>
      <c r="BQ172" s="5"/>
      <c r="BR172" s="18"/>
      <c r="BS172" s="18"/>
      <c r="BT172" s="35">
        <f t="shared" si="38"/>
        <v>45884</v>
      </c>
    </row>
    <row r="173" spans="1:72" ht="29" x14ac:dyDescent="0.35">
      <c r="A173" s="5">
        <v>172</v>
      </c>
      <c r="B173" s="5"/>
      <c r="C173" s="5" t="s">
        <v>78</v>
      </c>
      <c r="D173" s="5">
        <v>8</v>
      </c>
      <c r="E173" s="5">
        <v>66</v>
      </c>
      <c r="F173" s="8"/>
      <c r="G173" s="8"/>
      <c r="H173" s="5"/>
      <c r="I173" s="5" t="e" cm="1">
        <f t="array" ref="I173">_xlfn.IFS(
  H173="Mahuva", "Mahuva",
  H173="Jesar", "Mahuva",
  H173="Palitana", "Palitana",
  H173="Gariyadhar", "Palitana",
  H173="Talaja", "Talaja",
  H173="Vallabhipur", "Vallabhipur",
  H173="Umrala", "Vallabhipur",
  H173="Shihor", "Shihor",
  H173="Ghogha", "Bhavnagar",
  H173="Bhavnagar", "Bhavnagar"
)</f>
        <v>#N/A</v>
      </c>
      <c r="J173" s="5" t="s">
        <v>256</v>
      </c>
      <c r="K173" s="5" t="s">
        <v>418</v>
      </c>
      <c r="M173" s="5"/>
      <c r="N173" s="7">
        <v>45837</v>
      </c>
      <c r="O173" s="7">
        <v>45848</v>
      </c>
      <c r="P173" s="7">
        <v>45849</v>
      </c>
      <c r="Q173" s="7">
        <f t="shared" si="27"/>
        <v>45968</v>
      </c>
      <c r="S173" s="33" t="s">
        <v>233</v>
      </c>
      <c r="U173" s="10"/>
      <c r="V173" s="10" t="str">
        <f t="shared" si="28"/>
        <v>Equals</v>
      </c>
      <c r="W173" s="11" t="str" cm="1">
        <f t="array" ref="W173">NumberToWords(T173)</f>
        <v>Zero Rupees Only</v>
      </c>
      <c r="X173" s="10" t="str">
        <f t="shared" si="29"/>
        <v>Division</v>
      </c>
      <c r="Z173" s="9">
        <f t="shared" si="30"/>
        <v>0</v>
      </c>
      <c r="AB173" s="8">
        <f>_xlfn.XLOOKUP(AA173, 'Agency List'!A$2:A$145, 'Agency List'!B$2:B$145, "Not Found")</f>
        <v>0</v>
      </c>
      <c r="AC173" s="8">
        <f>_xlfn.XLOOKUP(AA173, 'Agency List'!A$2:A$145, 'Agency List'!C$2:C$145, "Not Found")</f>
        <v>0</v>
      </c>
      <c r="AD173" s="8">
        <f>_xlfn.XLOOKUP(AA173, 'Agency List'!A$2:A$145, 'Agency List'!D$2:D$145, "Not Found")</f>
        <v>0</v>
      </c>
      <c r="AE173" s="7"/>
      <c r="AF173" s="5"/>
      <c r="AG173" s="5" t="str">
        <f t="shared" si="31"/>
        <v>Bandhkam</v>
      </c>
      <c r="AH173" s="5"/>
      <c r="AI173" s="8"/>
      <c r="AJ173" s="8"/>
      <c r="AL173" s="16"/>
      <c r="AM173" s="12">
        <f t="shared" si="32"/>
        <v>0</v>
      </c>
      <c r="AN173" s="7">
        <f t="shared" si="33"/>
        <v>46334</v>
      </c>
      <c r="AO173" s="12">
        <f t="shared" si="34"/>
        <v>0</v>
      </c>
      <c r="AP173" s="12">
        <f t="shared" si="35"/>
        <v>0</v>
      </c>
      <c r="AQ173" s="15">
        <f t="shared" si="36"/>
        <v>45919</v>
      </c>
      <c r="AR173" s="7">
        <f t="shared" si="37"/>
        <v>46274</v>
      </c>
      <c r="AS173" s="5"/>
      <c r="AU173" s="5"/>
      <c r="AV173" s="17"/>
      <c r="AW173" s="17"/>
      <c r="AX173" s="5"/>
      <c r="AY173" s="5"/>
      <c r="AZ173" s="13"/>
      <c r="BA173" s="12"/>
      <c r="BB173" s="7"/>
      <c r="BC173" s="14"/>
      <c r="BD173" s="14"/>
      <c r="BF173" s="12"/>
      <c r="BG173" s="14"/>
      <c r="BH173" s="19">
        <v>45884</v>
      </c>
      <c r="BI173" s="5"/>
      <c r="BM173" s="18"/>
      <c r="BN173" s="18"/>
      <c r="BO173" s="18"/>
      <c r="BP173" s="18"/>
      <c r="BQ173" s="5"/>
      <c r="BR173" s="18"/>
      <c r="BS173" s="18"/>
      <c r="BT173" s="35">
        <f t="shared" si="38"/>
        <v>45884</v>
      </c>
    </row>
    <row r="174" spans="1:72" ht="29" x14ac:dyDescent="0.35">
      <c r="A174" s="5">
        <v>173</v>
      </c>
      <c r="B174" s="5"/>
      <c r="C174" s="5" t="s">
        <v>78</v>
      </c>
      <c r="D174" s="5">
        <v>8</v>
      </c>
      <c r="E174" s="5">
        <v>67</v>
      </c>
      <c r="F174" s="8"/>
      <c r="G174" s="8"/>
      <c r="H174" s="5"/>
      <c r="I174" s="5" t="e" cm="1">
        <f t="array" ref="I174">_xlfn.IFS(
  H174="Mahuva", "Mahuva",
  H174="Jesar", "Mahuva",
  H174="Palitana", "Palitana",
  H174="Gariyadhar", "Palitana",
  H174="Talaja", "Talaja",
  H174="Vallabhipur", "Vallabhipur",
  H174="Umrala", "Vallabhipur",
  H174="Shihor", "Shihor",
  H174="Ghogha", "Bhavnagar",
  H174="Bhavnagar", "Bhavnagar"
)</f>
        <v>#N/A</v>
      </c>
      <c r="J174" s="5" t="s">
        <v>256</v>
      </c>
      <c r="K174" s="5" t="s">
        <v>418</v>
      </c>
      <c r="M174" s="5"/>
      <c r="N174" s="7">
        <v>45837</v>
      </c>
      <c r="O174" s="7">
        <v>45848</v>
      </c>
      <c r="P174" s="7">
        <v>45849</v>
      </c>
      <c r="Q174" s="7">
        <f t="shared" si="27"/>
        <v>45968</v>
      </c>
      <c r="S174" s="33" t="s">
        <v>233</v>
      </c>
      <c r="U174" s="10"/>
      <c r="V174" s="10" t="str">
        <f t="shared" si="28"/>
        <v>Equals</v>
      </c>
      <c r="W174" s="11" t="str" cm="1">
        <f t="array" ref="W174">NumberToWords(T174)</f>
        <v>Zero Rupees Only</v>
      </c>
      <c r="X174" s="10" t="str">
        <f t="shared" si="29"/>
        <v>Division</v>
      </c>
      <c r="Z174" s="9">
        <f t="shared" si="30"/>
        <v>0</v>
      </c>
      <c r="AB174" s="8">
        <f>_xlfn.XLOOKUP(AA174, 'Agency List'!A$2:A$145, 'Agency List'!B$2:B$145, "Not Found")</f>
        <v>0</v>
      </c>
      <c r="AC174" s="8">
        <f>_xlfn.XLOOKUP(AA174, 'Agency List'!A$2:A$145, 'Agency List'!C$2:C$145, "Not Found")</f>
        <v>0</v>
      </c>
      <c r="AD174" s="8">
        <f>_xlfn.XLOOKUP(AA174, 'Agency List'!A$2:A$145, 'Agency List'!D$2:D$145, "Not Found")</f>
        <v>0</v>
      </c>
      <c r="AE174" s="7"/>
      <c r="AF174" s="5"/>
      <c r="AG174" s="5" t="str">
        <f t="shared" si="31"/>
        <v>Bandhkam</v>
      </c>
      <c r="AH174" s="5"/>
      <c r="AI174" s="8"/>
      <c r="AJ174" s="8"/>
      <c r="AL174" s="16"/>
      <c r="AM174" s="12">
        <f t="shared" si="32"/>
        <v>0</v>
      </c>
      <c r="AN174" s="7">
        <f t="shared" si="33"/>
        <v>46334</v>
      </c>
      <c r="AO174" s="12">
        <f t="shared" si="34"/>
        <v>0</v>
      </c>
      <c r="AP174" s="12">
        <f t="shared" si="35"/>
        <v>0</v>
      </c>
      <c r="AQ174" s="15">
        <f t="shared" si="36"/>
        <v>45919</v>
      </c>
      <c r="AR174" s="7">
        <f t="shared" si="37"/>
        <v>46274</v>
      </c>
      <c r="AS174" s="5"/>
      <c r="AU174" s="5"/>
      <c r="AV174" s="17"/>
      <c r="AW174" s="17"/>
      <c r="AX174" s="5"/>
      <c r="AY174" s="5"/>
      <c r="AZ174" s="13"/>
      <c r="BA174" s="12"/>
      <c r="BB174" s="7"/>
      <c r="BC174" s="14"/>
      <c r="BD174" s="14"/>
      <c r="BF174" s="12"/>
      <c r="BG174" s="14"/>
      <c r="BH174" s="19">
        <v>45884</v>
      </c>
      <c r="BI174" s="5"/>
      <c r="BM174" s="18"/>
      <c r="BN174" s="18"/>
      <c r="BO174" s="18"/>
      <c r="BP174" s="18"/>
      <c r="BQ174" s="5"/>
      <c r="BR174" s="18"/>
      <c r="BS174" s="18"/>
      <c r="BT174" s="35">
        <f t="shared" si="38"/>
        <v>45884</v>
      </c>
    </row>
    <row r="175" spans="1:72" ht="43.5" x14ac:dyDescent="0.35">
      <c r="A175" s="5">
        <v>174</v>
      </c>
      <c r="B175" s="5"/>
      <c r="C175" s="5" t="s">
        <v>78</v>
      </c>
      <c r="D175" s="5">
        <v>8</v>
      </c>
      <c r="E175" s="5">
        <v>68</v>
      </c>
      <c r="F175" s="8" t="s">
        <v>519</v>
      </c>
      <c r="G175" s="8"/>
      <c r="H175" s="5" t="s">
        <v>3</v>
      </c>
      <c r="I175" s="5" t="str" cm="1">
        <f t="array" ref="I175">_xlfn.IFS(
  H175="Mahuva", "Mahuva",
  H175="Jesar", "Mahuva",
  H175="Palitana", "Palitana",
  H175="Gariyadhar", "Palitana",
  H175="Talaja", "Talaja",
  H175="Vallabhipur", "Vallabhipur",
  H175="Umrala", "Vallabhipur",
  H175="Shihor", "Shihor",
  H175="Ghogha", "Bhavnagar",
  H175="Bhavnagar", "Bhavnagar"
)</f>
        <v>Palitana</v>
      </c>
      <c r="J175" s="5" t="s">
        <v>256</v>
      </c>
      <c r="K175" s="5" t="s">
        <v>418</v>
      </c>
      <c r="L175" s="5">
        <v>199670</v>
      </c>
      <c r="M175" s="5"/>
      <c r="N175" s="7">
        <v>45837</v>
      </c>
      <c r="O175" s="7">
        <v>45848</v>
      </c>
      <c r="P175" s="7">
        <v>45849</v>
      </c>
      <c r="Q175" s="7">
        <f t="shared" si="27"/>
        <v>45968</v>
      </c>
      <c r="R175" s="9">
        <v>2079935.08</v>
      </c>
      <c r="S175" s="33"/>
      <c r="T175" s="9">
        <v>1907924.45</v>
      </c>
      <c r="U175" s="10">
        <v>-8.27</v>
      </c>
      <c r="V175" s="10" t="str">
        <f t="shared" si="28"/>
        <v>Below</v>
      </c>
      <c r="W175" s="11" t="str" cm="1">
        <f t="array" ref="W175">NumberToWords(T175)</f>
        <v>Nineteen Lakh Seven Thousand Nine Hundred Twenty Four Rupees and Forty Five Paise Only</v>
      </c>
      <c r="X175" s="10" t="str">
        <f t="shared" si="29"/>
        <v>Division</v>
      </c>
      <c r="Z175" s="9">
        <f t="shared" si="30"/>
        <v>1907924.45</v>
      </c>
      <c r="AA175" s="5" t="s">
        <v>404</v>
      </c>
      <c r="AB175" s="8">
        <f>_xlfn.XLOOKUP(AA175, 'Agency List'!A$2:A$145, 'Agency List'!B$2:B$145, "Not Found")</f>
        <v>0</v>
      </c>
      <c r="AC175" s="8" t="str">
        <f>_xlfn.XLOOKUP(AA175, 'Agency List'!A$2:A$145, 'Agency List'!C$2:C$145, "Not Found")</f>
        <v>Fulwadi Faliya, Uchchhal-2, Tal. Uchchhal, Dist. Tapi- 394375</v>
      </c>
      <c r="AD175" s="8">
        <f>_xlfn.XLOOKUP(AA175, 'Agency List'!A$2:A$145, 'Agency List'!D$2:D$145, "Not Found")</f>
        <v>9016414291</v>
      </c>
      <c r="AE175" s="7"/>
      <c r="AF175" s="5" t="s">
        <v>357</v>
      </c>
      <c r="AG175" s="5" t="str">
        <f t="shared" si="31"/>
        <v>Bandhkam</v>
      </c>
      <c r="AH175" s="5"/>
      <c r="AI175" s="8"/>
      <c r="AJ175" s="8"/>
      <c r="AL175" s="16">
        <v>4</v>
      </c>
      <c r="AM175" s="12">
        <f t="shared" si="32"/>
        <v>96000</v>
      </c>
      <c r="AN175" s="7">
        <f t="shared" si="33"/>
        <v>46471</v>
      </c>
      <c r="AO175" s="12">
        <f t="shared" si="34"/>
        <v>4800</v>
      </c>
      <c r="AP175" s="12">
        <f t="shared" si="35"/>
        <v>0</v>
      </c>
      <c r="AQ175" s="15">
        <f t="shared" si="36"/>
        <v>46056</v>
      </c>
      <c r="AR175" s="7">
        <f t="shared" si="37"/>
        <v>46411</v>
      </c>
      <c r="AS175" s="5">
        <v>1068</v>
      </c>
      <c r="AT175" s="7">
        <v>45874</v>
      </c>
      <c r="AU175" s="5" t="s">
        <v>78</v>
      </c>
      <c r="AV175" s="17">
        <v>127</v>
      </c>
      <c r="AW175" s="37">
        <v>45901</v>
      </c>
      <c r="AX175" s="5" t="s">
        <v>355</v>
      </c>
      <c r="AY175" s="5" t="s">
        <v>369</v>
      </c>
      <c r="AZ175" s="13">
        <v>44393851886</v>
      </c>
      <c r="BA175" s="12">
        <v>96000</v>
      </c>
      <c r="BB175" s="7">
        <v>45890</v>
      </c>
      <c r="BC175" s="14"/>
      <c r="BD175" s="14"/>
      <c r="BF175" s="12"/>
      <c r="BG175" s="14"/>
      <c r="BH175" s="37">
        <v>45901</v>
      </c>
      <c r="BI175" s="5">
        <v>1234</v>
      </c>
      <c r="BJ175" s="19">
        <v>45901</v>
      </c>
      <c r="BM175" s="18"/>
      <c r="BN175" s="18"/>
      <c r="BO175" s="18"/>
      <c r="BP175" s="18"/>
      <c r="BQ175" s="5"/>
      <c r="BR175" s="18"/>
      <c r="BS175" s="18"/>
      <c r="BT175" s="35"/>
    </row>
    <row r="176" spans="1:72" ht="29" x14ac:dyDescent="0.35">
      <c r="A176" s="5">
        <v>175</v>
      </c>
      <c r="B176" s="5"/>
      <c r="C176" s="5" t="s">
        <v>78</v>
      </c>
      <c r="D176" s="5">
        <v>8</v>
      </c>
      <c r="E176" s="5">
        <v>69</v>
      </c>
      <c r="F176" s="8"/>
      <c r="G176" s="8"/>
      <c r="H176" s="5"/>
      <c r="I176" s="5" t="e" cm="1">
        <f t="array" ref="I176">_xlfn.IFS(
  H176="Mahuva", "Mahuva",
  H176="Jesar", "Mahuva",
  H176="Palitana", "Palitana",
  H176="Gariyadhar", "Palitana",
  H176="Talaja", "Talaja",
  H176="Vallabhipur", "Vallabhipur",
  H176="Umrala", "Vallabhipur",
  H176="Shihor", "Shihor",
  H176="Ghogha", "Bhavnagar",
  H176="Bhavnagar", "Bhavnagar"
)</f>
        <v>#N/A</v>
      </c>
      <c r="J176" s="5" t="s">
        <v>256</v>
      </c>
      <c r="K176" s="5" t="s">
        <v>418</v>
      </c>
      <c r="M176" s="5"/>
      <c r="N176" s="7">
        <v>45837</v>
      </c>
      <c r="O176" s="7">
        <v>45848</v>
      </c>
      <c r="P176" s="7">
        <v>45849</v>
      </c>
      <c r="Q176" s="7">
        <f t="shared" si="27"/>
        <v>45968</v>
      </c>
      <c r="S176" s="33" t="s">
        <v>233</v>
      </c>
      <c r="U176" s="10"/>
      <c r="V176" s="10" t="str">
        <f t="shared" si="28"/>
        <v>Equals</v>
      </c>
      <c r="W176" s="11" t="str" cm="1">
        <f t="array" ref="W176">NumberToWords(T176)</f>
        <v>Zero Rupees Only</v>
      </c>
      <c r="X176" s="10" t="str">
        <f t="shared" si="29"/>
        <v>Division</v>
      </c>
      <c r="Z176" s="9">
        <f t="shared" si="30"/>
        <v>0</v>
      </c>
      <c r="AB176" s="8">
        <f>_xlfn.XLOOKUP(AA176, 'Agency List'!A$2:A$145, 'Agency List'!B$2:B$145, "Not Found")</f>
        <v>0</v>
      </c>
      <c r="AC176" s="8">
        <f>_xlfn.XLOOKUP(AA176, 'Agency List'!A$2:A$145, 'Agency List'!C$2:C$145, "Not Found")</f>
        <v>0</v>
      </c>
      <c r="AD176" s="8">
        <f>_xlfn.XLOOKUP(AA176, 'Agency List'!A$2:A$145, 'Agency List'!D$2:D$145, "Not Found")</f>
        <v>0</v>
      </c>
      <c r="AE176" s="7"/>
      <c r="AF176" s="5"/>
      <c r="AG176" s="5" t="str">
        <f t="shared" si="31"/>
        <v>Bandhkam</v>
      </c>
      <c r="AH176" s="5"/>
      <c r="AI176" s="8"/>
      <c r="AJ176" s="8"/>
      <c r="AL176" s="16"/>
      <c r="AM176" s="12">
        <f t="shared" si="32"/>
        <v>0</v>
      </c>
      <c r="AN176" s="7">
        <f t="shared" si="33"/>
        <v>46334</v>
      </c>
      <c r="AO176" s="12">
        <f t="shared" si="34"/>
        <v>0</v>
      </c>
      <c r="AP176" s="12">
        <f t="shared" si="35"/>
        <v>0</v>
      </c>
      <c r="AQ176" s="15">
        <f t="shared" si="36"/>
        <v>45919</v>
      </c>
      <c r="AR176" s="7">
        <f t="shared" si="37"/>
        <v>46274</v>
      </c>
      <c r="AS176" s="5"/>
      <c r="AU176" s="5"/>
      <c r="AV176" s="17"/>
      <c r="AW176" s="17"/>
      <c r="AX176" s="5"/>
      <c r="AY176" s="5"/>
      <c r="AZ176" s="13"/>
      <c r="BA176" s="12"/>
      <c r="BB176" s="7"/>
      <c r="BC176" s="14"/>
      <c r="BD176" s="14"/>
      <c r="BF176" s="12"/>
      <c r="BG176" s="14"/>
      <c r="BH176" s="19">
        <v>45884</v>
      </c>
      <c r="BI176" s="5"/>
      <c r="BM176" s="18"/>
      <c r="BN176" s="18"/>
      <c r="BO176" s="18"/>
      <c r="BP176" s="18"/>
      <c r="BQ176" s="5"/>
      <c r="BR176" s="18"/>
      <c r="BS176" s="18"/>
      <c r="BT176" s="35">
        <f t="shared" ref="BT176:BT182" si="39">BH176+AL176*30</f>
        <v>45884</v>
      </c>
    </row>
    <row r="177" spans="1:72" ht="43.5" x14ac:dyDescent="0.35">
      <c r="A177" s="5">
        <v>176</v>
      </c>
      <c r="B177" s="5"/>
      <c r="C177" s="5" t="s">
        <v>78</v>
      </c>
      <c r="D177" s="5">
        <v>8</v>
      </c>
      <c r="E177" s="5">
        <v>70</v>
      </c>
      <c r="F177" s="8" t="s">
        <v>520</v>
      </c>
      <c r="G177" s="8"/>
      <c r="H177" s="5" t="s">
        <v>2</v>
      </c>
      <c r="I177" s="5" t="str" cm="1">
        <f t="array" ref="I177">_xlfn.IFS(
  H177="Mahuva", "Mahuva",
  H177="Jesar", "Mahuva",
  H177="Palitana", "Palitana",
  H177="Gariyadhar", "Palitana",
  H177="Talaja", "Talaja",
  H177="Vallabhipur", "Vallabhipur",
  H177="Umrala", "Vallabhipur",
  H177="Shihor", "Shihor",
  H177="Ghogha", "Bhavnagar",
  H177="Bhavnagar", "Bhavnagar"
)</f>
        <v>Vallabhipur</v>
      </c>
      <c r="J177" s="5" t="s">
        <v>256</v>
      </c>
      <c r="K177" s="5" t="s">
        <v>418</v>
      </c>
      <c r="L177" s="5">
        <v>199672</v>
      </c>
      <c r="M177" s="5"/>
      <c r="N177" s="7">
        <v>45837</v>
      </c>
      <c r="O177" s="7">
        <v>45848</v>
      </c>
      <c r="P177" s="7">
        <v>45849</v>
      </c>
      <c r="Q177" s="7">
        <f t="shared" si="27"/>
        <v>45968</v>
      </c>
      <c r="R177" s="9">
        <v>2079935.08</v>
      </c>
      <c r="S177" s="33"/>
      <c r="T177" s="9">
        <v>1869237.66</v>
      </c>
      <c r="U177" s="10">
        <v>-10.130000000000001</v>
      </c>
      <c r="V177" s="10" t="str">
        <f t="shared" si="28"/>
        <v>Below</v>
      </c>
      <c r="W177" s="11" t="str" cm="1">
        <f t="array" ref="W177">NumberToWords(T177)</f>
        <v>Eighteen Lakh Sixty Nine Thousand Two Hundred Thirty Seven Rupees and Sixty Six Paise Only</v>
      </c>
      <c r="X177" s="10" t="str">
        <f t="shared" si="29"/>
        <v>Division</v>
      </c>
      <c r="Z177" s="9">
        <f t="shared" si="30"/>
        <v>1869237.66</v>
      </c>
      <c r="AA177" s="5" t="s">
        <v>405</v>
      </c>
      <c r="AB177" s="8" t="str">
        <f>_xlfn.XLOOKUP(AA177, 'Agency List'!A$2:A$145, 'Agency List'!B$2:B$145, "Not Found")</f>
        <v>Mangukiya Vishal Gunvantbhai</v>
      </c>
      <c r="AC177" s="8" t="str">
        <f>_xlfn.XLOOKUP(AA177, 'Agency List'!A$2:A$145, 'Agency List'!C$2:C$145, "Not Found")</f>
        <v>214, Hill Town Square, Near Ganesh Opera, Nikol, Ahmedabad - 382350</v>
      </c>
      <c r="AD177" s="8">
        <f>_xlfn.XLOOKUP(AA177, 'Agency List'!A$2:A$145, 'Agency List'!D$2:D$145, "Not Found")</f>
        <v>9408131313</v>
      </c>
      <c r="AE177" s="7"/>
      <c r="AF177" s="5"/>
      <c r="AG177" s="5" t="str">
        <f t="shared" si="31"/>
        <v>Bandhkam</v>
      </c>
      <c r="AH177" s="5"/>
      <c r="AI177" s="8"/>
      <c r="AJ177" s="8"/>
      <c r="AL177" s="16">
        <v>4</v>
      </c>
      <c r="AM177" s="12">
        <f t="shared" si="32"/>
        <v>94000</v>
      </c>
      <c r="AN177" s="7">
        <f t="shared" si="33"/>
        <v>46583</v>
      </c>
      <c r="AO177" s="12">
        <f t="shared" si="34"/>
        <v>4700</v>
      </c>
      <c r="AP177" s="12">
        <f t="shared" si="35"/>
        <v>1000</v>
      </c>
      <c r="AQ177" s="15">
        <f t="shared" si="36"/>
        <v>46168</v>
      </c>
      <c r="AR177" s="7">
        <f t="shared" si="37"/>
        <v>46523</v>
      </c>
      <c r="AS177" s="5">
        <v>1069</v>
      </c>
      <c r="AT177" s="7">
        <v>45874</v>
      </c>
      <c r="AU177" s="5" t="s">
        <v>78</v>
      </c>
      <c r="AV177" s="17">
        <v>243</v>
      </c>
      <c r="AW177" s="37">
        <v>46013</v>
      </c>
      <c r="AX177" s="5" t="s">
        <v>355</v>
      </c>
      <c r="AY177" s="5" t="s">
        <v>605</v>
      </c>
      <c r="AZ177" s="45" t="s">
        <v>944</v>
      </c>
      <c r="BA177" s="12">
        <v>94000</v>
      </c>
      <c r="BB177" s="7">
        <v>46006</v>
      </c>
      <c r="BC177" s="5" t="s">
        <v>355</v>
      </c>
      <c r="BD177" s="5" t="s">
        <v>369</v>
      </c>
      <c r="BE177" s="45" t="s">
        <v>945</v>
      </c>
      <c r="BF177" s="12">
        <v>1000</v>
      </c>
      <c r="BG177" s="7">
        <v>46007</v>
      </c>
      <c r="BH177" s="19">
        <v>46013</v>
      </c>
      <c r="BI177" s="5">
        <v>1787</v>
      </c>
      <c r="BJ177" s="19">
        <v>46013</v>
      </c>
      <c r="BK177" s="5">
        <v>1719</v>
      </c>
      <c r="BL177" s="7">
        <v>46006</v>
      </c>
      <c r="BM177" s="18"/>
      <c r="BN177" s="18"/>
      <c r="BO177" s="18"/>
      <c r="BP177" s="18"/>
      <c r="BQ177" s="5"/>
      <c r="BR177" s="18"/>
      <c r="BS177" s="18"/>
      <c r="BT177" s="35">
        <f t="shared" si="39"/>
        <v>46133</v>
      </c>
    </row>
    <row r="178" spans="1:72" ht="58" x14ac:dyDescent="0.35">
      <c r="A178" s="5">
        <v>177</v>
      </c>
      <c r="B178" s="5"/>
      <c r="C178" s="5" t="s">
        <v>78</v>
      </c>
      <c r="D178" s="5">
        <v>8</v>
      </c>
      <c r="E178" s="5">
        <v>71</v>
      </c>
      <c r="F178" s="8" t="s">
        <v>521</v>
      </c>
      <c r="G178" s="8"/>
      <c r="H178" s="5" t="s">
        <v>2</v>
      </c>
      <c r="I178" s="5" t="str" cm="1">
        <f t="array" ref="I178">_xlfn.IFS(
  H178="Mahuva", "Mahuva",
  H178="Jesar", "Mahuva",
  H178="Palitana", "Palitana",
  H178="Gariyadhar", "Palitana",
  H178="Talaja", "Talaja",
  H178="Vallabhipur", "Vallabhipur",
  H178="Umrala", "Vallabhipur",
  H178="Shihor", "Shihor",
  H178="Ghogha", "Bhavnagar",
  H178="Bhavnagar", "Bhavnagar"
)</f>
        <v>Vallabhipur</v>
      </c>
      <c r="J178" s="5" t="s">
        <v>256</v>
      </c>
      <c r="K178" s="5" t="s">
        <v>418</v>
      </c>
      <c r="L178" s="5">
        <v>199673</v>
      </c>
      <c r="M178" s="5"/>
      <c r="N178" s="7">
        <v>45837</v>
      </c>
      <c r="O178" s="7">
        <v>45848</v>
      </c>
      <c r="P178" s="7">
        <v>45849</v>
      </c>
      <c r="Q178" s="7">
        <f t="shared" si="27"/>
        <v>45968</v>
      </c>
      <c r="R178" s="9">
        <v>2079935.08</v>
      </c>
      <c r="S178" s="33"/>
      <c r="T178" s="9">
        <v>1869653.64</v>
      </c>
      <c r="U178" s="10">
        <v>-10.11</v>
      </c>
      <c r="V178" s="10" t="str">
        <f t="shared" si="28"/>
        <v>Below</v>
      </c>
      <c r="W178" s="11" t="str" cm="1">
        <f t="array" ref="W178">NumberToWords(T178)</f>
        <v>Eighteen Lakh Sixty Nine Thousand Six Hundred Fifty Three Rupees and Sixty Four Paise Only</v>
      </c>
      <c r="X178" s="10" t="str">
        <f t="shared" si="29"/>
        <v>Division</v>
      </c>
      <c r="Z178" s="9">
        <f t="shared" si="30"/>
        <v>1869653.64</v>
      </c>
      <c r="AA178" s="5" t="s">
        <v>5</v>
      </c>
      <c r="AB178" s="8" t="str">
        <f>_xlfn.XLOOKUP(AA178, 'Agency List'!A$2:A$145, 'Agency List'!B$2:B$145, "Not Found")</f>
        <v>C. H. Gohil</v>
      </c>
      <c r="AC178" s="8" t="str">
        <f>_xlfn.XLOOKUP(AA178, 'Agency List'!A$2:A$145, 'Agency List'!C$2:C$145, "Not Found")</f>
        <v>Ground Floor, Shop No.2, House No.151, Near Chabutara, Dadva Road, Dhola, Ta.Umrala, Dist.Bhavnagar</v>
      </c>
      <c r="AD178" s="8">
        <f>_xlfn.XLOOKUP(AA178, 'Agency List'!A$2:A$145, 'Agency List'!D$2:D$145, "Not Found")</f>
        <v>9377666263</v>
      </c>
      <c r="AE178" s="7"/>
      <c r="AF178" s="5"/>
      <c r="AG178" s="5" t="str">
        <f t="shared" si="31"/>
        <v>Bandhkam</v>
      </c>
      <c r="AH178" s="5"/>
      <c r="AI178" s="8"/>
      <c r="AJ178" s="8"/>
      <c r="AL178" s="16">
        <v>4</v>
      </c>
      <c r="AM178" s="12">
        <f t="shared" si="32"/>
        <v>94000</v>
      </c>
      <c r="AN178" s="7">
        <f t="shared" si="33"/>
        <v>46454</v>
      </c>
      <c r="AO178" s="12">
        <f t="shared" si="34"/>
        <v>4700</v>
      </c>
      <c r="AP178" s="12">
        <f t="shared" si="35"/>
        <v>1000</v>
      </c>
      <c r="AQ178" s="15">
        <f t="shared" si="36"/>
        <v>46039</v>
      </c>
      <c r="AR178" s="7">
        <f t="shared" si="37"/>
        <v>46394</v>
      </c>
      <c r="AS178" s="5">
        <v>1070</v>
      </c>
      <c r="AT178" s="7">
        <v>45874</v>
      </c>
      <c r="AU178" s="5"/>
      <c r="AV178" s="17"/>
      <c r="AW178" s="37"/>
      <c r="AX178" s="5"/>
      <c r="AY178" s="5"/>
      <c r="AZ178" s="13"/>
      <c r="BA178" s="12"/>
      <c r="BB178" s="7"/>
      <c r="BC178" s="14"/>
      <c r="BD178" s="14"/>
      <c r="BF178" s="12"/>
      <c r="BG178" s="14"/>
      <c r="BH178" s="19">
        <v>45884</v>
      </c>
      <c r="BI178" s="5"/>
      <c r="BK178" s="5">
        <v>1720</v>
      </c>
      <c r="BL178" s="7">
        <v>46006</v>
      </c>
      <c r="BM178" s="18"/>
      <c r="BN178" s="18"/>
      <c r="BO178" s="18"/>
      <c r="BP178" s="18"/>
      <c r="BQ178" s="5"/>
      <c r="BR178" s="18"/>
      <c r="BS178" s="18"/>
      <c r="BT178" s="35">
        <f t="shared" si="39"/>
        <v>46004</v>
      </c>
    </row>
    <row r="179" spans="1:72" ht="43.5" x14ac:dyDescent="0.35">
      <c r="A179" s="5">
        <v>178</v>
      </c>
      <c r="B179" s="5"/>
      <c r="C179" s="5" t="s">
        <v>78</v>
      </c>
      <c r="D179" s="5">
        <v>8</v>
      </c>
      <c r="E179" s="5">
        <v>72</v>
      </c>
      <c r="F179" s="8" t="s">
        <v>522</v>
      </c>
      <c r="G179" s="8"/>
      <c r="H179" s="5" t="s">
        <v>2</v>
      </c>
      <c r="I179" s="5" t="str" cm="1">
        <f t="array" ref="I179">_xlfn.IFS(
  H179="Mahuva", "Mahuva",
  H179="Jesar", "Mahuva",
  H179="Palitana", "Palitana",
  H179="Gariyadhar", "Palitana",
  H179="Talaja", "Talaja",
  H179="Vallabhipur", "Vallabhipur",
  H179="Umrala", "Vallabhipur",
  H179="Shihor", "Shihor",
  H179="Ghogha", "Bhavnagar",
  H179="Bhavnagar", "Bhavnagar"
)</f>
        <v>Vallabhipur</v>
      </c>
      <c r="J179" s="5" t="s">
        <v>256</v>
      </c>
      <c r="K179" s="5" t="s">
        <v>418</v>
      </c>
      <c r="L179" s="5">
        <v>199675</v>
      </c>
      <c r="M179" s="5"/>
      <c r="N179" s="7">
        <v>45837</v>
      </c>
      <c r="O179" s="7">
        <v>45848</v>
      </c>
      <c r="P179" s="7">
        <v>45849</v>
      </c>
      <c r="Q179" s="7">
        <f t="shared" si="27"/>
        <v>45968</v>
      </c>
      <c r="R179" s="9">
        <v>2079935.08</v>
      </c>
      <c r="S179" s="33"/>
      <c r="T179" s="9">
        <v>1902932.6</v>
      </c>
      <c r="U179" s="10">
        <v>-8.51</v>
      </c>
      <c r="V179" s="10" t="str">
        <f t="shared" si="28"/>
        <v>Below</v>
      </c>
      <c r="W179" s="11" t="str" cm="1">
        <f t="array" ref="W179">NumberToWords(T179)</f>
        <v>Nineteen Lakh Two Thousand Nine Hundred Thirty Two Rupees and Six Paise Only</v>
      </c>
      <c r="X179" s="10" t="str">
        <f t="shared" si="29"/>
        <v>Division</v>
      </c>
      <c r="Z179" s="9">
        <f t="shared" si="30"/>
        <v>1902932.6</v>
      </c>
      <c r="AA179" s="5" t="s">
        <v>298</v>
      </c>
      <c r="AB179" s="8" t="str">
        <f>_xlfn.XLOOKUP(AA179, 'Agency List'!A$2:A$145, 'Agency List'!B$2:B$145, "Not Found")</f>
        <v>D. H. Gohil</v>
      </c>
      <c r="AC179" s="8" t="str">
        <f>_xlfn.XLOOKUP(AA179, 'Agency List'!A$2:A$145, 'Agency List'!C$2:C$145, "Not Found")</f>
        <v>At. Vangadhra, Ta.Umrala, Dist. Bhavnagar</v>
      </c>
      <c r="AD179" s="8">
        <f>_xlfn.XLOOKUP(AA179, 'Agency List'!A$2:A$145, 'Agency List'!D$2:D$145, "Not Found")</f>
        <v>8780286268</v>
      </c>
      <c r="AE179" s="7"/>
      <c r="AF179" s="5"/>
      <c r="AG179" s="5" t="str">
        <f t="shared" si="31"/>
        <v>Bandhkam</v>
      </c>
      <c r="AH179" s="5"/>
      <c r="AI179" s="8"/>
      <c r="AJ179" s="8"/>
      <c r="AL179" s="16">
        <v>4</v>
      </c>
      <c r="AM179" s="12">
        <f t="shared" si="32"/>
        <v>96000</v>
      </c>
      <c r="AN179" s="7">
        <f t="shared" si="33"/>
        <v>46454</v>
      </c>
      <c r="AO179" s="12">
        <f t="shared" si="34"/>
        <v>4800</v>
      </c>
      <c r="AP179" s="12">
        <f t="shared" si="35"/>
        <v>0</v>
      </c>
      <c r="AQ179" s="15">
        <f t="shared" si="36"/>
        <v>46039</v>
      </c>
      <c r="AR179" s="7">
        <f t="shared" si="37"/>
        <v>46394</v>
      </c>
      <c r="AS179" s="5">
        <v>1071</v>
      </c>
      <c r="AT179" s="7">
        <v>45874</v>
      </c>
      <c r="AU179" s="5"/>
      <c r="AV179" s="17"/>
      <c r="AW179" s="17"/>
      <c r="AX179" s="5"/>
      <c r="AY179" s="5"/>
      <c r="AZ179" s="13"/>
      <c r="BA179" s="12"/>
      <c r="BB179" s="7"/>
      <c r="BC179" s="14"/>
      <c r="BD179" s="14"/>
      <c r="BF179" s="12"/>
      <c r="BG179" s="14"/>
      <c r="BH179" s="19">
        <v>45884</v>
      </c>
      <c r="BI179" s="5"/>
      <c r="BK179" s="5">
        <v>1725</v>
      </c>
      <c r="BL179" s="7">
        <v>46006</v>
      </c>
      <c r="BM179" s="18"/>
      <c r="BN179" s="18"/>
      <c r="BO179" s="18"/>
      <c r="BP179" s="18"/>
      <c r="BQ179" s="5"/>
      <c r="BR179" s="18"/>
      <c r="BS179" s="18"/>
      <c r="BT179" s="35">
        <f t="shared" si="39"/>
        <v>46004</v>
      </c>
    </row>
    <row r="180" spans="1:72" ht="58" x14ac:dyDescent="0.35">
      <c r="A180" s="5">
        <v>179</v>
      </c>
      <c r="B180" s="5"/>
      <c r="C180" s="5" t="s">
        <v>78</v>
      </c>
      <c r="D180" s="5">
        <v>8</v>
      </c>
      <c r="E180" s="5">
        <v>73</v>
      </c>
      <c r="F180" s="8" t="s">
        <v>523</v>
      </c>
      <c r="G180" s="8"/>
      <c r="H180" s="5" t="s">
        <v>2</v>
      </c>
      <c r="I180" s="5" t="str" cm="1">
        <f t="array" ref="I180">_xlfn.IFS(
  H180="Mahuva", "Mahuva",
  H180="Jesar", "Mahuva",
  H180="Palitana", "Palitana",
  H180="Gariyadhar", "Palitana",
  H180="Talaja", "Talaja",
  H180="Vallabhipur", "Vallabhipur",
  H180="Umrala", "Vallabhipur",
  H180="Shihor", "Shihor",
  H180="Ghogha", "Bhavnagar",
  H180="Bhavnagar", "Bhavnagar"
)</f>
        <v>Vallabhipur</v>
      </c>
      <c r="J180" s="5" t="s">
        <v>256</v>
      </c>
      <c r="K180" s="5" t="s">
        <v>418</v>
      </c>
      <c r="L180" s="5">
        <v>199677</v>
      </c>
      <c r="M180" s="5"/>
      <c r="N180" s="7">
        <v>45837</v>
      </c>
      <c r="O180" s="7">
        <v>45848</v>
      </c>
      <c r="P180" s="7">
        <v>45849</v>
      </c>
      <c r="Q180" s="7">
        <f t="shared" si="27"/>
        <v>45968</v>
      </c>
      <c r="R180" s="9">
        <v>2079935.08</v>
      </c>
      <c r="S180" s="33"/>
      <c r="T180" s="9">
        <v>1785832.26</v>
      </c>
      <c r="U180" s="10">
        <v>-14.14</v>
      </c>
      <c r="V180" s="10" t="str">
        <f t="shared" si="28"/>
        <v>Below</v>
      </c>
      <c r="W180" s="11" t="str" cm="1">
        <f t="array" ref="W180">NumberToWords(T180)</f>
        <v>Seventeen Lakh Eighty Five Thousand Eight Hundred Thirty Two Rupees and Twenty Six Paise Only</v>
      </c>
      <c r="X180" s="10" t="str">
        <f t="shared" si="29"/>
        <v>Division</v>
      </c>
      <c r="Z180" s="9">
        <f t="shared" si="30"/>
        <v>1785832.26</v>
      </c>
      <c r="AA180" s="5" t="s">
        <v>5</v>
      </c>
      <c r="AB180" s="8" t="str">
        <f>_xlfn.XLOOKUP(AA180, 'Agency List'!A$2:A$145, 'Agency List'!B$2:B$145, "Not Found")</f>
        <v>C. H. Gohil</v>
      </c>
      <c r="AC180" s="8" t="str">
        <f>_xlfn.XLOOKUP(AA180, 'Agency List'!A$2:A$145, 'Agency List'!C$2:C$145, "Not Found")</f>
        <v>Ground Floor, Shop No.2, House No.151, Near Chabutara, Dadva Road, Dhola, Ta.Umrala, Dist.Bhavnagar</v>
      </c>
      <c r="AD180" s="8">
        <f>_xlfn.XLOOKUP(AA180, 'Agency List'!A$2:A$145, 'Agency List'!D$2:D$145, "Not Found")</f>
        <v>9377666263</v>
      </c>
      <c r="AE180" s="7"/>
      <c r="AF180" s="5"/>
      <c r="AG180" s="5" t="str">
        <f t="shared" si="31"/>
        <v>Bandhkam</v>
      </c>
      <c r="AH180" s="5"/>
      <c r="AI180" s="8"/>
      <c r="AJ180" s="8"/>
      <c r="AL180" s="16">
        <v>4</v>
      </c>
      <c r="AM180" s="12">
        <f t="shared" si="32"/>
        <v>90000</v>
      </c>
      <c r="AN180" s="7">
        <f t="shared" si="33"/>
        <v>46454</v>
      </c>
      <c r="AO180" s="12">
        <f t="shared" si="34"/>
        <v>5300</v>
      </c>
      <c r="AP180" s="12">
        <f t="shared" si="35"/>
        <v>18000</v>
      </c>
      <c r="AQ180" s="15">
        <f t="shared" si="36"/>
        <v>46039</v>
      </c>
      <c r="AR180" s="7">
        <f t="shared" si="37"/>
        <v>46394</v>
      </c>
      <c r="AS180" s="5">
        <v>1072</v>
      </c>
      <c r="AT180" s="7">
        <v>45874</v>
      </c>
      <c r="AU180" s="5"/>
      <c r="AV180" s="17"/>
      <c r="AW180" s="17"/>
      <c r="AX180" s="5"/>
      <c r="AY180" s="5"/>
      <c r="AZ180" s="13"/>
      <c r="BA180" s="12"/>
      <c r="BB180" s="7"/>
      <c r="BC180" s="14"/>
      <c r="BD180" s="14"/>
      <c r="BF180" s="12"/>
      <c r="BG180" s="14"/>
      <c r="BH180" s="19">
        <v>45884</v>
      </c>
      <c r="BI180" s="5"/>
      <c r="BK180" s="5">
        <v>1722</v>
      </c>
      <c r="BL180" s="7">
        <v>46006</v>
      </c>
      <c r="BM180" s="18"/>
      <c r="BN180" s="18"/>
      <c r="BO180" s="18"/>
      <c r="BP180" s="18"/>
      <c r="BQ180" s="5"/>
      <c r="BR180" s="18"/>
      <c r="BS180" s="18"/>
      <c r="BT180" s="35">
        <f t="shared" si="39"/>
        <v>46004</v>
      </c>
    </row>
    <row r="181" spans="1:72" ht="58" x14ac:dyDescent="0.35">
      <c r="A181" s="5">
        <v>180</v>
      </c>
      <c r="B181" s="5"/>
      <c r="C181" s="5" t="s">
        <v>78</v>
      </c>
      <c r="D181" s="5">
        <v>8</v>
      </c>
      <c r="E181" s="5">
        <v>74</v>
      </c>
      <c r="F181" s="8" t="s">
        <v>524</v>
      </c>
      <c r="G181" s="8"/>
      <c r="H181" s="5" t="s">
        <v>2</v>
      </c>
      <c r="I181" s="5" t="str" cm="1">
        <f t="array" ref="I181">_xlfn.IFS(
  H181="Mahuva", "Mahuva",
  H181="Jesar", "Mahuva",
  H181="Palitana", "Palitana",
  H181="Gariyadhar", "Palitana",
  H181="Talaja", "Talaja",
  H181="Vallabhipur", "Vallabhipur",
  H181="Umrala", "Vallabhipur",
  H181="Shihor", "Shihor",
  H181="Ghogha", "Bhavnagar",
  H181="Bhavnagar", "Bhavnagar"
)</f>
        <v>Vallabhipur</v>
      </c>
      <c r="J181" s="5" t="s">
        <v>256</v>
      </c>
      <c r="K181" s="5" t="s">
        <v>418</v>
      </c>
      <c r="L181" s="5">
        <v>199678</v>
      </c>
      <c r="M181" s="5"/>
      <c r="N181" s="7">
        <v>45837</v>
      </c>
      <c r="O181" s="7">
        <v>45848</v>
      </c>
      <c r="P181" s="7">
        <v>45849</v>
      </c>
      <c r="Q181" s="7">
        <f t="shared" si="27"/>
        <v>45968</v>
      </c>
      <c r="R181" s="9">
        <v>2079935.08</v>
      </c>
      <c r="S181" s="33"/>
      <c r="T181" s="9">
        <v>1827846.95</v>
      </c>
      <c r="U181" s="10">
        <v>-12.12</v>
      </c>
      <c r="V181" s="10" t="str">
        <f t="shared" si="28"/>
        <v>Below</v>
      </c>
      <c r="W181" s="11" t="str" cm="1">
        <f t="array" ref="W181">NumberToWords(T181)</f>
        <v>Eighteen Lakh Twenty Seven Thousand Eight Hundred Forty Six Rupees and Ninety Five Paise Only</v>
      </c>
      <c r="X181" s="10" t="str">
        <f t="shared" si="29"/>
        <v>Division</v>
      </c>
      <c r="Z181" s="9">
        <f t="shared" si="30"/>
        <v>1827846.95</v>
      </c>
      <c r="AA181" s="5" t="s">
        <v>5</v>
      </c>
      <c r="AB181" s="8" t="str">
        <f>_xlfn.XLOOKUP(AA181, 'Agency List'!A$2:A$145, 'Agency List'!B$2:B$145, "Not Found")</f>
        <v>C. H. Gohil</v>
      </c>
      <c r="AC181" s="8" t="str">
        <f>_xlfn.XLOOKUP(AA181, 'Agency List'!A$2:A$145, 'Agency List'!C$2:C$145, "Not Found")</f>
        <v>Ground Floor, Shop No.2, House No.151, Near Chabutara, Dadva Road, Dhola, Ta.Umrala, Dist.Bhavnagar</v>
      </c>
      <c r="AD181" s="8">
        <f>_xlfn.XLOOKUP(AA181, 'Agency List'!A$2:A$145, 'Agency List'!D$2:D$145, "Not Found")</f>
        <v>9377666263</v>
      </c>
      <c r="AE181" s="7"/>
      <c r="AF181" s="5"/>
      <c r="AG181" s="5" t="str">
        <f t="shared" si="31"/>
        <v>Bandhkam</v>
      </c>
      <c r="AH181" s="5"/>
      <c r="AI181" s="8"/>
      <c r="AJ181" s="8"/>
      <c r="AL181" s="16">
        <v>4</v>
      </c>
      <c r="AM181" s="12">
        <f t="shared" si="32"/>
        <v>92000</v>
      </c>
      <c r="AN181" s="7">
        <f t="shared" si="33"/>
        <v>46454</v>
      </c>
      <c r="AO181" s="12">
        <f t="shared" si="34"/>
        <v>5000</v>
      </c>
      <c r="AP181" s="12">
        <f t="shared" si="35"/>
        <v>9000</v>
      </c>
      <c r="AQ181" s="15">
        <f t="shared" si="36"/>
        <v>46039</v>
      </c>
      <c r="AR181" s="7">
        <f t="shared" si="37"/>
        <v>46394</v>
      </c>
      <c r="AS181" s="5">
        <v>1123</v>
      </c>
      <c r="AT181" s="7">
        <v>45877</v>
      </c>
      <c r="AU181" s="5"/>
      <c r="AV181" s="17"/>
      <c r="AW181" s="17"/>
      <c r="AX181" s="5"/>
      <c r="AY181" s="5"/>
      <c r="AZ181" s="13"/>
      <c r="BA181" s="12"/>
      <c r="BB181" s="7"/>
      <c r="BC181" s="14"/>
      <c r="BD181" s="14"/>
      <c r="BF181" s="12"/>
      <c r="BG181" s="14"/>
      <c r="BH181" s="19">
        <v>45884</v>
      </c>
      <c r="BI181" s="5"/>
      <c r="BK181" s="5">
        <v>1724</v>
      </c>
      <c r="BL181" s="7">
        <v>46006</v>
      </c>
      <c r="BM181" s="18"/>
      <c r="BN181" s="18"/>
      <c r="BO181" s="18"/>
      <c r="BP181" s="18"/>
      <c r="BQ181" s="5"/>
      <c r="BR181" s="18"/>
      <c r="BS181" s="18"/>
      <c r="BT181" s="35">
        <f t="shared" si="39"/>
        <v>46004</v>
      </c>
    </row>
    <row r="182" spans="1:72" ht="29" x14ac:dyDescent="0.35">
      <c r="A182" s="5">
        <v>181</v>
      </c>
      <c r="B182" s="5"/>
      <c r="C182" s="5" t="s">
        <v>78</v>
      </c>
      <c r="D182" s="5">
        <v>8</v>
      </c>
      <c r="E182" s="5">
        <v>75</v>
      </c>
      <c r="F182" s="8"/>
      <c r="G182" s="8"/>
      <c r="H182" s="5"/>
      <c r="I182" s="5" t="e" cm="1">
        <f t="array" ref="I182">_xlfn.IFS(
  H182="Mahuva", "Mahuva",
  H182="Jesar", "Mahuva",
  H182="Palitana", "Palitana",
  H182="Gariyadhar", "Palitana",
  H182="Talaja", "Talaja",
  H182="Vallabhipur", "Vallabhipur",
  H182="Umrala", "Vallabhipur",
  H182="Shihor", "Shihor",
  H182="Ghogha", "Bhavnagar",
  H182="Bhavnagar", "Bhavnagar"
)</f>
        <v>#N/A</v>
      </c>
      <c r="J182" s="5" t="s">
        <v>256</v>
      </c>
      <c r="K182" s="5" t="s">
        <v>418</v>
      </c>
      <c r="M182" s="5"/>
      <c r="N182" s="7">
        <v>45837</v>
      </c>
      <c r="O182" s="7">
        <v>45848</v>
      </c>
      <c r="P182" s="7">
        <v>45849</v>
      </c>
      <c r="Q182" s="7">
        <f t="shared" si="27"/>
        <v>45968</v>
      </c>
      <c r="S182" s="33" t="s">
        <v>233</v>
      </c>
      <c r="U182" s="10"/>
      <c r="V182" s="10" t="str">
        <f t="shared" si="28"/>
        <v>Equals</v>
      </c>
      <c r="W182" s="11" t="str" cm="1">
        <f t="array" ref="W182">NumberToWords(T182)</f>
        <v>Zero Rupees Only</v>
      </c>
      <c r="X182" s="10" t="str">
        <f t="shared" si="29"/>
        <v>Division</v>
      </c>
      <c r="Z182" s="9">
        <f t="shared" si="30"/>
        <v>0</v>
      </c>
      <c r="AB182" s="8">
        <f>_xlfn.XLOOKUP(AA182, 'Agency List'!A$2:A$145, 'Agency List'!B$2:B$145, "Not Found")</f>
        <v>0</v>
      </c>
      <c r="AC182" s="8">
        <f>_xlfn.XLOOKUP(AA182, 'Agency List'!A$2:A$145, 'Agency List'!C$2:C$145, "Not Found")</f>
        <v>0</v>
      </c>
      <c r="AD182" s="8">
        <f>_xlfn.XLOOKUP(AA182, 'Agency List'!A$2:A$145, 'Agency List'!D$2:D$145, "Not Found")</f>
        <v>0</v>
      </c>
      <c r="AE182" s="7"/>
      <c r="AF182" s="5"/>
      <c r="AG182" s="5" t="str">
        <f t="shared" si="31"/>
        <v>Bandhkam</v>
      </c>
      <c r="AH182" s="5"/>
      <c r="AI182" s="8"/>
      <c r="AJ182" s="8"/>
      <c r="AL182" s="16"/>
      <c r="AM182" s="12">
        <f t="shared" si="32"/>
        <v>0</v>
      </c>
      <c r="AN182" s="7">
        <f t="shared" si="33"/>
        <v>46334</v>
      </c>
      <c r="AO182" s="12">
        <f t="shared" si="34"/>
        <v>0</v>
      </c>
      <c r="AP182" s="12">
        <f t="shared" si="35"/>
        <v>0</v>
      </c>
      <c r="AQ182" s="15">
        <f t="shared" si="36"/>
        <v>45919</v>
      </c>
      <c r="AR182" s="7">
        <f t="shared" si="37"/>
        <v>46274</v>
      </c>
      <c r="AS182" s="5"/>
      <c r="AU182" s="5"/>
      <c r="AV182" s="17"/>
      <c r="AW182" s="17"/>
      <c r="AX182" s="5"/>
      <c r="AY182" s="5"/>
      <c r="AZ182" s="13"/>
      <c r="BA182" s="12"/>
      <c r="BB182" s="7"/>
      <c r="BC182" s="14"/>
      <c r="BD182" s="14"/>
      <c r="BF182" s="12"/>
      <c r="BG182" s="14"/>
      <c r="BH182" s="19">
        <v>45884</v>
      </c>
      <c r="BI182" s="5"/>
      <c r="BM182" s="18"/>
      <c r="BN182" s="18"/>
      <c r="BO182" s="18"/>
      <c r="BP182" s="18"/>
      <c r="BQ182" s="5"/>
      <c r="BR182" s="18"/>
      <c r="BS182" s="18"/>
      <c r="BT182" s="35">
        <f t="shared" si="39"/>
        <v>45884</v>
      </c>
    </row>
    <row r="183" spans="1:72" ht="58" x14ac:dyDescent="0.35">
      <c r="A183" s="5">
        <v>182</v>
      </c>
      <c r="B183" s="5"/>
      <c r="C183" s="5" t="s">
        <v>78</v>
      </c>
      <c r="D183" s="5">
        <v>8</v>
      </c>
      <c r="E183" s="5">
        <v>76</v>
      </c>
      <c r="F183" s="8" t="s">
        <v>525</v>
      </c>
      <c r="G183" s="8"/>
      <c r="H183" s="5" t="s">
        <v>2</v>
      </c>
      <c r="I183" s="5" t="str" cm="1">
        <f t="array" ref="I183">_xlfn.IFS(
  H183="Mahuva", "Mahuva",
  H183="Jesar", "Mahuva",
  H183="Palitana", "Palitana",
  H183="Gariyadhar", "Palitana",
  H183="Talaja", "Talaja",
  H183="Vallabhipur", "Vallabhipur",
  H183="Umrala", "Vallabhipur",
  H183="Shihor", "Shihor",
  H183="Ghogha", "Bhavnagar",
  H183="Bhavnagar", "Bhavnagar"
)</f>
        <v>Vallabhipur</v>
      </c>
      <c r="J183" s="5" t="s">
        <v>256</v>
      </c>
      <c r="K183" s="5" t="s">
        <v>418</v>
      </c>
      <c r="L183" s="5">
        <v>199680</v>
      </c>
      <c r="M183" s="5"/>
      <c r="N183" s="7">
        <v>45837</v>
      </c>
      <c r="O183" s="7">
        <v>45848</v>
      </c>
      <c r="P183" s="7">
        <v>45849</v>
      </c>
      <c r="Q183" s="7">
        <f t="shared" si="27"/>
        <v>45968</v>
      </c>
      <c r="R183" s="9">
        <v>2079935.08</v>
      </c>
      <c r="S183" s="33"/>
      <c r="T183" s="9">
        <v>1786248.25</v>
      </c>
      <c r="U183" s="10">
        <v>-14.12</v>
      </c>
      <c r="V183" s="10" t="str">
        <f t="shared" si="28"/>
        <v>Below</v>
      </c>
      <c r="W183" s="11" t="str" cm="1">
        <f t="array" ref="W183">NumberToWords(T183)</f>
        <v>Seventeen Lakh Eighty Six Thousand Two Hundred Forty Eight Rupees and Twenty Five Paise Only</v>
      </c>
      <c r="X183" s="10" t="str">
        <f t="shared" si="29"/>
        <v>Division</v>
      </c>
      <c r="Z183" s="9">
        <f t="shared" si="30"/>
        <v>1786248.25</v>
      </c>
      <c r="AA183" s="5" t="s">
        <v>5</v>
      </c>
      <c r="AB183" s="8" t="str">
        <f>_xlfn.XLOOKUP(AA183, 'Agency List'!A$2:A$145, 'Agency List'!B$2:B$145, "Not Found")</f>
        <v>C. H. Gohil</v>
      </c>
      <c r="AC183" s="8" t="str">
        <f>_xlfn.XLOOKUP(AA183, 'Agency List'!A$2:A$145, 'Agency List'!C$2:C$145, "Not Found")</f>
        <v>Ground Floor, Shop No.2, House No.151, Near Chabutara, Dadva Road, Dhola, Ta.Umrala, Dist.Bhavnagar</v>
      </c>
      <c r="AD183" s="8">
        <f>_xlfn.XLOOKUP(AA183, 'Agency List'!A$2:A$145, 'Agency List'!D$2:D$145, "Not Found")</f>
        <v>9377666263</v>
      </c>
      <c r="AE183" s="7"/>
      <c r="AF183" s="5" t="s">
        <v>357</v>
      </c>
      <c r="AG183" s="5" t="str">
        <f t="shared" si="31"/>
        <v>Bandhkam</v>
      </c>
      <c r="AH183" s="5"/>
      <c r="AI183" s="8"/>
      <c r="AJ183" s="8"/>
      <c r="AL183" s="16">
        <v>4</v>
      </c>
      <c r="AM183" s="12">
        <f t="shared" si="32"/>
        <v>90000</v>
      </c>
      <c r="AN183" s="7">
        <f t="shared" si="33"/>
        <v>46501</v>
      </c>
      <c r="AO183" s="12">
        <f t="shared" si="34"/>
        <v>5300</v>
      </c>
      <c r="AP183" s="12">
        <f t="shared" si="35"/>
        <v>18000</v>
      </c>
      <c r="AQ183" s="15">
        <f t="shared" si="36"/>
        <v>46086</v>
      </c>
      <c r="AR183" s="7">
        <f t="shared" si="37"/>
        <v>46441</v>
      </c>
      <c r="AS183" s="5">
        <v>1111</v>
      </c>
      <c r="AT183" s="7">
        <v>45877</v>
      </c>
      <c r="AU183" s="5" t="s">
        <v>78</v>
      </c>
      <c r="AV183" s="17">
        <v>166</v>
      </c>
      <c r="AW183" s="19">
        <v>45931</v>
      </c>
      <c r="AX183" s="5" t="s">
        <v>355</v>
      </c>
      <c r="AY183" s="5" t="s">
        <v>369</v>
      </c>
      <c r="AZ183" s="13">
        <v>44480666780</v>
      </c>
      <c r="BA183" s="12">
        <v>90000</v>
      </c>
      <c r="BB183" s="7">
        <v>45918</v>
      </c>
      <c r="BC183" s="14"/>
      <c r="BD183" s="14"/>
      <c r="BF183" s="12"/>
      <c r="BG183" s="14"/>
      <c r="BH183" s="19">
        <v>45931</v>
      </c>
      <c r="BI183" s="5">
        <v>1407</v>
      </c>
      <c r="BJ183" s="19">
        <v>45931</v>
      </c>
      <c r="BM183" s="18"/>
      <c r="BN183" s="18"/>
      <c r="BO183" s="18"/>
      <c r="BP183" s="18"/>
      <c r="BQ183" s="5"/>
      <c r="BR183" s="18"/>
      <c r="BS183" s="18"/>
      <c r="BT183" s="35"/>
    </row>
    <row r="184" spans="1:72" ht="43.5" x14ac:dyDescent="0.35">
      <c r="A184" s="5">
        <v>183</v>
      </c>
      <c r="B184" s="5"/>
      <c r="C184" s="5" t="s">
        <v>78</v>
      </c>
      <c r="D184" s="5">
        <v>8</v>
      </c>
      <c r="E184" s="5">
        <v>77</v>
      </c>
      <c r="F184" s="8" t="s">
        <v>526</v>
      </c>
      <c r="G184" s="8"/>
      <c r="H184" s="5" t="s">
        <v>2</v>
      </c>
      <c r="I184" s="5" t="str" cm="1">
        <f t="array" ref="I184">_xlfn.IFS(
  H184="Mahuva", "Mahuva",
  H184="Jesar", "Mahuva",
  H184="Palitana", "Palitana",
  H184="Gariyadhar", "Palitana",
  H184="Talaja", "Talaja",
  H184="Vallabhipur", "Vallabhipur",
  H184="Umrala", "Vallabhipur",
  H184="Shihor", "Shihor",
  H184="Ghogha", "Bhavnagar",
  H184="Bhavnagar", "Bhavnagar"
)</f>
        <v>Vallabhipur</v>
      </c>
      <c r="J184" s="5" t="s">
        <v>256</v>
      </c>
      <c r="K184" s="5" t="s">
        <v>418</v>
      </c>
      <c r="L184" s="5">
        <v>199681</v>
      </c>
      <c r="M184" s="5"/>
      <c r="N184" s="7">
        <v>45837</v>
      </c>
      <c r="O184" s="7">
        <v>45848</v>
      </c>
      <c r="P184" s="7">
        <v>45849</v>
      </c>
      <c r="Q184" s="7">
        <f t="shared" si="27"/>
        <v>45968</v>
      </c>
      <c r="R184" s="9">
        <v>2079935.08</v>
      </c>
      <c r="S184" s="33"/>
      <c r="T184" s="9">
        <v>1872149.57</v>
      </c>
      <c r="U184" s="10">
        <v>-9.99</v>
      </c>
      <c r="V184" s="10" t="str">
        <f t="shared" si="28"/>
        <v>Below</v>
      </c>
      <c r="W184" s="11" t="str" cm="1">
        <f t="array" ref="W184">NumberToWords(T184)</f>
        <v>Eighteen Lakh Seventy Two Thousand One Hundred Forty Nine Rupees and Fifty Seven Paise Only</v>
      </c>
      <c r="X184" s="10" t="str">
        <f t="shared" si="29"/>
        <v>Division</v>
      </c>
      <c r="Z184" s="9">
        <f t="shared" si="30"/>
        <v>1872149.57</v>
      </c>
      <c r="AA184" s="5" t="s">
        <v>298</v>
      </c>
      <c r="AB184" s="8" t="str">
        <f>_xlfn.XLOOKUP(AA184, 'Agency List'!A$2:A$145, 'Agency List'!B$2:B$145, "Not Found")</f>
        <v>D. H. Gohil</v>
      </c>
      <c r="AC184" s="8" t="str">
        <f>_xlfn.XLOOKUP(AA184, 'Agency List'!A$2:A$145, 'Agency List'!C$2:C$145, "Not Found")</f>
        <v>At. Vangadhra, Ta.Umrala, Dist. Bhavnagar</v>
      </c>
      <c r="AD184" s="8">
        <f>_xlfn.XLOOKUP(AA184, 'Agency List'!A$2:A$145, 'Agency List'!D$2:D$145, "Not Found")</f>
        <v>8780286268</v>
      </c>
      <c r="AE184" s="7"/>
      <c r="AF184" s="5"/>
      <c r="AG184" s="5" t="str">
        <f t="shared" si="31"/>
        <v>Bandhkam</v>
      </c>
      <c r="AH184" s="5"/>
      <c r="AI184" s="8"/>
      <c r="AJ184" s="8"/>
      <c r="AL184" s="16">
        <v>4</v>
      </c>
      <c r="AM184" s="12">
        <f t="shared" si="32"/>
        <v>94000</v>
      </c>
      <c r="AN184" s="7">
        <f t="shared" si="33"/>
        <v>46454</v>
      </c>
      <c r="AO184" s="12">
        <f t="shared" si="34"/>
        <v>4700</v>
      </c>
      <c r="AP184" s="12">
        <f t="shared" si="35"/>
        <v>0</v>
      </c>
      <c r="AQ184" s="15">
        <f t="shared" si="36"/>
        <v>46039</v>
      </c>
      <c r="AR184" s="7">
        <f t="shared" si="37"/>
        <v>46394</v>
      </c>
      <c r="AS184" s="5">
        <v>1112</v>
      </c>
      <c r="AT184" s="7">
        <v>45877</v>
      </c>
      <c r="AU184" s="5"/>
      <c r="AV184" s="17"/>
      <c r="AW184" s="17"/>
      <c r="AX184" s="5"/>
      <c r="AY184" s="5"/>
      <c r="AZ184" s="13"/>
      <c r="BA184" s="12"/>
      <c r="BB184" s="7"/>
      <c r="BC184" s="14"/>
      <c r="BD184" s="14"/>
      <c r="BF184" s="12"/>
      <c r="BG184" s="14"/>
      <c r="BH184" s="19">
        <v>45884</v>
      </c>
      <c r="BI184" s="5"/>
      <c r="BK184" s="5">
        <v>1730</v>
      </c>
      <c r="BL184" s="7">
        <v>46006</v>
      </c>
      <c r="BM184" s="18"/>
      <c r="BN184" s="18"/>
      <c r="BO184" s="18"/>
      <c r="BP184" s="18"/>
      <c r="BQ184" s="5"/>
      <c r="BR184" s="18"/>
      <c r="BS184" s="18"/>
      <c r="BT184" s="35">
        <f>BH184+AL184*30</f>
        <v>46004</v>
      </c>
    </row>
    <row r="185" spans="1:72" ht="43.5" x14ac:dyDescent="0.35">
      <c r="A185" s="5">
        <v>184</v>
      </c>
      <c r="B185" s="5"/>
      <c r="C185" s="5" t="s">
        <v>78</v>
      </c>
      <c r="D185" s="5">
        <v>8</v>
      </c>
      <c r="E185" s="5">
        <v>78</v>
      </c>
      <c r="F185" s="8" t="s">
        <v>480</v>
      </c>
      <c r="G185" s="8"/>
      <c r="H185" s="5" t="s">
        <v>13</v>
      </c>
      <c r="I185" s="5" t="str" cm="1">
        <f t="array" ref="I185">_xlfn.IFS(
  H185="Mahuva", "Mahuva",
  H185="Jesar", "Mahuva",
  H185="Palitana", "Palitana",
  H185="Gariyadhar", "Palitana",
  H185="Talaja", "Talaja",
  H185="Vallabhipur", "Vallabhipur",
  H185="Umrala", "Vallabhipur",
  H185="Shihor", "Shihor",
  H185="Ghogha", "Bhavnagar",
  H185="Bhavnagar", "Bhavnagar"
)</f>
        <v>Shihor</v>
      </c>
      <c r="J185" s="5" t="s">
        <v>256</v>
      </c>
      <c r="K185" s="5" t="s">
        <v>418</v>
      </c>
      <c r="L185" s="5">
        <v>199683</v>
      </c>
      <c r="M185" s="5">
        <v>1</v>
      </c>
      <c r="N185" s="7">
        <v>45837</v>
      </c>
      <c r="O185" s="7">
        <v>45848</v>
      </c>
      <c r="P185" s="7">
        <v>45849</v>
      </c>
      <c r="Q185" s="7">
        <f t="shared" si="27"/>
        <v>45968</v>
      </c>
      <c r="R185" s="9">
        <v>2079935.08</v>
      </c>
      <c r="S185" s="33"/>
      <c r="T185" s="9">
        <v>1955346.97</v>
      </c>
      <c r="U185" s="10">
        <v>-5.99</v>
      </c>
      <c r="V185" s="10" t="str">
        <f t="shared" si="28"/>
        <v>Below</v>
      </c>
      <c r="W185" s="11" t="str" cm="1">
        <f t="array" ref="W185">NumberToWords(T185)</f>
        <v>Nineteen Lakh Fifty Five Thousand Three Hundred Forty Six Rupees and Ninety Seven Paise Only</v>
      </c>
      <c r="X185" s="10" t="str">
        <f t="shared" si="29"/>
        <v>Division</v>
      </c>
      <c r="Z185" s="9">
        <f t="shared" si="30"/>
        <v>1955346.97</v>
      </c>
      <c r="AA185" s="5" t="s">
        <v>406</v>
      </c>
      <c r="AB185" s="8" t="str">
        <f>_xlfn.XLOOKUP(AA185, 'Agency List'!A$2:A$145, 'Agency List'!B$2:B$145, "Not Found")</f>
        <v>KEVAL BUDHESHBHAI BHAYANI</v>
      </c>
      <c r="AC185" s="8" t="str">
        <f>_xlfn.XLOOKUP(AA185, 'Agency List'!A$2:A$145, 'Agency List'!C$2:C$145, "Not Found")</f>
        <v>235, Momai Krupa, Bhayani Sheri, Madhada, Ta. Shihor, Dist. Bhavnagar - 364240</v>
      </c>
      <c r="AD185" s="8">
        <f>_xlfn.XLOOKUP(AA185, 'Agency List'!A$2:A$145, 'Agency List'!D$2:D$145, "Not Found")</f>
        <v>8905890589</v>
      </c>
      <c r="AE185" s="7"/>
      <c r="AF185" s="5"/>
      <c r="AG185" s="5" t="str">
        <f t="shared" si="31"/>
        <v>Bandhkam</v>
      </c>
      <c r="AH185" s="5"/>
      <c r="AI185" s="8"/>
      <c r="AJ185" s="8"/>
      <c r="AL185" s="16">
        <v>4</v>
      </c>
      <c r="AM185" s="12">
        <f t="shared" si="32"/>
        <v>98000</v>
      </c>
      <c r="AN185" s="7">
        <f t="shared" si="33"/>
        <v>46457</v>
      </c>
      <c r="AO185" s="12">
        <f t="shared" si="34"/>
        <v>4900</v>
      </c>
      <c r="AP185" s="12">
        <f t="shared" si="35"/>
        <v>0</v>
      </c>
      <c r="AQ185" s="15">
        <f t="shared" si="36"/>
        <v>46042</v>
      </c>
      <c r="AR185" s="7">
        <f t="shared" si="37"/>
        <v>46397</v>
      </c>
      <c r="AS185" s="5">
        <v>1063</v>
      </c>
      <c r="AT185" s="7">
        <v>45873</v>
      </c>
      <c r="AU185" s="5" t="s">
        <v>78</v>
      </c>
      <c r="AV185" s="17">
        <v>86</v>
      </c>
      <c r="AW185" s="37">
        <v>45887</v>
      </c>
      <c r="AX185" s="5" t="s">
        <v>355</v>
      </c>
      <c r="AY185" s="5" t="s">
        <v>369</v>
      </c>
      <c r="AZ185" s="45" t="s">
        <v>612</v>
      </c>
      <c r="BA185" s="12">
        <v>98000</v>
      </c>
      <c r="BB185" s="7">
        <v>45880</v>
      </c>
      <c r="BC185" s="14"/>
      <c r="BD185" s="14"/>
      <c r="BF185" s="12"/>
      <c r="BG185" s="14"/>
      <c r="BH185" s="37">
        <v>45887</v>
      </c>
      <c r="BI185" s="5">
        <v>1165</v>
      </c>
      <c r="BJ185" s="19">
        <v>45887</v>
      </c>
      <c r="BM185" s="18"/>
      <c r="BN185" s="18"/>
      <c r="BO185" s="18"/>
      <c r="BP185" s="18"/>
      <c r="BQ185" s="5"/>
      <c r="BR185" s="18"/>
      <c r="BS185" s="18"/>
      <c r="BT185" s="35">
        <f>BH185+AL185*30</f>
        <v>46007</v>
      </c>
    </row>
    <row r="186" spans="1:72" ht="43.5" x14ac:dyDescent="0.35">
      <c r="A186" s="5">
        <v>185</v>
      </c>
      <c r="B186" s="5"/>
      <c r="C186" s="5" t="s">
        <v>78</v>
      </c>
      <c r="D186" s="5">
        <v>8</v>
      </c>
      <c r="E186" s="5">
        <v>79</v>
      </c>
      <c r="F186" s="8" t="s">
        <v>527</v>
      </c>
      <c r="G186" s="8"/>
      <c r="H186" s="5" t="s">
        <v>13</v>
      </c>
      <c r="I186" s="5" t="str" cm="1">
        <f t="array" ref="I186">_xlfn.IFS(
  H186="Mahuva", "Mahuva",
  H186="Jesar", "Mahuva",
  H186="Palitana", "Palitana",
  H186="Gariyadhar", "Palitana",
  H186="Talaja", "Talaja",
  H186="Vallabhipur", "Vallabhipur",
  H186="Umrala", "Vallabhipur",
  H186="Shihor", "Shihor",
  H186="Ghogha", "Bhavnagar",
  H186="Bhavnagar", "Bhavnagar"
)</f>
        <v>Shihor</v>
      </c>
      <c r="J186" s="5" t="s">
        <v>256</v>
      </c>
      <c r="K186" s="5" t="s">
        <v>418</v>
      </c>
      <c r="L186" s="5">
        <v>199684</v>
      </c>
      <c r="M186" s="5"/>
      <c r="N186" s="7">
        <v>45837</v>
      </c>
      <c r="O186" s="7">
        <v>45848</v>
      </c>
      <c r="P186" s="7">
        <v>45849</v>
      </c>
      <c r="Q186" s="7">
        <f t="shared" si="27"/>
        <v>45968</v>
      </c>
      <c r="R186" s="9">
        <v>2079935.08</v>
      </c>
      <c r="S186" s="33"/>
      <c r="T186" s="9">
        <v>1955346.97</v>
      </c>
      <c r="U186" s="10">
        <v>-5.99</v>
      </c>
      <c r="V186" s="10" t="str">
        <f t="shared" si="28"/>
        <v>Below</v>
      </c>
      <c r="W186" s="11" t="str" cm="1">
        <f t="array" ref="W186">NumberToWords(T186)</f>
        <v>Nineteen Lakh Fifty Five Thousand Three Hundred Forty Six Rupees and Ninety Seven Paise Only</v>
      </c>
      <c r="X186" s="10" t="str">
        <f t="shared" si="29"/>
        <v>Division</v>
      </c>
      <c r="Z186" s="9">
        <f t="shared" si="30"/>
        <v>1955346.97</v>
      </c>
      <c r="AA186" s="5" t="s">
        <v>292</v>
      </c>
      <c r="AB186" s="8" t="str">
        <f>_xlfn.XLOOKUP(AA186, 'Agency List'!A$2:A$145, 'Agency List'!B$2:B$145, "Not Found")</f>
        <v>ASHOKBHAI PARSHOTAMBHAI
BARAIYA</v>
      </c>
      <c r="AC186" s="8" t="str">
        <f>_xlfn.XLOOKUP(AA186, 'Agency List'!A$2:A$145, 'Agency List'!C$2:C$145, "Not Found")</f>
        <v>At Lapaliya, Post- Nani Rajsthali, Tal. Palitana - 364270</v>
      </c>
      <c r="AD186" s="8">
        <f>_xlfn.XLOOKUP(AA186, 'Agency List'!A$2:A$145, 'Agency List'!D$2:D$145, "Not Found")</f>
        <v>9898775037</v>
      </c>
      <c r="AE186" s="7"/>
      <c r="AF186" s="5" t="s">
        <v>357</v>
      </c>
      <c r="AG186" s="5" t="str">
        <f t="shared" si="31"/>
        <v>Bandhkam</v>
      </c>
      <c r="AH186" s="5"/>
      <c r="AI186" s="8"/>
      <c r="AJ186" s="8"/>
      <c r="AL186" s="16">
        <v>4</v>
      </c>
      <c r="AM186" s="12">
        <f t="shared" si="32"/>
        <v>98000</v>
      </c>
      <c r="AN186" s="7">
        <f t="shared" si="33"/>
        <v>46501</v>
      </c>
      <c r="AO186" s="12">
        <f t="shared" si="34"/>
        <v>4900</v>
      </c>
      <c r="AP186" s="12">
        <f t="shared" si="35"/>
        <v>0</v>
      </c>
      <c r="AQ186" s="15">
        <f t="shared" si="36"/>
        <v>46086</v>
      </c>
      <c r="AR186" s="7">
        <f t="shared" si="37"/>
        <v>46441</v>
      </c>
      <c r="AS186" s="5">
        <v>1113</v>
      </c>
      <c r="AT186" s="7">
        <v>45877</v>
      </c>
      <c r="AU186" s="5" t="s">
        <v>78</v>
      </c>
      <c r="AV186" s="17">
        <v>163</v>
      </c>
      <c r="AW186" s="37">
        <v>45931</v>
      </c>
      <c r="AX186" s="5" t="s">
        <v>355</v>
      </c>
      <c r="AY186" s="5" t="s">
        <v>356</v>
      </c>
      <c r="AZ186" s="13">
        <v>78049121883</v>
      </c>
      <c r="BA186" s="12">
        <v>98000</v>
      </c>
      <c r="BB186" s="7">
        <v>45898</v>
      </c>
      <c r="BC186" s="14"/>
      <c r="BD186" s="14"/>
      <c r="BF186" s="12"/>
      <c r="BG186" s="14"/>
      <c r="BH186" s="19">
        <v>45931</v>
      </c>
      <c r="BI186" s="5">
        <v>1404</v>
      </c>
      <c r="BJ186" s="19">
        <v>45931</v>
      </c>
      <c r="BM186" s="18"/>
      <c r="BN186" s="18"/>
      <c r="BO186" s="18"/>
      <c r="BP186" s="18"/>
      <c r="BQ186" s="5"/>
      <c r="BR186" s="18"/>
      <c r="BS186" s="18"/>
      <c r="BT186" s="35"/>
    </row>
    <row r="187" spans="1:72" ht="29" x14ac:dyDescent="0.35">
      <c r="A187" s="5">
        <v>186</v>
      </c>
      <c r="B187" s="5"/>
      <c r="C187" s="5" t="s">
        <v>78</v>
      </c>
      <c r="D187" s="5">
        <v>8</v>
      </c>
      <c r="E187" s="5">
        <v>80</v>
      </c>
      <c r="F187" s="8"/>
      <c r="G187" s="8"/>
      <c r="H187" s="5"/>
      <c r="I187" s="5" t="e" cm="1">
        <f t="array" ref="I187">_xlfn.IFS(
  H187="Mahuva", "Mahuva",
  H187="Jesar", "Mahuva",
  H187="Palitana", "Palitana",
  H187="Gariyadhar", "Palitana",
  H187="Talaja", "Talaja",
  H187="Vallabhipur", "Vallabhipur",
  H187="Umrala", "Vallabhipur",
  H187="Shihor", "Shihor",
  H187="Ghogha", "Bhavnagar",
  H187="Bhavnagar", "Bhavnagar"
)</f>
        <v>#N/A</v>
      </c>
      <c r="J187" s="5" t="s">
        <v>256</v>
      </c>
      <c r="K187" s="5" t="s">
        <v>418</v>
      </c>
      <c r="M187" s="5"/>
      <c r="N187" s="7">
        <v>45837</v>
      </c>
      <c r="O187" s="7">
        <v>45848</v>
      </c>
      <c r="P187" s="7">
        <v>45849</v>
      </c>
      <c r="Q187" s="7">
        <f t="shared" si="27"/>
        <v>45968</v>
      </c>
      <c r="S187" s="33" t="s">
        <v>233</v>
      </c>
      <c r="U187" s="10"/>
      <c r="V187" s="10" t="str">
        <f t="shared" si="28"/>
        <v>Equals</v>
      </c>
      <c r="W187" s="11" t="str" cm="1">
        <f t="array" ref="W187">NumberToWords(T187)</f>
        <v>Zero Rupees Only</v>
      </c>
      <c r="X187" s="10" t="str">
        <f t="shared" si="29"/>
        <v>Division</v>
      </c>
      <c r="Z187" s="9">
        <f t="shared" si="30"/>
        <v>0</v>
      </c>
      <c r="AB187" s="8">
        <f>_xlfn.XLOOKUP(AA187, 'Agency List'!A$2:A$145, 'Agency List'!B$2:B$145, "Not Found")</f>
        <v>0</v>
      </c>
      <c r="AC187" s="8">
        <f>_xlfn.XLOOKUP(AA187, 'Agency List'!A$2:A$145, 'Agency List'!C$2:C$145, "Not Found")</f>
        <v>0</v>
      </c>
      <c r="AD187" s="8">
        <f>_xlfn.XLOOKUP(AA187, 'Agency List'!A$2:A$145, 'Agency List'!D$2:D$145, "Not Found")</f>
        <v>0</v>
      </c>
      <c r="AE187" s="7"/>
      <c r="AF187" s="5"/>
      <c r="AG187" s="5" t="str">
        <f t="shared" si="31"/>
        <v>Bandhkam</v>
      </c>
      <c r="AH187" s="5"/>
      <c r="AI187" s="8"/>
      <c r="AJ187" s="8"/>
      <c r="AL187" s="16"/>
      <c r="AM187" s="12">
        <f t="shared" si="32"/>
        <v>0</v>
      </c>
      <c r="AN187" s="7">
        <f t="shared" si="33"/>
        <v>46334</v>
      </c>
      <c r="AO187" s="12">
        <f t="shared" si="34"/>
        <v>0</v>
      </c>
      <c r="AP187" s="12">
        <f t="shared" si="35"/>
        <v>0</v>
      </c>
      <c r="AQ187" s="15">
        <f t="shared" si="36"/>
        <v>45919</v>
      </c>
      <c r="AR187" s="7">
        <f t="shared" si="37"/>
        <v>46274</v>
      </c>
      <c r="AS187" s="5"/>
      <c r="AU187" s="5"/>
      <c r="AV187" s="17"/>
      <c r="AW187" s="17"/>
      <c r="AX187" s="5"/>
      <c r="AY187" s="5"/>
      <c r="AZ187" s="13"/>
      <c r="BA187" s="12"/>
      <c r="BB187" s="7"/>
      <c r="BC187" s="14"/>
      <c r="BD187" s="14"/>
      <c r="BF187" s="12"/>
      <c r="BG187" s="14"/>
      <c r="BH187" s="19">
        <v>45884</v>
      </c>
      <c r="BI187" s="5"/>
      <c r="BM187" s="18"/>
      <c r="BN187" s="18"/>
      <c r="BO187" s="18"/>
      <c r="BP187" s="18"/>
      <c r="BQ187" s="5"/>
      <c r="BR187" s="18"/>
      <c r="BS187" s="18"/>
      <c r="BT187" s="35">
        <f>BH187+AL187*30</f>
        <v>45884</v>
      </c>
    </row>
    <row r="188" spans="1:72" ht="58" x14ac:dyDescent="0.35">
      <c r="A188" s="5">
        <v>187</v>
      </c>
      <c r="B188" s="5"/>
      <c r="C188" s="5" t="s">
        <v>78</v>
      </c>
      <c r="D188" s="5">
        <v>8</v>
      </c>
      <c r="E188" s="5">
        <v>81</v>
      </c>
      <c r="F188" s="8" t="s">
        <v>528</v>
      </c>
      <c r="G188" s="8"/>
      <c r="H188" s="5" t="s">
        <v>13</v>
      </c>
      <c r="I188" s="5" t="str" cm="1">
        <f t="array" ref="I188">_xlfn.IFS(
  H188="Mahuva", "Mahuva",
  H188="Jesar", "Mahuva",
  H188="Palitana", "Palitana",
  H188="Gariyadhar", "Palitana",
  H188="Talaja", "Talaja",
  H188="Vallabhipur", "Vallabhipur",
  H188="Umrala", "Vallabhipur",
  H188="Shihor", "Shihor",
  H188="Ghogha", "Bhavnagar",
  H188="Bhavnagar", "Bhavnagar"
)</f>
        <v>Shihor</v>
      </c>
      <c r="J188" s="5" t="s">
        <v>256</v>
      </c>
      <c r="K188" s="5" t="s">
        <v>418</v>
      </c>
      <c r="L188" s="5">
        <v>199694</v>
      </c>
      <c r="M188" s="5"/>
      <c r="N188" s="7">
        <v>45837</v>
      </c>
      <c r="O188" s="7">
        <v>45848</v>
      </c>
      <c r="P188" s="7">
        <v>45849</v>
      </c>
      <c r="Q188" s="7">
        <f t="shared" si="27"/>
        <v>45968</v>
      </c>
      <c r="R188" s="9">
        <v>2079935.08</v>
      </c>
      <c r="S188" s="33"/>
      <c r="T188" s="9">
        <v>1966578.62</v>
      </c>
      <c r="U188" s="10">
        <v>-5.45</v>
      </c>
      <c r="V188" s="10" t="str">
        <f t="shared" si="28"/>
        <v>Below</v>
      </c>
      <c r="W188" s="11" t="str" cm="1">
        <f t="array" ref="W188">NumberToWords(T188)</f>
        <v>Nineteen Lakh Sixty Six Thousand Five Hundred Seventy Eight Rupees and Sixty Two Paise Only</v>
      </c>
      <c r="X188" s="10" t="str">
        <f t="shared" si="29"/>
        <v>Division</v>
      </c>
      <c r="Z188" s="9">
        <f t="shared" si="30"/>
        <v>1966578.62</v>
      </c>
      <c r="AA188" s="5" t="s">
        <v>407</v>
      </c>
      <c r="AB188" s="8" t="str">
        <f>_xlfn.XLOOKUP(AA188, 'Agency List'!A$2:A$145, 'Agency List'!B$2:B$145, "Not Found")</f>
        <v>Sanjaykumar Nandlal Raiyani</v>
      </c>
      <c r="AC188" s="8" t="str">
        <f>_xlfn.XLOOKUP(AA188, 'Agency List'!A$2:A$145, 'Agency List'!C$2:C$145, "Not Found")</f>
        <v>A-302 Shree Nand Elite, Nr.Ustav velly Flat, Nikol Gam Road, Ahemdabad                         Pin-382350</v>
      </c>
      <c r="AD188" s="8">
        <f>_xlfn.XLOOKUP(AA188, 'Agency List'!A$2:A$145, 'Agency List'!D$2:D$145, "Not Found")</f>
        <v>9979476626</v>
      </c>
      <c r="AE188" s="7"/>
      <c r="AF188" s="5" t="s">
        <v>357</v>
      </c>
      <c r="AG188" s="5" t="str">
        <f t="shared" si="31"/>
        <v>Bandhkam</v>
      </c>
      <c r="AH188" s="5"/>
      <c r="AI188" s="8"/>
      <c r="AJ188" s="8"/>
      <c r="AL188" s="16">
        <v>4</v>
      </c>
      <c r="AM188" s="12">
        <f t="shared" si="32"/>
        <v>99000</v>
      </c>
      <c r="AN188" s="7">
        <f t="shared" si="33"/>
        <v>46501</v>
      </c>
      <c r="AO188" s="12">
        <f t="shared" si="34"/>
        <v>4900</v>
      </c>
      <c r="AP188" s="12">
        <f t="shared" si="35"/>
        <v>0</v>
      </c>
      <c r="AQ188" s="15">
        <f t="shared" si="36"/>
        <v>46086</v>
      </c>
      <c r="AR188" s="7">
        <f t="shared" si="37"/>
        <v>46441</v>
      </c>
      <c r="AS188" s="5">
        <v>1100</v>
      </c>
      <c r="AT188" s="7">
        <v>45877</v>
      </c>
      <c r="AU188" s="5" t="s">
        <v>78</v>
      </c>
      <c r="AV188" s="17">
        <v>164</v>
      </c>
      <c r="AW188" s="37">
        <v>45931</v>
      </c>
      <c r="AX188" s="5" t="s">
        <v>355</v>
      </c>
      <c r="AY188" s="5" t="s">
        <v>363</v>
      </c>
      <c r="AZ188" s="13" t="s">
        <v>770</v>
      </c>
      <c r="BA188" s="12">
        <v>99100</v>
      </c>
      <c r="BB188" s="7">
        <v>45897</v>
      </c>
      <c r="BC188" s="14"/>
      <c r="BD188" s="14"/>
      <c r="BF188" s="12"/>
      <c r="BG188" s="14"/>
      <c r="BH188" s="19">
        <v>45931</v>
      </c>
      <c r="BI188" s="5">
        <v>1405</v>
      </c>
      <c r="BJ188" s="19">
        <v>45931</v>
      </c>
      <c r="BM188" s="18"/>
      <c r="BN188" s="18"/>
      <c r="BO188" s="18"/>
      <c r="BP188" s="18"/>
      <c r="BQ188" s="5"/>
      <c r="BR188" s="18"/>
      <c r="BS188" s="18"/>
      <c r="BT188" s="35"/>
    </row>
    <row r="189" spans="1:72" ht="43.5" x14ac:dyDescent="0.35">
      <c r="A189" s="5">
        <v>188</v>
      </c>
      <c r="B189" s="5"/>
      <c r="C189" s="5" t="s">
        <v>78</v>
      </c>
      <c r="D189" s="5">
        <v>8</v>
      </c>
      <c r="E189" s="5">
        <v>82</v>
      </c>
      <c r="F189" s="8" t="s">
        <v>529</v>
      </c>
      <c r="G189" s="8"/>
      <c r="H189" s="5" t="s">
        <v>13</v>
      </c>
      <c r="I189" s="5" t="str" cm="1">
        <f t="array" ref="I189">_xlfn.IFS(
  H189="Mahuva", "Mahuva",
  H189="Jesar", "Mahuva",
  H189="Palitana", "Palitana",
  H189="Gariyadhar", "Palitana",
  H189="Talaja", "Talaja",
  H189="Vallabhipur", "Vallabhipur",
  H189="Umrala", "Vallabhipur",
  H189="Shihor", "Shihor",
  H189="Ghogha", "Bhavnagar",
  H189="Bhavnagar", "Bhavnagar"
)</f>
        <v>Shihor</v>
      </c>
      <c r="J189" s="5" t="s">
        <v>256</v>
      </c>
      <c r="K189" s="5" t="s">
        <v>418</v>
      </c>
      <c r="L189" s="5">
        <v>199695</v>
      </c>
      <c r="M189" s="5"/>
      <c r="N189" s="7">
        <v>45837</v>
      </c>
      <c r="O189" s="7">
        <v>45848</v>
      </c>
      <c r="P189" s="7">
        <v>45849</v>
      </c>
      <c r="Q189" s="7">
        <f t="shared" si="27"/>
        <v>45968</v>
      </c>
      <c r="R189" s="9">
        <v>2079935.08</v>
      </c>
      <c r="S189" s="33"/>
      <c r="T189" s="9">
        <v>2027312.72</v>
      </c>
      <c r="U189" s="10">
        <v>-2.5299999999999998</v>
      </c>
      <c r="V189" s="10" t="str">
        <f t="shared" si="28"/>
        <v>Below</v>
      </c>
      <c r="W189" s="11" t="str" cm="1">
        <f t="array" ref="W189">NumberToWords(T189)</f>
        <v>Twenty Lakh Twenty Seven Thousand Three Hundred Twelve Rupees and Seventy Two Paise Only</v>
      </c>
      <c r="X189" s="10" t="str">
        <f t="shared" si="29"/>
        <v>Division</v>
      </c>
      <c r="Z189" s="9">
        <f t="shared" si="30"/>
        <v>2027312.72</v>
      </c>
      <c r="AA189" s="5" t="s">
        <v>408</v>
      </c>
      <c r="AB189" s="8">
        <f>_xlfn.XLOOKUP(AA189, 'Agency List'!A$2:A$145, 'Agency List'!B$2:B$145, "Not Found")</f>
        <v>0</v>
      </c>
      <c r="AC189" s="8" t="str">
        <f>_xlfn.XLOOKUP(AA189, 'Agency List'!A$2:A$145, 'Agency List'!C$2:C$145, "Not Found")</f>
        <v>At Tana, Tal. Shihor, Dist. Bhavnagar - 364260</v>
      </c>
      <c r="AD189" s="8">
        <f>_xlfn.XLOOKUP(AA189, 'Agency List'!A$2:A$145, 'Agency List'!D$2:D$145, "Not Found")</f>
        <v>9510343132</v>
      </c>
      <c r="AE189" s="7"/>
      <c r="AF189" s="5" t="s">
        <v>357</v>
      </c>
      <c r="AG189" s="5" t="str">
        <f t="shared" si="31"/>
        <v>Bandhkam</v>
      </c>
      <c r="AH189" s="5"/>
      <c r="AI189" s="8"/>
      <c r="AJ189" s="8"/>
      <c r="AL189" s="16">
        <v>4</v>
      </c>
      <c r="AM189" s="12">
        <f t="shared" si="32"/>
        <v>102000</v>
      </c>
      <c r="AN189" s="7">
        <f t="shared" si="33"/>
        <v>46472</v>
      </c>
      <c r="AO189" s="12">
        <f t="shared" si="34"/>
        <v>5000</v>
      </c>
      <c r="AP189" s="12">
        <f t="shared" si="35"/>
        <v>0</v>
      </c>
      <c r="AQ189" s="15">
        <f t="shared" si="36"/>
        <v>46057</v>
      </c>
      <c r="AR189" s="7">
        <f t="shared" si="37"/>
        <v>46412</v>
      </c>
      <c r="AS189" s="5">
        <v>1107</v>
      </c>
      <c r="AT189" s="7">
        <v>45877</v>
      </c>
      <c r="AU189" s="5" t="s">
        <v>78</v>
      </c>
      <c r="AV189" s="17">
        <v>142</v>
      </c>
      <c r="AW189" s="37">
        <v>45902</v>
      </c>
      <c r="AX189" s="5" t="s">
        <v>355</v>
      </c>
      <c r="AY189" s="5" t="s">
        <v>609</v>
      </c>
      <c r="AZ189" s="45" t="s">
        <v>703</v>
      </c>
      <c r="BA189" s="12">
        <v>102000</v>
      </c>
      <c r="BB189" s="7">
        <v>45891</v>
      </c>
      <c r="BC189" s="14"/>
      <c r="BD189" s="14"/>
      <c r="BF189" s="12"/>
      <c r="BG189" s="14"/>
      <c r="BH189" s="37">
        <v>45902</v>
      </c>
      <c r="BI189" s="5">
        <v>1253</v>
      </c>
      <c r="BJ189" s="19">
        <v>45902</v>
      </c>
      <c r="BM189" s="18"/>
      <c r="BN189" s="18"/>
      <c r="BO189" s="18"/>
      <c r="BP189" s="18"/>
      <c r="BQ189" s="5"/>
      <c r="BR189" s="18"/>
      <c r="BS189" s="18"/>
      <c r="BT189" s="35"/>
    </row>
    <row r="190" spans="1:72" ht="58" x14ac:dyDescent="0.35">
      <c r="A190" s="5">
        <v>189</v>
      </c>
      <c r="B190" s="5"/>
      <c r="C190" s="5" t="s">
        <v>78</v>
      </c>
      <c r="D190" s="5">
        <v>8</v>
      </c>
      <c r="E190" s="5">
        <v>83</v>
      </c>
      <c r="F190" s="8" t="s">
        <v>530</v>
      </c>
      <c r="G190" s="8"/>
      <c r="H190" s="5" t="s">
        <v>13</v>
      </c>
      <c r="I190" s="5" t="str" cm="1">
        <f t="array" ref="I190">_xlfn.IFS(
  H190="Mahuva", "Mahuva",
  H190="Jesar", "Mahuva",
  H190="Palitana", "Palitana",
  H190="Gariyadhar", "Palitana",
  H190="Talaja", "Talaja",
  H190="Vallabhipur", "Vallabhipur",
  H190="Umrala", "Vallabhipur",
  H190="Shihor", "Shihor",
  H190="Ghogha", "Bhavnagar",
  H190="Bhavnagar", "Bhavnagar"
)</f>
        <v>Shihor</v>
      </c>
      <c r="J190" s="5" t="s">
        <v>256</v>
      </c>
      <c r="K190" s="5" t="s">
        <v>418</v>
      </c>
      <c r="L190" s="5">
        <v>199696</v>
      </c>
      <c r="M190" s="5"/>
      <c r="N190" s="7">
        <v>45837</v>
      </c>
      <c r="O190" s="7">
        <v>45848</v>
      </c>
      <c r="P190" s="7">
        <v>45849</v>
      </c>
      <c r="Q190" s="7">
        <f t="shared" si="27"/>
        <v>45968</v>
      </c>
      <c r="R190" s="9">
        <v>2079935.08</v>
      </c>
      <c r="S190" s="33"/>
      <c r="T190" s="9">
        <v>1968034.57</v>
      </c>
      <c r="U190" s="10">
        <v>-5.38</v>
      </c>
      <c r="V190" s="10" t="str">
        <f t="shared" si="28"/>
        <v>Below</v>
      </c>
      <c r="W190" s="11" t="str" cm="1">
        <f t="array" ref="W190">NumberToWords(T190)</f>
        <v>Nineteen Lakh Sixty Eight Thousand Thirty Four Rupees and Fifty Seven Paise Only</v>
      </c>
      <c r="X190" s="10" t="str">
        <f t="shared" si="29"/>
        <v>Division</v>
      </c>
      <c r="Z190" s="9">
        <f t="shared" si="30"/>
        <v>1968034.57</v>
      </c>
      <c r="AA190" s="5" t="s">
        <v>407</v>
      </c>
      <c r="AB190" s="8" t="str">
        <f>_xlfn.XLOOKUP(AA190, 'Agency List'!A$2:A$145, 'Agency List'!B$2:B$145, "Not Found")</f>
        <v>Sanjaykumar Nandlal Raiyani</v>
      </c>
      <c r="AC190" s="8" t="str">
        <f>_xlfn.XLOOKUP(AA190, 'Agency List'!A$2:A$145, 'Agency List'!C$2:C$145, "Not Found")</f>
        <v>A-302 Shree Nand Elite, Nr.Ustav velly Flat, Nikol Gam Road, Ahemdabad                         Pin-382350</v>
      </c>
      <c r="AD190" s="8">
        <f>_xlfn.XLOOKUP(AA190, 'Agency List'!A$2:A$145, 'Agency List'!D$2:D$145, "Not Found")</f>
        <v>9979476626</v>
      </c>
      <c r="AE190" s="7"/>
      <c r="AF190" s="5" t="s">
        <v>357</v>
      </c>
      <c r="AG190" s="5" t="str">
        <f t="shared" si="31"/>
        <v>Bandhkam</v>
      </c>
      <c r="AH190" s="5"/>
      <c r="AI190" s="8"/>
      <c r="AJ190" s="8"/>
      <c r="AL190" s="16">
        <v>4</v>
      </c>
      <c r="AM190" s="12">
        <f t="shared" si="32"/>
        <v>99000</v>
      </c>
      <c r="AN190" s="7">
        <f t="shared" si="33"/>
        <v>46501</v>
      </c>
      <c r="AO190" s="12">
        <f t="shared" si="34"/>
        <v>4900</v>
      </c>
      <c r="AP190" s="12">
        <f t="shared" si="35"/>
        <v>0</v>
      </c>
      <c r="AQ190" s="15">
        <f t="shared" si="36"/>
        <v>46086</v>
      </c>
      <c r="AR190" s="7">
        <f t="shared" si="37"/>
        <v>46441</v>
      </c>
      <c r="AS190" s="5">
        <v>1106</v>
      </c>
      <c r="AT190" s="7">
        <v>45877</v>
      </c>
      <c r="AU190" s="5" t="s">
        <v>78</v>
      </c>
      <c r="AV190" s="17">
        <v>165</v>
      </c>
      <c r="AW190" s="37">
        <v>45931</v>
      </c>
      <c r="AX190" s="5" t="s">
        <v>355</v>
      </c>
      <c r="AY190" s="5" t="s">
        <v>363</v>
      </c>
      <c r="AZ190" s="13" t="s">
        <v>771</v>
      </c>
      <c r="BA190" s="12">
        <v>99100</v>
      </c>
      <c r="BB190" s="7">
        <v>45897</v>
      </c>
      <c r="BC190" s="14"/>
      <c r="BD190" s="14"/>
      <c r="BF190" s="12"/>
      <c r="BG190" s="14"/>
      <c r="BH190" s="19">
        <v>45931</v>
      </c>
      <c r="BI190" s="5">
        <v>1406</v>
      </c>
      <c r="BJ190" s="19">
        <v>45931</v>
      </c>
      <c r="BM190" s="18"/>
      <c r="BN190" s="18"/>
      <c r="BO190" s="18"/>
      <c r="BP190" s="18"/>
      <c r="BQ190" s="5"/>
      <c r="BR190" s="18"/>
      <c r="BS190" s="18"/>
      <c r="BT190" s="35">
        <f t="shared" ref="BT190:BT220" si="40">BH190+AL190*30</f>
        <v>46051</v>
      </c>
    </row>
    <row r="191" spans="1:72" ht="29" x14ac:dyDescent="0.35">
      <c r="A191" s="5">
        <v>190</v>
      </c>
      <c r="B191" s="5"/>
      <c r="C191" s="5" t="s">
        <v>78</v>
      </c>
      <c r="D191" s="5">
        <v>8</v>
      </c>
      <c r="E191" s="5">
        <v>84</v>
      </c>
      <c r="F191" s="8"/>
      <c r="G191" s="8"/>
      <c r="H191" s="5"/>
      <c r="I191" s="5" t="e" cm="1">
        <f t="array" ref="I191">_xlfn.IFS(
  H191="Mahuva", "Mahuva",
  H191="Jesar", "Mahuva",
  H191="Palitana", "Palitana",
  H191="Gariyadhar", "Palitana",
  H191="Talaja", "Talaja",
  H191="Vallabhipur", "Vallabhipur",
  H191="Umrala", "Vallabhipur",
  H191="Shihor", "Shihor",
  H191="Ghogha", "Bhavnagar",
  H191="Bhavnagar", "Bhavnagar"
)</f>
        <v>#N/A</v>
      </c>
      <c r="J191" s="5" t="s">
        <v>256</v>
      </c>
      <c r="K191" s="5" t="s">
        <v>418</v>
      </c>
      <c r="M191" s="5"/>
      <c r="N191" s="7">
        <v>45837</v>
      </c>
      <c r="O191" s="7">
        <v>45848</v>
      </c>
      <c r="P191" s="7">
        <v>45849</v>
      </c>
      <c r="Q191" s="7">
        <f t="shared" si="27"/>
        <v>45968</v>
      </c>
      <c r="S191" s="33" t="s">
        <v>233</v>
      </c>
      <c r="U191" s="10"/>
      <c r="V191" s="10" t="str">
        <f t="shared" si="28"/>
        <v>Equals</v>
      </c>
      <c r="W191" s="11" t="str" cm="1">
        <f t="array" ref="W191">NumberToWords(T191)</f>
        <v>Zero Rupees Only</v>
      </c>
      <c r="X191" s="10" t="str">
        <f t="shared" si="29"/>
        <v>Division</v>
      </c>
      <c r="Z191" s="9">
        <f t="shared" si="30"/>
        <v>0</v>
      </c>
      <c r="AB191" s="8">
        <f>_xlfn.XLOOKUP(AA191, 'Agency List'!A$2:A$145, 'Agency List'!B$2:B$145, "Not Found")</f>
        <v>0</v>
      </c>
      <c r="AC191" s="8">
        <f>_xlfn.XLOOKUP(AA191, 'Agency List'!A$2:A$145, 'Agency List'!C$2:C$145, "Not Found")</f>
        <v>0</v>
      </c>
      <c r="AD191" s="8">
        <f>_xlfn.XLOOKUP(AA191, 'Agency List'!A$2:A$145, 'Agency List'!D$2:D$145, "Not Found")</f>
        <v>0</v>
      </c>
      <c r="AE191" s="7"/>
      <c r="AF191" s="5"/>
      <c r="AG191" s="5" t="str">
        <f t="shared" si="31"/>
        <v>Bandhkam</v>
      </c>
      <c r="AH191" s="5"/>
      <c r="AI191" s="8"/>
      <c r="AJ191" s="8"/>
      <c r="AL191" s="16"/>
      <c r="AM191" s="12">
        <f t="shared" si="32"/>
        <v>0</v>
      </c>
      <c r="AN191" s="7">
        <f t="shared" si="33"/>
        <v>46334</v>
      </c>
      <c r="AO191" s="12">
        <f t="shared" si="34"/>
        <v>0</v>
      </c>
      <c r="AP191" s="12">
        <f t="shared" si="35"/>
        <v>0</v>
      </c>
      <c r="AQ191" s="15">
        <f t="shared" si="36"/>
        <v>45919</v>
      </c>
      <c r="AR191" s="7">
        <f t="shared" si="37"/>
        <v>46274</v>
      </c>
      <c r="AS191" s="5"/>
      <c r="AU191" s="5"/>
      <c r="AV191" s="17"/>
      <c r="AW191" s="17"/>
      <c r="AX191" s="5"/>
      <c r="AY191" s="5"/>
      <c r="AZ191" s="13"/>
      <c r="BA191" s="12"/>
      <c r="BB191" s="7"/>
      <c r="BC191" s="14"/>
      <c r="BD191" s="14"/>
      <c r="BF191" s="12"/>
      <c r="BG191" s="14"/>
      <c r="BH191" s="19">
        <v>45884</v>
      </c>
      <c r="BI191" s="5"/>
      <c r="BM191" s="18"/>
      <c r="BN191" s="18"/>
      <c r="BO191" s="18"/>
      <c r="BP191" s="18"/>
      <c r="BQ191" s="5"/>
      <c r="BR191" s="18"/>
      <c r="BS191" s="18"/>
      <c r="BT191" s="35">
        <f t="shared" si="40"/>
        <v>45884</v>
      </c>
    </row>
    <row r="192" spans="1:72" ht="43.5" x14ac:dyDescent="0.35">
      <c r="A192" s="5">
        <v>191</v>
      </c>
      <c r="B192" s="5"/>
      <c r="C192" s="5" t="s">
        <v>78</v>
      </c>
      <c r="D192" s="5">
        <v>8</v>
      </c>
      <c r="E192" s="5">
        <v>85</v>
      </c>
      <c r="F192" s="8" t="s">
        <v>531</v>
      </c>
      <c r="G192" s="8"/>
      <c r="H192" s="5" t="s">
        <v>13</v>
      </c>
      <c r="I192" s="5" t="str" cm="1">
        <f t="array" ref="I192">_xlfn.IFS(
  H192="Mahuva", "Mahuva",
  H192="Jesar", "Mahuva",
  H192="Palitana", "Palitana",
  H192="Gariyadhar", "Palitana",
  H192="Talaja", "Talaja",
  H192="Vallabhipur", "Vallabhipur",
  H192="Umrala", "Vallabhipur",
  H192="Shihor", "Shihor",
  H192="Ghogha", "Bhavnagar",
  H192="Bhavnagar", "Bhavnagar"
)</f>
        <v>Shihor</v>
      </c>
      <c r="J192" s="5" t="s">
        <v>256</v>
      </c>
      <c r="K192" s="5" t="s">
        <v>418</v>
      </c>
      <c r="L192" s="5">
        <v>199699</v>
      </c>
      <c r="M192" s="5"/>
      <c r="N192" s="7">
        <v>45837</v>
      </c>
      <c r="O192" s="7">
        <v>45848</v>
      </c>
      <c r="P192" s="7">
        <v>45849</v>
      </c>
      <c r="Q192" s="7">
        <f t="shared" si="27"/>
        <v>45968</v>
      </c>
      <c r="R192" s="9">
        <v>2079935.08</v>
      </c>
      <c r="S192" s="33"/>
      <c r="T192" s="9">
        <v>1907924.45</v>
      </c>
      <c r="U192" s="10">
        <v>-8.27</v>
      </c>
      <c r="V192" s="10" t="str">
        <f t="shared" si="28"/>
        <v>Below</v>
      </c>
      <c r="W192" s="11" t="str" cm="1">
        <f t="array" ref="W192">NumberToWords(T192)</f>
        <v>Nineteen Lakh Seven Thousand Nine Hundred Twenty Four Rupees and Forty Five Paise Only</v>
      </c>
      <c r="X192" s="10" t="str">
        <f t="shared" si="29"/>
        <v>Division</v>
      </c>
      <c r="Z192" s="9">
        <f t="shared" si="30"/>
        <v>1907924.45</v>
      </c>
      <c r="AA192" s="5" t="s">
        <v>404</v>
      </c>
      <c r="AB192" s="8">
        <f>_xlfn.XLOOKUP(AA192, 'Agency List'!A$2:A$145, 'Agency List'!B$2:B$145, "Not Found")</f>
        <v>0</v>
      </c>
      <c r="AC192" s="8" t="str">
        <f>_xlfn.XLOOKUP(AA192, 'Agency List'!A$2:A$145, 'Agency List'!C$2:C$145, "Not Found")</f>
        <v>Fulwadi Faliya, Uchchhal-2, Tal. Uchchhal, Dist. Tapi- 394375</v>
      </c>
      <c r="AD192" s="8">
        <f>_xlfn.XLOOKUP(AA192, 'Agency List'!A$2:A$145, 'Agency List'!D$2:D$145, "Not Found")</f>
        <v>9016414291</v>
      </c>
      <c r="AE192" s="7"/>
      <c r="AF192" s="5" t="s">
        <v>357</v>
      </c>
      <c r="AG192" s="5" t="str">
        <f t="shared" si="31"/>
        <v>Bandhkam</v>
      </c>
      <c r="AH192" s="5"/>
      <c r="AI192" s="8"/>
      <c r="AJ192" s="8"/>
      <c r="AL192" s="16">
        <v>4</v>
      </c>
      <c r="AM192" s="12">
        <f t="shared" si="32"/>
        <v>96000</v>
      </c>
      <c r="AN192" s="7">
        <f t="shared" si="33"/>
        <v>46471</v>
      </c>
      <c r="AO192" s="12">
        <f t="shared" si="34"/>
        <v>4800</v>
      </c>
      <c r="AP192" s="12">
        <f t="shared" si="35"/>
        <v>0</v>
      </c>
      <c r="AQ192" s="15">
        <f t="shared" si="36"/>
        <v>46056</v>
      </c>
      <c r="AR192" s="7">
        <f t="shared" si="37"/>
        <v>46411</v>
      </c>
      <c r="AS192" s="5">
        <v>1108</v>
      </c>
      <c r="AT192" s="7">
        <v>45877</v>
      </c>
      <c r="AU192" s="5" t="s">
        <v>78</v>
      </c>
      <c r="AV192" s="17">
        <v>128</v>
      </c>
      <c r="AW192" s="37">
        <v>45901</v>
      </c>
      <c r="AX192" s="5" t="s">
        <v>355</v>
      </c>
      <c r="AY192" s="5" t="s">
        <v>369</v>
      </c>
      <c r="AZ192" s="13">
        <v>44393949350</v>
      </c>
      <c r="BA192" s="12">
        <v>96000</v>
      </c>
      <c r="BB192" s="7">
        <v>45890</v>
      </c>
      <c r="BC192" s="14"/>
      <c r="BD192" s="14"/>
      <c r="BF192" s="12"/>
      <c r="BG192" s="14"/>
      <c r="BH192" s="37">
        <v>45901</v>
      </c>
      <c r="BI192" s="5">
        <v>1235</v>
      </c>
      <c r="BJ192" s="19">
        <v>45901</v>
      </c>
      <c r="BM192" s="18"/>
      <c r="BN192" s="18"/>
      <c r="BO192" s="18"/>
      <c r="BP192" s="18"/>
      <c r="BQ192" s="5"/>
      <c r="BR192" s="18"/>
      <c r="BS192" s="18"/>
      <c r="BT192" s="35">
        <f t="shared" si="40"/>
        <v>46021</v>
      </c>
    </row>
    <row r="193" spans="1:72" ht="29" x14ac:dyDescent="0.35">
      <c r="A193" s="5">
        <v>192</v>
      </c>
      <c r="B193" s="5"/>
      <c r="C193" s="5" t="s">
        <v>78</v>
      </c>
      <c r="D193" s="5">
        <v>8</v>
      </c>
      <c r="E193" s="5">
        <v>86</v>
      </c>
      <c r="F193" s="8"/>
      <c r="G193" s="8"/>
      <c r="H193" s="5"/>
      <c r="I193" s="5" t="e" cm="1">
        <f t="array" ref="I193">_xlfn.IFS(
  H193="Mahuva", "Mahuva",
  H193="Jesar", "Mahuva",
  H193="Palitana", "Palitana",
  H193="Gariyadhar", "Palitana",
  H193="Talaja", "Talaja",
  H193="Vallabhipur", "Vallabhipur",
  H193="Umrala", "Vallabhipur",
  H193="Shihor", "Shihor",
  H193="Ghogha", "Bhavnagar",
  H193="Bhavnagar", "Bhavnagar"
)</f>
        <v>#N/A</v>
      </c>
      <c r="J193" s="5" t="s">
        <v>256</v>
      </c>
      <c r="K193" s="5" t="s">
        <v>418</v>
      </c>
      <c r="M193" s="5"/>
      <c r="N193" s="7">
        <v>45837</v>
      </c>
      <c r="O193" s="7">
        <v>45848</v>
      </c>
      <c r="P193" s="7">
        <v>45849</v>
      </c>
      <c r="Q193" s="7">
        <f t="shared" si="27"/>
        <v>45968</v>
      </c>
      <c r="S193" s="33" t="s">
        <v>233</v>
      </c>
      <c r="U193" s="10"/>
      <c r="V193" s="10" t="str">
        <f t="shared" si="28"/>
        <v>Equals</v>
      </c>
      <c r="W193" s="11" t="str" cm="1">
        <f t="array" ref="W193">NumberToWords(T193)</f>
        <v>Zero Rupees Only</v>
      </c>
      <c r="X193" s="10" t="str">
        <f t="shared" si="29"/>
        <v>Division</v>
      </c>
      <c r="Z193" s="9">
        <f t="shared" si="30"/>
        <v>0</v>
      </c>
      <c r="AB193" s="8">
        <f>_xlfn.XLOOKUP(AA193, 'Agency List'!A$2:A$145, 'Agency List'!B$2:B$145, "Not Found")</f>
        <v>0</v>
      </c>
      <c r="AC193" s="8">
        <f>_xlfn.XLOOKUP(AA193, 'Agency List'!A$2:A$145, 'Agency List'!C$2:C$145, "Not Found")</f>
        <v>0</v>
      </c>
      <c r="AD193" s="8">
        <f>_xlfn.XLOOKUP(AA193, 'Agency List'!A$2:A$145, 'Agency List'!D$2:D$145, "Not Found")</f>
        <v>0</v>
      </c>
      <c r="AE193" s="7"/>
      <c r="AF193" s="5"/>
      <c r="AG193" s="5" t="str">
        <f t="shared" si="31"/>
        <v>Bandhkam</v>
      </c>
      <c r="AH193" s="5"/>
      <c r="AI193" s="8"/>
      <c r="AJ193" s="8"/>
      <c r="AL193" s="16"/>
      <c r="AM193" s="12">
        <f t="shared" si="32"/>
        <v>0</v>
      </c>
      <c r="AN193" s="7">
        <f t="shared" si="33"/>
        <v>46334</v>
      </c>
      <c r="AO193" s="12">
        <f t="shared" si="34"/>
        <v>0</v>
      </c>
      <c r="AP193" s="12">
        <f t="shared" si="35"/>
        <v>0</v>
      </c>
      <c r="AQ193" s="15">
        <f t="shared" si="36"/>
        <v>45919</v>
      </c>
      <c r="AR193" s="7">
        <f t="shared" si="37"/>
        <v>46274</v>
      </c>
      <c r="AS193" s="5"/>
      <c r="AU193" s="5"/>
      <c r="AV193" s="17"/>
      <c r="AW193" s="17"/>
      <c r="AX193" s="5"/>
      <c r="AY193" s="5"/>
      <c r="AZ193" s="13"/>
      <c r="BA193" s="12"/>
      <c r="BB193" s="7"/>
      <c r="BC193" s="14"/>
      <c r="BD193" s="14"/>
      <c r="BF193" s="12"/>
      <c r="BG193" s="14"/>
      <c r="BH193" s="19">
        <v>45884</v>
      </c>
      <c r="BI193" s="5"/>
      <c r="BM193" s="18"/>
      <c r="BN193" s="18"/>
      <c r="BO193" s="18"/>
      <c r="BP193" s="18"/>
      <c r="BQ193" s="5"/>
      <c r="BR193" s="18"/>
      <c r="BS193" s="18"/>
      <c r="BT193" s="35">
        <f t="shared" si="40"/>
        <v>45884</v>
      </c>
    </row>
    <row r="194" spans="1:72" ht="43.5" x14ac:dyDescent="0.35">
      <c r="A194" s="5">
        <v>193</v>
      </c>
      <c r="B194" s="5"/>
      <c r="C194" s="5" t="s">
        <v>78</v>
      </c>
      <c r="D194" s="5">
        <v>8</v>
      </c>
      <c r="E194" s="5">
        <v>87</v>
      </c>
      <c r="F194" s="8" t="s">
        <v>532</v>
      </c>
      <c r="G194" s="8"/>
      <c r="H194" s="5" t="s">
        <v>13</v>
      </c>
      <c r="I194" s="5" t="str" cm="1">
        <f t="array" ref="I194">_xlfn.IFS(
  H194="Mahuva", "Mahuva",
  H194="Jesar", "Mahuva",
  H194="Palitana", "Palitana",
  H194="Gariyadhar", "Palitana",
  H194="Talaja", "Talaja",
  H194="Vallabhipur", "Vallabhipur",
  H194="Umrala", "Vallabhipur",
  H194="Shihor", "Shihor",
  H194="Ghogha", "Bhavnagar",
  H194="Bhavnagar", "Bhavnagar"
)</f>
        <v>Shihor</v>
      </c>
      <c r="J194" s="5" t="s">
        <v>256</v>
      </c>
      <c r="K194" s="5" t="s">
        <v>418</v>
      </c>
      <c r="L194" s="5">
        <v>199701</v>
      </c>
      <c r="M194" s="5"/>
      <c r="N194" s="7">
        <v>45837</v>
      </c>
      <c r="O194" s="7">
        <v>45848</v>
      </c>
      <c r="P194" s="7">
        <v>45849</v>
      </c>
      <c r="Q194" s="7">
        <f t="shared" ref="Q194:Q257" si="41">O194+120</f>
        <v>45968</v>
      </c>
      <c r="R194" s="9">
        <v>2079935.08</v>
      </c>
      <c r="S194" s="33"/>
      <c r="T194" s="9">
        <v>1944531.31</v>
      </c>
      <c r="U194" s="10">
        <v>-6.51</v>
      </c>
      <c r="V194" s="10" t="str">
        <f t="shared" ref="V194:V257" si="42">IF(U194&lt;0,"Below",IF(U194&gt;0,"Above","Equals"))</f>
        <v>Below</v>
      </c>
      <c r="W194" s="11" t="str" cm="1">
        <f t="array" ref="W194">NumberToWords(T194)</f>
        <v>Nineteen Lakh Forty Four Thousand Five Hundred Thirty One Rupees and Thirty One Paise Only</v>
      </c>
      <c r="X194" s="10" t="str">
        <f t="shared" ref="X194:X257" si="43">IF(T194&lt;5000000,"Division",IF(T194&lt;=20000000,"Circle","Government"))</f>
        <v>Division</v>
      </c>
      <c r="Z194" s="9">
        <f t="shared" ref="Z194:Z257" si="44">T194+Y194</f>
        <v>1944531.31</v>
      </c>
      <c r="AA194" s="5" t="s">
        <v>279</v>
      </c>
      <c r="AB194" s="8" t="str">
        <f>_xlfn.XLOOKUP(AA194, 'Agency List'!A$2:A$145, 'Agency List'!B$2:B$145, "Not Found")</f>
        <v>ALIGBHAI LAKHUBHAI BARAL</v>
      </c>
      <c r="AC194" s="8" t="str">
        <f>_xlfn.XLOOKUP(AA194, 'Agency List'!A$2:A$145, 'Agency List'!C$2:C$145, "Not Found")</f>
        <v>At Bhandariya, Ta. Palitana, Dist. Bhavnagar</v>
      </c>
      <c r="AD194" s="8">
        <f>_xlfn.XLOOKUP(AA194, 'Agency List'!A$2:A$145, 'Agency List'!D$2:D$145, "Not Found")</f>
        <v>9828109453</v>
      </c>
      <c r="AE194" s="7"/>
      <c r="AF194" s="1" t="s">
        <v>357</v>
      </c>
      <c r="AG194" s="5" t="str">
        <f t="shared" ref="AG194:AG257" si="45">IF(AND(
   AF194&lt;&gt;"5054 MMGSY NORMAL",
   AF194&lt;&gt;"3054 MMGSY NORMAL",
   AF194&lt;&gt;"5054 MMGSY SCSP",
   AF194&lt;&gt;"5054 Suvidhapath"
),
   IF(T194&gt;2500000,"Karobari","Bandhkam"),
   "NA"
)</f>
        <v>Bandhkam</v>
      </c>
      <c r="AH194" s="1"/>
      <c r="AI194" s="8"/>
      <c r="AJ194" s="8"/>
      <c r="AL194" s="16">
        <v>4</v>
      </c>
      <c r="AM194" s="12">
        <f t="shared" ref="AM194:AM257" si="46">CEILING(T194*5/100, 1000)</f>
        <v>98000</v>
      </c>
      <c r="AN194" s="7">
        <f t="shared" ref="AN194:AN257" si="47">AR194+60</f>
        <v>46457</v>
      </c>
      <c r="AO194" s="12">
        <f t="shared" ref="AO194:AO257" si="48">CEILING(((AM194+AP194)*4.9/100),100)</f>
        <v>4900</v>
      </c>
      <c r="AP194" s="12">
        <f t="shared" ref="AP194:AP257" si="49">IF(U194&lt;-20,(CEILING(((R194*90/100)-T194)*30/100, 1000)),IF(U194&lt;-10,(CEILING(((R194*90/100)-T194)*20/100, 1000)),0))</f>
        <v>0</v>
      </c>
      <c r="AQ194" s="15">
        <f t="shared" ref="AQ194:AQ257" si="50">BH194+AL194*30+35</f>
        <v>46042</v>
      </c>
      <c r="AR194" s="7">
        <f t="shared" ref="AR194:AR257" si="51" xml:space="preserve">   IF(R194&gt;10000000,
      BH194 + AL194*30 + 36*30 + 30,
      BH194 + AL194*30 + 12*30 + 30
   )</f>
        <v>46397</v>
      </c>
      <c r="AS194" s="5">
        <v>1095</v>
      </c>
      <c r="AT194" s="7">
        <v>45877</v>
      </c>
      <c r="AU194" s="5" t="s">
        <v>78</v>
      </c>
      <c r="AV194" s="17">
        <v>99</v>
      </c>
      <c r="AW194" s="37">
        <v>45887</v>
      </c>
      <c r="AX194" s="5" t="s">
        <v>355</v>
      </c>
      <c r="AY194" s="5" t="s">
        <v>356</v>
      </c>
      <c r="AZ194" s="13">
        <v>78048990945</v>
      </c>
      <c r="BA194" s="12">
        <v>98000</v>
      </c>
      <c r="BB194" s="7">
        <v>45887</v>
      </c>
      <c r="BC194" s="14"/>
      <c r="BD194" s="14"/>
      <c r="BF194" s="12"/>
      <c r="BG194" s="14"/>
      <c r="BH194" s="19">
        <v>45887</v>
      </c>
      <c r="BI194" s="5">
        <v>1179</v>
      </c>
      <c r="BJ194" s="19">
        <v>45887</v>
      </c>
      <c r="BM194" s="18"/>
      <c r="BN194" s="18"/>
      <c r="BO194" s="18"/>
      <c r="BP194" s="18"/>
      <c r="BQ194" s="5"/>
      <c r="BR194" s="18"/>
      <c r="BS194" s="18"/>
      <c r="BT194" s="35">
        <f t="shared" si="40"/>
        <v>46007</v>
      </c>
    </row>
    <row r="195" spans="1:72" ht="29" x14ac:dyDescent="0.35">
      <c r="A195" s="5">
        <v>194</v>
      </c>
      <c r="B195" s="5"/>
      <c r="C195" s="5" t="s">
        <v>78</v>
      </c>
      <c r="D195" s="5">
        <v>8</v>
      </c>
      <c r="E195" s="5">
        <v>88</v>
      </c>
      <c r="F195" s="8"/>
      <c r="G195" s="8"/>
      <c r="H195" s="5"/>
      <c r="I195" s="5" t="e" cm="1">
        <f t="array" ref="I195">_xlfn.IFS(
  H195="Mahuva", "Mahuva",
  H195="Jesar", "Mahuva",
  H195="Palitana", "Palitana",
  H195="Gariyadhar", "Palitana",
  H195="Talaja", "Talaja",
  H195="Vallabhipur", "Vallabhipur",
  H195="Umrala", "Vallabhipur",
  H195="Shihor", "Shihor",
  H195="Ghogha", "Bhavnagar",
  H195="Bhavnagar", "Bhavnagar"
)</f>
        <v>#N/A</v>
      </c>
      <c r="J195" s="5" t="s">
        <v>256</v>
      </c>
      <c r="K195" s="5" t="s">
        <v>418</v>
      </c>
      <c r="M195" s="5"/>
      <c r="N195" s="7">
        <v>45837</v>
      </c>
      <c r="O195" s="7">
        <v>45848</v>
      </c>
      <c r="P195" s="7">
        <v>45849</v>
      </c>
      <c r="Q195" s="7">
        <f t="shared" si="41"/>
        <v>45968</v>
      </c>
      <c r="S195" s="33" t="s">
        <v>233</v>
      </c>
      <c r="U195" s="10"/>
      <c r="V195" s="10" t="str">
        <f t="shared" si="42"/>
        <v>Equals</v>
      </c>
      <c r="W195" s="11" t="str" cm="1">
        <f t="array" ref="W195">NumberToWords(T195)</f>
        <v>Zero Rupees Only</v>
      </c>
      <c r="X195" s="10" t="str">
        <f t="shared" si="43"/>
        <v>Division</v>
      </c>
      <c r="Z195" s="9">
        <f t="shared" si="44"/>
        <v>0</v>
      </c>
      <c r="AB195" s="8">
        <f>_xlfn.XLOOKUP(AA195, 'Agency List'!A$2:A$145, 'Agency List'!B$2:B$145, "Not Found")</f>
        <v>0</v>
      </c>
      <c r="AC195" s="8">
        <f>_xlfn.XLOOKUP(AA195, 'Agency List'!A$2:A$145, 'Agency List'!C$2:C$145, "Not Found")</f>
        <v>0</v>
      </c>
      <c r="AD195" s="8">
        <f>_xlfn.XLOOKUP(AA195, 'Agency List'!A$2:A$145, 'Agency List'!D$2:D$145, "Not Found")</f>
        <v>0</v>
      </c>
      <c r="AE195" s="7"/>
      <c r="AF195" s="5"/>
      <c r="AG195" s="5" t="str">
        <f t="shared" si="45"/>
        <v>Bandhkam</v>
      </c>
      <c r="AH195" s="5"/>
      <c r="AI195" s="8"/>
      <c r="AJ195" s="8"/>
      <c r="AL195" s="16"/>
      <c r="AM195" s="12">
        <f t="shared" si="46"/>
        <v>0</v>
      </c>
      <c r="AN195" s="7">
        <f t="shared" si="47"/>
        <v>46334</v>
      </c>
      <c r="AO195" s="12">
        <f t="shared" si="48"/>
        <v>0</v>
      </c>
      <c r="AP195" s="12">
        <f t="shared" si="49"/>
        <v>0</v>
      </c>
      <c r="AQ195" s="15">
        <f t="shared" si="50"/>
        <v>45919</v>
      </c>
      <c r="AR195" s="7">
        <f t="shared" si="51"/>
        <v>46274</v>
      </c>
      <c r="AS195" s="5"/>
      <c r="AU195" s="5"/>
      <c r="AV195" s="17"/>
      <c r="AW195" s="17"/>
      <c r="AX195" s="5"/>
      <c r="AY195" s="5"/>
      <c r="AZ195" s="13"/>
      <c r="BA195" s="12"/>
      <c r="BB195" s="7"/>
      <c r="BC195" s="14"/>
      <c r="BD195" s="14"/>
      <c r="BF195" s="12"/>
      <c r="BG195" s="14"/>
      <c r="BH195" s="19">
        <v>45884</v>
      </c>
      <c r="BI195" s="5"/>
      <c r="BM195" s="18"/>
      <c r="BN195" s="18"/>
      <c r="BO195" s="18"/>
      <c r="BP195" s="18"/>
      <c r="BQ195" s="5"/>
      <c r="BR195" s="18"/>
      <c r="BS195" s="18"/>
      <c r="BT195" s="35">
        <f t="shared" si="40"/>
        <v>45884</v>
      </c>
    </row>
    <row r="196" spans="1:72" ht="43.5" x14ac:dyDescent="0.35">
      <c r="A196" s="5">
        <v>195</v>
      </c>
      <c r="B196" s="5"/>
      <c r="C196" s="5" t="s">
        <v>78</v>
      </c>
      <c r="D196" s="5">
        <v>8</v>
      </c>
      <c r="E196" s="5">
        <v>89</v>
      </c>
      <c r="F196" s="8" t="s">
        <v>533</v>
      </c>
      <c r="G196" s="8"/>
      <c r="H196" s="5" t="s">
        <v>421</v>
      </c>
      <c r="I196" s="5" t="str" cm="1">
        <f t="array" ref="I196">_xlfn.IFS(
  H196="Mahuva", "Mahuva",
  H196="Jesar", "Mahuva",
  H196="Palitana", "Palitana",
  H196="Gariyadhar", "Palitana",
  H196="Talaja", "Talaja",
  H196="Vallabhipur", "Vallabhipur",
  H196="Umrala", "Vallabhipur",
  H196="Shihor", "Shihor",
  H196="Ghogha", "Bhavnagar",
  H196="Bhavnagar", "Bhavnagar"
)</f>
        <v>Shihor</v>
      </c>
      <c r="J196" s="5" t="s">
        <v>256</v>
      </c>
      <c r="K196" s="5" t="s">
        <v>418</v>
      </c>
      <c r="L196" s="5">
        <v>199704</v>
      </c>
      <c r="M196" s="5"/>
      <c r="N196" s="7">
        <v>45837</v>
      </c>
      <c r="O196" s="7">
        <v>45848</v>
      </c>
      <c r="P196" s="7">
        <v>45849</v>
      </c>
      <c r="Q196" s="7">
        <f t="shared" si="41"/>
        <v>45968</v>
      </c>
      <c r="R196" s="9">
        <v>2079935.08</v>
      </c>
      <c r="S196" s="33"/>
      <c r="T196" s="9">
        <v>1951395.09</v>
      </c>
      <c r="U196" s="10">
        <v>-6.18</v>
      </c>
      <c r="V196" s="10" t="str">
        <f t="shared" si="42"/>
        <v>Below</v>
      </c>
      <c r="W196" s="11" t="str" cm="1">
        <f t="array" ref="W196">NumberToWords(T196)</f>
        <v>Nineteen Lakh Fifty One Thousand Three Hundred Ninety Five Rupees and Nine Paise Only</v>
      </c>
      <c r="X196" s="10" t="str">
        <f t="shared" si="43"/>
        <v>Division</v>
      </c>
      <c r="Z196" s="9">
        <f t="shared" si="44"/>
        <v>1951395.09</v>
      </c>
      <c r="AA196" s="5" t="s">
        <v>173</v>
      </c>
      <c r="AB196" s="8" t="str">
        <f>_xlfn.XLOOKUP(AA196, 'Agency List'!A$2:A$145, 'Agency List'!B$2:B$145, "Not Found")</f>
        <v>Majithiya Dhruvin Nareshbhai</v>
      </c>
      <c r="AC196" s="8" t="str">
        <f>_xlfn.XLOOKUP(AA196, 'Agency List'!A$2:A$145, 'Agency List'!C$2:C$145, "Not Found")</f>
        <v>82/1, Bajaran Society, Near Gayatri Temple, Chitra, Bhavnagar-364004</v>
      </c>
      <c r="AD196" s="8">
        <f>_xlfn.XLOOKUP(AA196, 'Agency List'!A$2:A$145, 'Agency List'!D$2:D$145, "Not Found")</f>
        <v>8200557028</v>
      </c>
      <c r="AE196" s="7"/>
      <c r="AF196" s="5" t="s">
        <v>357</v>
      </c>
      <c r="AG196" s="5" t="str">
        <f t="shared" si="45"/>
        <v>Bandhkam</v>
      </c>
      <c r="AH196" s="5"/>
      <c r="AI196" s="8"/>
      <c r="AJ196" s="8"/>
      <c r="AL196" s="16">
        <v>4</v>
      </c>
      <c r="AM196" s="12">
        <f t="shared" si="46"/>
        <v>98000</v>
      </c>
      <c r="AN196" s="7">
        <f t="shared" si="47"/>
        <v>46480</v>
      </c>
      <c r="AO196" s="12">
        <f t="shared" si="48"/>
        <v>4900</v>
      </c>
      <c r="AP196" s="12">
        <f t="shared" si="49"/>
        <v>0</v>
      </c>
      <c r="AQ196" s="15">
        <f t="shared" si="50"/>
        <v>46065</v>
      </c>
      <c r="AR196" s="7">
        <f t="shared" si="51"/>
        <v>46420</v>
      </c>
      <c r="AS196" s="5">
        <v>1098</v>
      </c>
      <c r="AT196" s="7">
        <v>45877</v>
      </c>
      <c r="AU196" s="5" t="s">
        <v>78</v>
      </c>
      <c r="AV196" s="17">
        <v>148</v>
      </c>
      <c r="AW196" s="37">
        <v>45910</v>
      </c>
      <c r="AX196" s="5" t="s">
        <v>355</v>
      </c>
      <c r="AY196" s="5" t="s">
        <v>723</v>
      </c>
      <c r="AZ196" s="45" t="s">
        <v>724</v>
      </c>
      <c r="BA196" s="12">
        <v>98000</v>
      </c>
      <c r="BB196" s="7">
        <v>45897</v>
      </c>
      <c r="BC196" s="14"/>
      <c r="BD196" s="14"/>
      <c r="BF196" s="12"/>
      <c r="BG196" s="14"/>
      <c r="BH196" s="19">
        <v>45910</v>
      </c>
      <c r="BI196" s="5">
        <v>1292</v>
      </c>
      <c r="BJ196" s="19">
        <v>45910</v>
      </c>
      <c r="BM196" s="18"/>
      <c r="BN196" s="18"/>
      <c r="BO196" s="18"/>
      <c r="BP196" s="18"/>
      <c r="BQ196" s="5"/>
      <c r="BR196" s="18"/>
      <c r="BS196" s="18"/>
      <c r="BT196" s="35">
        <f t="shared" si="40"/>
        <v>46030</v>
      </c>
    </row>
    <row r="197" spans="1:72" ht="43.5" x14ac:dyDescent="0.35">
      <c r="A197" s="5">
        <v>196</v>
      </c>
      <c r="B197" s="5"/>
      <c r="C197" s="5" t="s">
        <v>78</v>
      </c>
      <c r="D197" s="5">
        <v>8</v>
      </c>
      <c r="E197" s="5">
        <v>90</v>
      </c>
      <c r="F197" s="8" t="s">
        <v>481</v>
      </c>
      <c r="G197" s="8"/>
      <c r="H197" s="5" t="s">
        <v>13</v>
      </c>
      <c r="I197" s="5" t="str" cm="1">
        <f t="array" ref="I197">_xlfn.IFS(
  H197="Mahuva", "Mahuva",
  H197="Jesar", "Mahuva",
  H197="Palitana", "Palitana",
  H197="Gariyadhar", "Palitana",
  H197="Talaja", "Talaja",
  H197="Vallabhipur", "Vallabhipur",
  H197="Umrala", "Vallabhipur",
  H197="Shihor", "Shihor",
  H197="Ghogha", "Bhavnagar",
  H197="Bhavnagar", "Bhavnagar"
)</f>
        <v>Shihor</v>
      </c>
      <c r="J197" s="5" t="s">
        <v>256</v>
      </c>
      <c r="K197" s="5" t="s">
        <v>418</v>
      </c>
      <c r="L197" s="5">
        <v>199706</v>
      </c>
      <c r="M197" s="5">
        <v>1</v>
      </c>
      <c r="N197" s="7">
        <v>45837</v>
      </c>
      <c r="O197" s="7">
        <v>45848</v>
      </c>
      <c r="P197" s="7">
        <v>45849</v>
      </c>
      <c r="Q197" s="7">
        <f t="shared" si="41"/>
        <v>45968</v>
      </c>
      <c r="R197" s="9">
        <v>2079935.08</v>
      </c>
      <c r="S197" s="33"/>
      <c r="T197" s="9">
        <v>1915620.21</v>
      </c>
      <c r="U197" s="10">
        <v>-7.9</v>
      </c>
      <c r="V197" s="10" t="str">
        <f t="shared" si="42"/>
        <v>Below</v>
      </c>
      <c r="W197" s="11" t="str" cm="1">
        <f t="array" ref="W197">NumberToWords(T197)</f>
        <v>Nineteen Lakh Fifteen Thousand Six Hundred Twenty Rupees and Twenty One Paise Only</v>
      </c>
      <c r="X197" s="10" t="str">
        <f t="shared" si="43"/>
        <v>Division</v>
      </c>
      <c r="Z197" s="9">
        <f t="shared" si="44"/>
        <v>1915620.21</v>
      </c>
      <c r="AA197" s="5" t="s">
        <v>406</v>
      </c>
      <c r="AB197" s="8" t="str">
        <f>_xlfn.XLOOKUP(AA197, 'Agency List'!A$2:A$145, 'Agency List'!B$2:B$145, "Not Found")</f>
        <v>KEVAL BUDHESHBHAI BHAYANI</v>
      </c>
      <c r="AC197" s="8" t="str">
        <f>_xlfn.XLOOKUP(AA197, 'Agency List'!A$2:A$145, 'Agency List'!C$2:C$145, "Not Found")</f>
        <v>235, Momai Krupa, Bhayani Sheri, Madhada, Ta. Shihor, Dist. Bhavnagar - 364240</v>
      </c>
      <c r="AD197" s="8">
        <f>_xlfn.XLOOKUP(AA197, 'Agency List'!A$2:A$145, 'Agency List'!D$2:D$145, "Not Found")</f>
        <v>8905890589</v>
      </c>
      <c r="AE197" s="7"/>
      <c r="AF197" s="5"/>
      <c r="AG197" s="5" t="str">
        <f t="shared" si="45"/>
        <v>Bandhkam</v>
      </c>
      <c r="AH197" s="5"/>
      <c r="AI197" s="8"/>
      <c r="AJ197" s="8"/>
      <c r="AL197" s="16">
        <v>4</v>
      </c>
      <c r="AM197" s="12">
        <f t="shared" si="46"/>
        <v>96000</v>
      </c>
      <c r="AN197" s="7">
        <f t="shared" si="47"/>
        <v>46457</v>
      </c>
      <c r="AO197" s="12">
        <f t="shared" si="48"/>
        <v>4800</v>
      </c>
      <c r="AP197" s="12">
        <f t="shared" si="49"/>
        <v>0</v>
      </c>
      <c r="AQ197" s="15">
        <f t="shared" si="50"/>
        <v>46042</v>
      </c>
      <c r="AR197" s="7">
        <f t="shared" si="51"/>
        <v>46397</v>
      </c>
      <c r="AS197" s="5">
        <v>1064</v>
      </c>
      <c r="AT197" s="7">
        <v>45873</v>
      </c>
      <c r="AU197" s="5" t="s">
        <v>78</v>
      </c>
      <c r="AV197" s="17">
        <v>87</v>
      </c>
      <c r="AW197" s="37">
        <v>45887</v>
      </c>
      <c r="AX197" s="5" t="s">
        <v>355</v>
      </c>
      <c r="AY197" s="5" t="s">
        <v>369</v>
      </c>
      <c r="AZ197" s="45" t="s">
        <v>613</v>
      </c>
      <c r="BA197" s="12">
        <v>96000</v>
      </c>
      <c r="BB197" s="7">
        <v>45880</v>
      </c>
      <c r="BC197" s="14"/>
      <c r="BD197" s="14"/>
      <c r="BF197" s="12"/>
      <c r="BG197" s="14"/>
      <c r="BH197" s="37">
        <v>45887</v>
      </c>
      <c r="BI197" s="5">
        <v>1166</v>
      </c>
      <c r="BJ197" s="19">
        <v>45887</v>
      </c>
      <c r="BM197" s="18"/>
      <c r="BN197" s="18"/>
      <c r="BO197" s="18"/>
      <c r="BP197" s="18"/>
      <c r="BQ197" s="5"/>
      <c r="BR197" s="18"/>
      <c r="BS197" s="18"/>
      <c r="BT197" s="35">
        <f t="shared" si="40"/>
        <v>46007</v>
      </c>
    </row>
    <row r="198" spans="1:72" ht="29" x14ac:dyDescent="0.35">
      <c r="A198" s="5">
        <v>197</v>
      </c>
      <c r="B198" s="5"/>
      <c r="C198" s="5" t="s">
        <v>78</v>
      </c>
      <c r="D198" s="5">
        <v>8</v>
      </c>
      <c r="E198" s="5">
        <v>91</v>
      </c>
      <c r="F198" s="8"/>
      <c r="G198" s="8"/>
      <c r="H198" s="5"/>
      <c r="I198" s="5" t="e" cm="1">
        <f t="array" ref="I198">_xlfn.IFS(
  H198="Mahuva", "Mahuva",
  H198="Jesar", "Mahuva",
  H198="Palitana", "Palitana",
  H198="Gariyadhar", "Palitana",
  H198="Talaja", "Talaja",
  H198="Vallabhipur", "Vallabhipur",
  H198="Umrala", "Vallabhipur",
  H198="Shihor", "Shihor",
  H198="Ghogha", "Bhavnagar",
  H198="Bhavnagar", "Bhavnagar"
)</f>
        <v>#N/A</v>
      </c>
      <c r="J198" s="5" t="s">
        <v>256</v>
      </c>
      <c r="K198" s="5" t="s">
        <v>418</v>
      </c>
      <c r="M198" s="5"/>
      <c r="N198" s="7">
        <v>45837</v>
      </c>
      <c r="O198" s="7">
        <v>45848</v>
      </c>
      <c r="P198" s="7">
        <v>45849</v>
      </c>
      <c r="Q198" s="7">
        <f t="shared" si="41"/>
        <v>45968</v>
      </c>
      <c r="S198" s="33" t="s">
        <v>233</v>
      </c>
      <c r="U198" s="10"/>
      <c r="V198" s="10" t="str">
        <f t="shared" si="42"/>
        <v>Equals</v>
      </c>
      <c r="W198" s="11" t="str" cm="1">
        <f t="array" ref="W198">NumberToWords(T198)</f>
        <v>Zero Rupees Only</v>
      </c>
      <c r="X198" s="10" t="str">
        <f t="shared" si="43"/>
        <v>Division</v>
      </c>
      <c r="Z198" s="9">
        <f t="shared" si="44"/>
        <v>0</v>
      </c>
      <c r="AB198" s="8">
        <f>_xlfn.XLOOKUP(AA198, 'Agency List'!A$2:A$145, 'Agency List'!B$2:B$145, "Not Found")</f>
        <v>0</v>
      </c>
      <c r="AC198" s="8">
        <f>_xlfn.XLOOKUP(AA198, 'Agency List'!A$2:A$145, 'Agency List'!C$2:C$145, "Not Found")</f>
        <v>0</v>
      </c>
      <c r="AD198" s="8">
        <f>_xlfn.XLOOKUP(AA198, 'Agency List'!A$2:A$145, 'Agency List'!D$2:D$145, "Not Found")</f>
        <v>0</v>
      </c>
      <c r="AE198" s="7"/>
      <c r="AF198" s="5"/>
      <c r="AG198" s="5" t="str">
        <f t="shared" si="45"/>
        <v>Bandhkam</v>
      </c>
      <c r="AH198" s="5"/>
      <c r="AI198" s="8"/>
      <c r="AJ198" s="8"/>
      <c r="AL198" s="16"/>
      <c r="AM198" s="12">
        <f t="shared" si="46"/>
        <v>0</v>
      </c>
      <c r="AN198" s="7">
        <f t="shared" si="47"/>
        <v>46334</v>
      </c>
      <c r="AO198" s="12">
        <f t="shared" si="48"/>
        <v>0</v>
      </c>
      <c r="AP198" s="12">
        <f t="shared" si="49"/>
        <v>0</v>
      </c>
      <c r="AQ198" s="15">
        <f t="shared" si="50"/>
        <v>45919</v>
      </c>
      <c r="AR198" s="7">
        <f t="shared" si="51"/>
        <v>46274</v>
      </c>
      <c r="AS198" s="5"/>
      <c r="AU198" s="5"/>
      <c r="AV198" s="17"/>
      <c r="AW198" s="17"/>
      <c r="AX198" s="5"/>
      <c r="AY198" s="5"/>
      <c r="AZ198" s="13"/>
      <c r="BA198" s="12"/>
      <c r="BB198" s="7"/>
      <c r="BC198" s="14"/>
      <c r="BD198" s="14"/>
      <c r="BF198" s="12"/>
      <c r="BG198" s="14"/>
      <c r="BH198" s="19">
        <v>45884</v>
      </c>
      <c r="BI198" s="5"/>
      <c r="BM198" s="18"/>
      <c r="BN198" s="18"/>
      <c r="BO198" s="18"/>
      <c r="BP198" s="18"/>
      <c r="BQ198" s="5"/>
      <c r="BR198" s="18"/>
      <c r="BS198" s="18"/>
      <c r="BT198" s="35">
        <f t="shared" si="40"/>
        <v>45884</v>
      </c>
    </row>
    <row r="199" spans="1:72" ht="29" x14ac:dyDescent="0.35">
      <c r="A199" s="5">
        <v>198</v>
      </c>
      <c r="B199" s="5"/>
      <c r="C199" s="5" t="s">
        <v>78</v>
      </c>
      <c r="D199" s="5">
        <v>8</v>
      </c>
      <c r="E199" s="5">
        <v>92</v>
      </c>
      <c r="F199" s="8"/>
      <c r="G199" s="8"/>
      <c r="H199" s="5"/>
      <c r="I199" s="5" t="e" cm="1">
        <f t="array" ref="I199">_xlfn.IFS(
  H199="Mahuva", "Mahuva",
  H199="Jesar", "Mahuva",
  H199="Palitana", "Palitana",
  H199="Gariyadhar", "Palitana",
  H199="Talaja", "Talaja",
  H199="Vallabhipur", "Vallabhipur",
  H199="Umrala", "Vallabhipur",
  H199="Shihor", "Shihor",
  H199="Ghogha", "Bhavnagar",
  H199="Bhavnagar", "Bhavnagar"
)</f>
        <v>#N/A</v>
      </c>
      <c r="J199" s="5" t="s">
        <v>256</v>
      </c>
      <c r="K199" s="5" t="s">
        <v>418</v>
      </c>
      <c r="M199" s="5"/>
      <c r="N199" s="7">
        <v>45837</v>
      </c>
      <c r="O199" s="7">
        <v>45848</v>
      </c>
      <c r="P199" s="7">
        <v>45849</v>
      </c>
      <c r="Q199" s="7">
        <f t="shared" si="41"/>
        <v>45968</v>
      </c>
      <c r="S199" s="33" t="s">
        <v>233</v>
      </c>
      <c r="U199" s="10"/>
      <c r="V199" s="10" t="str">
        <f t="shared" si="42"/>
        <v>Equals</v>
      </c>
      <c r="W199" s="11" t="str" cm="1">
        <f t="array" ref="W199">NumberToWords(T199)</f>
        <v>Zero Rupees Only</v>
      </c>
      <c r="X199" s="10" t="str">
        <f t="shared" si="43"/>
        <v>Division</v>
      </c>
      <c r="Z199" s="9">
        <f t="shared" si="44"/>
        <v>0</v>
      </c>
      <c r="AB199" s="8">
        <f>_xlfn.XLOOKUP(AA199, 'Agency List'!A$2:A$145, 'Agency List'!B$2:B$145, "Not Found")</f>
        <v>0</v>
      </c>
      <c r="AC199" s="8">
        <f>_xlfn.XLOOKUP(AA199, 'Agency List'!A$2:A$145, 'Agency List'!C$2:C$145, "Not Found")</f>
        <v>0</v>
      </c>
      <c r="AD199" s="8">
        <f>_xlfn.XLOOKUP(AA199, 'Agency List'!A$2:A$145, 'Agency List'!D$2:D$145, "Not Found")</f>
        <v>0</v>
      </c>
      <c r="AE199" s="7"/>
      <c r="AF199" s="5"/>
      <c r="AG199" s="5" t="str">
        <f t="shared" si="45"/>
        <v>Bandhkam</v>
      </c>
      <c r="AH199" s="5"/>
      <c r="AI199" s="8"/>
      <c r="AJ199" s="8"/>
      <c r="AL199" s="16"/>
      <c r="AM199" s="12">
        <f t="shared" si="46"/>
        <v>0</v>
      </c>
      <c r="AN199" s="7">
        <f t="shared" si="47"/>
        <v>46334</v>
      </c>
      <c r="AO199" s="12">
        <f t="shared" si="48"/>
        <v>0</v>
      </c>
      <c r="AP199" s="12">
        <f t="shared" si="49"/>
        <v>0</v>
      </c>
      <c r="AQ199" s="15">
        <f t="shared" si="50"/>
        <v>45919</v>
      </c>
      <c r="AR199" s="7">
        <f t="shared" si="51"/>
        <v>46274</v>
      </c>
      <c r="AS199" s="5"/>
      <c r="AU199" s="5"/>
      <c r="AV199" s="17"/>
      <c r="AW199" s="17"/>
      <c r="AX199" s="5"/>
      <c r="AY199" s="5"/>
      <c r="AZ199" s="13"/>
      <c r="BA199" s="12"/>
      <c r="BB199" s="7"/>
      <c r="BC199" s="14"/>
      <c r="BD199" s="14"/>
      <c r="BF199" s="12"/>
      <c r="BG199" s="14"/>
      <c r="BH199" s="19">
        <v>45884</v>
      </c>
      <c r="BI199" s="5"/>
      <c r="BM199" s="18"/>
      <c r="BN199" s="18"/>
      <c r="BO199" s="18"/>
      <c r="BP199" s="18"/>
      <c r="BQ199" s="5"/>
      <c r="BR199" s="18"/>
      <c r="BS199" s="18"/>
      <c r="BT199" s="35">
        <f t="shared" si="40"/>
        <v>45884</v>
      </c>
    </row>
    <row r="200" spans="1:72" ht="58" x14ac:dyDescent="0.35">
      <c r="A200" s="5">
        <v>199</v>
      </c>
      <c r="B200" s="5"/>
      <c r="C200" s="5" t="s">
        <v>78</v>
      </c>
      <c r="D200" s="5">
        <v>8</v>
      </c>
      <c r="E200" s="5">
        <v>93</v>
      </c>
      <c r="F200" s="8" t="s">
        <v>534</v>
      </c>
      <c r="G200" s="8"/>
      <c r="H200" s="5" t="s">
        <v>13</v>
      </c>
      <c r="I200" s="5" t="str" cm="1">
        <f t="array" ref="I200">_xlfn.IFS(
  H200="Mahuva", "Mahuva",
  H200="Jesar", "Mahuva",
  H200="Palitana", "Palitana",
  H200="Gariyadhar", "Palitana",
  H200="Talaja", "Talaja",
  H200="Vallabhipur", "Vallabhipur",
  H200="Umrala", "Vallabhipur",
  H200="Shihor", "Shihor",
  H200="Ghogha", "Bhavnagar",
  H200="Bhavnagar", "Bhavnagar"
)</f>
        <v>Shihor</v>
      </c>
      <c r="J200" s="5" t="s">
        <v>256</v>
      </c>
      <c r="K200" s="5" t="s">
        <v>418</v>
      </c>
      <c r="L200" s="5">
        <v>199709</v>
      </c>
      <c r="M200" s="5">
        <v>1</v>
      </c>
      <c r="N200" s="7">
        <v>45837</v>
      </c>
      <c r="O200" s="7">
        <v>45848</v>
      </c>
      <c r="P200" s="7">
        <v>45849</v>
      </c>
      <c r="Q200" s="7">
        <f t="shared" si="41"/>
        <v>45968</v>
      </c>
      <c r="R200" s="9">
        <v>2079935.08</v>
      </c>
      <c r="S200" s="33"/>
      <c r="T200" s="9">
        <v>1923731.96</v>
      </c>
      <c r="U200" s="10">
        <v>-7.51</v>
      </c>
      <c r="V200" s="10" t="str">
        <f t="shared" si="42"/>
        <v>Below</v>
      </c>
      <c r="W200" s="11" t="str" cm="1">
        <f t="array" ref="W200">NumberToWords(T200)</f>
        <v>Nineteen Lakh Twenty Three Thousand Seven Hundred Thirty One Rupees and Ninety Six Paise Only</v>
      </c>
      <c r="X200" s="10" t="str">
        <f t="shared" si="43"/>
        <v>Division</v>
      </c>
      <c r="Z200" s="9">
        <f t="shared" si="44"/>
        <v>1923731.96</v>
      </c>
      <c r="AA200" s="5" t="s">
        <v>281</v>
      </c>
      <c r="AB200" s="8" t="str">
        <f>_xlfn.XLOOKUP(AA200, 'Agency List'!A$2:A$145, 'Agency List'!B$2:B$145, "Not Found")</f>
        <v>UDAYBHAI RAMKUBHAI LUNSAR</v>
      </c>
      <c r="AC200" s="8" t="str">
        <f>_xlfn.XLOOKUP(AA200, 'Agency List'!A$2:A$145, 'Agency List'!C$2:C$145, "Not Found")</f>
        <v>Shop No. 5, First Floor, Nilkanth Arcade, Opp. Arjun Tokiz, Palitana Road, Gariyadhar- 364505</v>
      </c>
      <c r="AD200" s="8">
        <f>_xlfn.XLOOKUP(AA200, 'Agency List'!A$2:A$145, 'Agency List'!D$2:D$145, "Not Found")</f>
        <v>9824226646</v>
      </c>
      <c r="AE200" s="7"/>
      <c r="AF200" s="5" t="s">
        <v>357</v>
      </c>
      <c r="AG200" s="5" t="str">
        <f t="shared" si="45"/>
        <v>Bandhkam</v>
      </c>
      <c r="AH200" s="5"/>
      <c r="AI200" s="8"/>
      <c r="AJ200" s="8"/>
      <c r="AL200" s="16">
        <v>4</v>
      </c>
      <c r="AM200" s="12">
        <f t="shared" si="46"/>
        <v>97000</v>
      </c>
      <c r="AN200" s="7">
        <f t="shared" si="47"/>
        <v>46468</v>
      </c>
      <c r="AO200" s="12">
        <f t="shared" si="48"/>
        <v>4800</v>
      </c>
      <c r="AP200" s="12">
        <f t="shared" si="49"/>
        <v>0</v>
      </c>
      <c r="AQ200" s="15">
        <f t="shared" si="50"/>
        <v>46053</v>
      </c>
      <c r="AR200" s="7">
        <f t="shared" si="51"/>
        <v>46408</v>
      </c>
      <c r="AS200" s="5">
        <v>1093</v>
      </c>
      <c r="AT200" s="7">
        <v>45877</v>
      </c>
      <c r="AU200" s="5" t="s">
        <v>78</v>
      </c>
      <c r="AV200" s="17">
        <v>117</v>
      </c>
      <c r="AW200" s="37">
        <v>45898</v>
      </c>
      <c r="AX200" s="5" t="s">
        <v>355</v>
      </c>
      <c r="AY200" s="5" t="s">
        <v>369</v>
      </c>
      <c r="AZ200" s="13">
        <v>44407033346</v>
      </c>
      <c r="BA200" s="12">
        <v>97000</v>
      </c>
      <c r="BB200" s="7">
        <v>45895</v>
      </c>
      <c r="BC200" s="14"/>
      <c r="BD200" s="14"/>
      <c r="BF200" s="12"/>
      <c r="BG200" s="14"/>
      <c r="BH200" s="19">
        <v>45898</v>
      </c>
      <c r="BI200" s="5">
        <v>1219</v>
      </c>
      <c r="BJ200" s="19">
        <v>45898</v>
      </c>
      <c r="BM200" s="18"/>
      <c r="BN200" s="18"/>
      <c r="BO200" s="18"/>
      <c r="BP200" s="18"/>
      <c r="BQ200" s="5"/>
      <c r="BR200" s="18"/>
      <c r="BS200" s="18"/>
      <c r="BT200" s="35">
        <f t="shared" si="40"/>
        <v>46018</v>
      </c>
    </row>
    <row r="201" spans="1:72" ht="29" x14ac:dyDescent="0.35">
      <c r="A201" s="5">
        <v>200</v>
      </c>
      <c r="B201" s="5"/>
      <c r="C201" s="5" t="s">
        <v>78</v>
      </c>
      <c r="D201" s="5">
        <v>8</v>
      </c>
      <c r="E201" s="5">
        <v>94</v>
      </c>
      <c r="F201" s="8"/>
      <c r="G201" s="8"/>
      <c r="H201" s="5"/>
      <c r="I201" s="5" t="e" cm="1">
        <f t="array" ref="I201">_xlfn.IFS(
  H201="Mahuva", "Mahuva",
  H201="Jesar", "Mahuva",
  H201="Palitana", "Palitana",
  H201="Gariyadhar", "Palitana",
  H201="Talaja", "Talaja",
  H201="Vallabhipur", "Vallabhipur",
  H201="Umrala", "Vallabhipur",
  H201="Shihor", "Shihor",
  H201="Ghogha", "Bhavnagar",
  H201="Bhavnagar", "Bhavnagar"
)</f>
        <v>#N/A</v>
      </c>
      <c r="J201" s="5" t="s">
        <v>256</v>
      </c>
      <c r="K201" s="5" t="s">
        <v>418</v>
      </c>
      <c r="M201" s="5"/>
      <c r="N201" s="7">
        <v>45837</v>
      </c>
      <c r="O201" s="7">
        <v>45848</v>
      </c>
      <c r="P201" s="7">
        <v>45849</v>
      </c>
      <c r="Q201" s="7">
        <f t="shared" si="41"/>
        <v>45968</v>
      </c>
      <c r="S201" s="33" t="s">
        <v>233</v>
      </c>
      <c r="U201" s="10"/>
      <c r="V201" s="10" t="str">
        <f t="shared" si="42"/>
        <v>Equals</v>
      </c>
      <c r="W201" s="11" t="str" cm="1">
        <f t="array" ref="W201">NumberToWords(T201)</f>
        <v>Zero Rupees Only</v>
      </c>
      <c r="X201" s="10" t="str">
        <f t="shared" si="43"/>
        <v>Division</v>
      </c>
      <c r="Z201" s="9">
        <f t="shared" si="44"/>
        <v>0</v>
      </c>
      <c r="AB201" s="8">
        <f>_xlfn.XLOOKUP(AA201, 'Agency List'!A$2:A$145, 'Agency List'!B$2:B$145, "Not Found")</f>
        <v>0</v>
      </c>
      <c r="AC201" s="8">
        <f>_xlfn.XLOOKUP(AA201, 'Agency List'!A$2:A$145, 'Agency List'!C$2:C$145, "Not Found")</f>
        <v>0</v>
      </c>
      <c r="AD201" s="8">
        <f>_xlfn.XLOOKUP(AA201, 'Agency List'!A$2:A$145, 'Agency List'!D$2:D$145, "Not Found")</f>
        <v>0</v>
      </c>
      <c r="AE201" s="7"/>
      <c r="AF201" s="5"/>
      <c r="AG201" s="5" t="str">
        <f t="shared" si="45"/>
        <v>Bandhkam</v>
      </c>
      <c r="AH201" s="5"/>
      <c r="AI201" s="8"/>
      <c r="AJ201" s="8"/>
      <c r="AL201" s="16"/>
      <c r="AM201" s="12">
        <f t="shared" si="46"/>
        <v>0</v>
      </c>
      <c r="AN201" s="7">
        <f t="shared" si="47"/>
        <v>46334</v>
      </c>
      <c r="AO201" s="12">
        <f t="shared" si="48"/>
        <v>0</v>
      </c>
      <c r="AP201" s="12">
        <f t="shared" si="49"/>
        <v>0</v>
      </c>
      <c r="AQ201" s="15">
        <f t="shared" si="50"/>
        <v>45919</v>
      </c>
      <c r="AR201" s="7">
        <f t="shared" si="51"/>
        <v>46274</v>
      </c>
      <c r="AS201" s="5"/>
      <c r="AU201" s="5"/>
      <c r="AV201" s="17"/>
      <c r="AW201" s="17"/>
      <c r="AX201" s="5"/>
      <c r="AY201" s="5"/>
      <c r="AZ201" s="13"/>
      <c r="BA201" s="12"/>
      <c r="BB201" s="7"/>
      <c r="BC201" s="14"/>
      <c r="BD201" s="14"/>
      <c r="BF201" s="12"/>
      <c r="BG201" s="14"/>
      <c r="BH201" s="19">
        <v>45884</v>
      </c>
      <c r="BI201" s="5"/>
      <c r="BM201" s="18"/>
      <c r="BN201" s="18"/>
      <c r="BO201" s="18"/>
      <c r="BP201" s="18"/>
      <c r="BQ201" s="5"/>
      <c r="BR201" s="18"/>
      <c r="BS201" s="18"/>
      <c r="BT201" s="35">
        <f t="shared" si="40"/>
        <v>45884</v>
      </c>
    </row>
    <row r="202" spans="1:72" ht="29" x14ac:dyDescent="0.35">
      <c r="A202" s="5">
        <v>201</v>
      </c>
      <c r="B202" s="5"/>
      <c r="C202" s="5" t="s">
        <v>78</v>
      </c>
      <c r="D202" s="5">
        <v>8</v>
      </c>
      <c r="E202" s="5">
        <v>95</v>
      </c>
      <c r="F202" s="8"/>
      <c r="G202" s="8"/>
      <c r="H202" s="5"/>
      <c r="I202" s="5" t="e" cm="1">
        <f t="array" ref="I202">_xlfn.IFS(
  H202="Mahuva", "Mahuva",
  H202="Jesar", "Mahuva",
  H202="Palitana", "Palitana",
  H202="Gariyadhar", "Palitana",
  H202="Talaja", "Talaja",
  H202="Vallabhipur", "Vallabhipur",
  H202="Umrala", "Vallabhipur",
  H202="Shihor", "Shihor",
  H202="Ghogha", "Bhavnagar",
  H202="Bhavnagar", "Bhavnagar"
)</f>
        <v>#N/A</v>
      </c>
      <c r="J202" s="5" t="s">
        <v>256</v>
      </c>
      <c r="K202" s="5" t="s">
        <v>418</v>
      </c>
      <c r="M202" s="5"/>
      <c r="N202" s="7">
        <v>45837</v>
      </c>
      <c r="O202" s="7">
        <v>45848</v>
      </c>
      <c r="P202" s="7">
        <v>45849</v>
      </c>
      <c r="Q202" s="7">
        <f t="shared" si="41"/>
        <v>45968</v>
      </c>
      <c r="S202" s="33" t="s">
        <v>233</v>
      </c>
      <c r="U202" s="10"/>
      <c r="V202" s="10" t="str">
        <f t="shared" si="42"/>
        <v>Equals</v>
      </c>
      <c r="W202" s="11" t="str" cm="1">
        <f t="array" ref="W202">NumberToWords(T202)</f>
        <v>Zero Rupees Only</v>
      </c>
      <c r="X202" s="10" t="str">
        <f t="shared" si="43"/>
        <v>Division</v>
      </c>
      <c r="Z202" s="9">
        <f t="shared" si="44"/>
        <v>0</v>
      </c>
      <c r="AB202" s="8">
        <f>_xlfn.XLOOKUP(AA202, 'Agency List'!A$2:A$145, 'Agency List'!B$2:B$145, "Not Found")</f>
        <v>0</v>
      </c>
      <c r="AC202" s="8">
        <f>_xlfn.XLOOKUP(AA202, 'Agency List'!A$2:A$145, 'Agency List'!C$2:C$145, "Not Found")</f>
        <v>0</v>
      </c>
      <c r="AD202" s="8">
        <f>_xlfn.XLOOKUP(AA202, 'Agency List'!A$2:A$145, 'Agency List'!D$2:D$145, "Not Found")</f>
        <v>0</v>
      </c>
      <c r="AE202" s="7"/>
      <c r="AF202" s="5"/>
      <c r="AG202" s="5" t="str">
        <f t="shared" si="45"/>
        <v>Bandhkam</v>
      </c>
      <c r="AH202" s="5"/>
      <c r="AI202" s="8"/>
      <c r="AJ202" s="8"/>
      <c r="AL202" s="16"/>
      <c r="AM202" s="12">
        <f t="shared" si="46"/>
        <v>0</v>
      </c>
      <c r="AN202" s="7">
        <f t="shared" si="47"/>
        <v>46334</v>
      </c>
      <c r="AO202" s="12">
        <f t="shared" si="48"/>
        <v>0</v>
      </c>
      <c r="AP202" s="12">
        <f t="shared" si="49"/>
        <v>0</v>
      </c>
      <c r="AQ202" s="15">
        <f t="shared" si="50"/>
        <v>45919</v>
      </c>
      <c r="AR202" s="7">
        <f t="shared" si="51"/>
        <v>46274</v>
      </c>
      <c r="AS202" s="5"/>
      <c r="AU202" s="5"/>
      <c r="AV202" s="17"/>
      <c r="AW202" s="17"/>
      <c r="AX202" s="5"/>
      <c r="AY202" s="5"/>
      <c r="AZ202" s="13"/>
      <c r="BA202" s="12"/>
      <c r="BB202" s="7"/>
      <c r="BC202" s="14"/>
      <c r="BD202" s="14"/>
      <c r="BF202" s="12"/>
      <c r="BG202" s="14"/>
      <c r="BH202" s="19">
        <v>45884</v>
      </c>
      <c r="BI202" s="5"/>
      <c r="BM202" s="18"/>
      <c r="BN202" s="18"/>
      <c r="BO202" s="18"/>
      <c r="BP202" s="18"/>
      <c r="BQ202" s="5"/>
      <c r="BR202" s="18"/>
      <c r="BS202" s="18"/>
      <c r="BT202" s="35">
        <f t="shared" si="40"/>
        <v>45884</v>
      </c>
    </row>
    <row r="203" spans="1:72" ht="43.5" x14ac:dyDescent="0.35">
      <c r="A203" s="5">
        <v>202</v>
      </c>
      <c r="B203" s="5"/>
      <c r="C203" s="5" t="s">
        <v>78</v>
      </c>
      <c r="D203" s="5">
        <v>8</v>
      </c>
      <c r="E203" s="5">
        <v>96</v>
      </c>
      <c r="F203" s="8" t="s">
        <v>535</v>
      </c>
      <c r="G203" s="5"/>
      <c r="H203" s="5" t="s">
        <v>13</v>
      </c>
      <c r="I203" s="5" t="str" cm="1">
        <f t="array" ref="I203">_xlfn.IFS(
  H203="Mahuva", "Mahuva",
  H203="Jesar", "Mahuva",
  H203="Palitana", "Palitana",
  H203="Gariyadhar", "Palitana",
  H203="Talaja", "Talaja",
  H203="Vallabhipur", "Vallabhipur",
  H203="Umrala", "Vallabhipur",
  H203="Shihor", "Shihor",
  H203="Ghogha", "Bhavnagar",
  H203="Bhavnagar", "Bhavnagar"
)</f>
        <v>Shihor</v>
      </c>
      <c r="J203" s="5" t="s">
        <v>256</v>
      </c>
      <c r="K203" s="5" t="s">
        <v>418</v>
      </c>
      <c r="L203" s="5">
        <v>199712</v>
      </c>
      <c r="M203" s="5"/>
      <c r="N203" s="7">
        <v>45837</v>
      </c>
      <c r="O203" s="7">
        <v>45848</v>
      </c>
      <c r="P203" s="7">
        <v>45849</v>
      </c>
      <c r="Q203" s="7">
        <f t="shared" si="41"/>
        <v>45968</v>
      </c>
      <c r="R203" s="9">
        <v>2079935.08</v>
      </c>
      <c r="S203" s="33"/>
      <c r="T203" s="9">
        <v>1971778.46</v>
      </c>
      <c r="U203" s="10">
        <v>-5.2</v>
      </c>
      <c r="V203" s="10" t="str">
        <f t="shared" si="42"/>
        <v>Below</v>
      </c>
      <c r="W203" s="11" t="str" cm="1">
        <f t="array" ref="W203">NumberToWords(T203)</f>
        <v>Nineteen Lakh Seventy One Thousand Seven Hundred Seventy Eight Rupees and Forty Six Paise Only</v>
      </c>
      <c r="X203" s="10" t="str">
        <f t="shared" si="43"/>
        <v>Division</v>
      </c>
      <c r="Z203" s="9">
        <f t="shared" si="44"/>
        <v>1971778.46</v>
      </c>
      <c r="AA203" s="5" t="s">
        <v>292</v>
      </c>
      <c r="AB203" s="8" t="str">
        <f>_xlfn.XLOOKUP(AA203, 'Agency List'!A$2:A$145, 'Agency List'!B$2:B$145, "Not Found")</f>
        <v>ASHOKBHAI PARSHOTAMBHAI
BARAIYA</v>
      </c>
      <c r="AC203" s="8" t="str">
        <f>_xlfn.XLOOKUP(AA203, 'Agency List'!A$2:A$145, 'Agency List'!C$2:C$145, "Not Found")</f>
        <v>At Lapaliya, Post- Nani Rajsthali, Tal. Palitana - 364270</v>
      </c>
      <c r="AD203" s="8">
        <f>_xlfn.XLOOKUP(AA203, 'Agency List'!A$2:A$145, 'Agency List'!D$2:D$145, "Not Found")</f>
        <v>9898775037</v>
      </c>
      <c r="AE203" s="7"/>
      <c r="AF203" s="5"/>
      <c r="AG203" s="5" t="str">
        <f t="shared" si="45"/>
        <v>Bandhkam</v>
      </c>
      <c r="AH203" s="5"/>
      <c r="AI203" s="8"/>
      <c r="AJ203" s="8"/>
      <c r="AL203" s="16">
        <v>4</v>
      </c>
      <c r="AM203" s="12">
        <f t="shared" si="46"/>
        <v>99000</v>
      </c>
      <c r="AN203" s="7">
        <f t="shared" si="47"/>
        <v>46584</v>
      </c>
      <c r="AO203" s="12">
        <f t="shared" si="48"/>
        <v>4900</v>
      </c>
      <c r="AP203" s="12">
        <f t="shared" si="49"/>
        <v>0</v>
      </c>
      <c r="AQ203" s="15">
        <f t="shared" si="50"/>
        <v>46169</v>
      </c>
      <c r="AR203" s="7">
        <f t="shared" si="51"/>
        <v>46524</v>
      </c>
      <c r="AS203" s="5">
        <v>1104</v>
      </c>
      <c r="AT203" s="7">
        <v>45877</v>
      </c>
      <c r="AU203" s="5" t="s">
        <v>78</v>
      </c>
      <c r="AV203" s="17">
        <v>255</v>
      </c>
      <c r="AW203" s="37">
        <v>46014</v>
      </c>
      <c r="AX203" s="5" t="s">
        <v>355</v>
      </c>
      <c r="AY203" s="5" t="s">
        <v>803</v>
      </c>
      <c r="AZ203" s="45" t="s">
        <v>953</v>
      </c>
      <c r="BA203" s="12">
        <v>100000</v>
      </c>
      <c r="BB203" s="7">
        <v>46008</v>
      </c>
      <c r="BC203" s="14"/>
      <c r="BD203" s="14"/>
      <c r="BF203" s="12"/>
      <c r="BG203" s="14"/>
      <c r="BH203" s="19">
        <v>46014</v>
      </c>
      <c r="BI203" s="5">
        <v>1800</v>
      </c>
      <c r="BJ203" s="19">
        <v>46014</v>
      </c>
      <c r="BK203" s="5">
        <v>1721</v>
      </c>
      <c r="BL203" s="7">
        <v>46006</v>
      </c>
      <c r="BM203" s="18"/>
      <c r="BN203" s="18"/>
      <c r="BO203" s="18"/>
      <c r="BP203" s="18"/>
      <c r="BQ203" s="5"/>
      <c r="BR203" s="18"/>
      <c r="BS203" s="18"/>
      <c r="BT203" s="35">
        <f t="shared" si="40"/>
        <v>46134</v>
      </c>
    </row>
    <row r="204" spans="1:72" ht="72.5" x14ac:dyDescent="0.35">
      <c r="A204" s="5">
        <v>203</v>
      </c>
      <c r="B204" s="5"/>
      <c r="C204" s="5" t="s">
        <v>78</v>
      </c>
      <c r="D204" s="5">
        <v>8</v>
      </c>
      <c r="E204" s="5">
        <v>97</v>
      </c>
      <c r="F204" s="8" t="s">
        <v>536</v>
      </c>
      <c r="G204" s="8"/>
      <c r="H204" s="5" t="s">
        <v>4</v>
      </c>
      <c r="I204" s="5" t="str" cm="1">
        <f t="array" ref="I204">_xlfn.IFS(
  H204="Mahuva", "Mahuva",
  H204="Jesar", "Mahuva",
  H204="Palitana", "Palitana",
  H204="Gariyadhar", "Palitana",
  H204="Talaja", "Talaja",
  H204="Vallabhipur", "Vallabhipur",
  H204="Umrala", "Vallabhipur",
  H204="Shihor", "Shihor",
  H204="Ghogha", "Bhavnagar",
  H204="Bhavnagar", "Bhavnagar"
)</f>
        <v>Talaja</v>
      </c>
      <c r="J204" s="5" t="s">
        <v>256</v>
      </c>
      <c r="K204" s="5" t="s">
        <v>418</v>
      </c>
      <c r="L204" s="5">
        <v>200162</v>
      </c>
      <c r="M204" s="5"/>
      <c r="N204" s="7">
        <v>45837</v>
      </c>
      <c r="O204" s="7">
        <v>45848</v>
      </c>
      <c r="P204" s="7">
        <v>45849</v>
      </c>
      <c r="Q204" s="7">
        <f t="shared" si="41"/>
        <v>45968</v>
      </c>
      <c r="R204" s="9">
        <v>2079935.08</v>
      </c>
      <c r="S204" s="33"/>
      <c r="T204" s="9">
        <v>1938499.49</v>
      </c>
      <c r="U204" s="10">
        <v>-6.8</v>
      </c>
      <c r="V204" s="10" t="str">
        <f t="shared" si="42"/>
        <v>Below</v>
      </c>
      <c r="W204" s="11" t="str" cm="1">
        <f t="array" ref="W204">NumberToWords(T204)</f>
        <v>Nineteen Lakh Thirty Eight Thousand Four Hundred Ninety Nine Rupees and Forty Nine Paise Only</v>
      </c>
      <c r="X204" s="10" t="str">
        <f t="shared" si="43"/>
        <v>Division</v>
      </c>
      <c r="Z204" s="9">
        <f t="shared" si="44"/>
        <v>1938499.49</v>
      </c>
      <c r="AA204" s="5" t="s">
        <v>396</v>
      </c>
      <c r="AB204" s="8" t="str">
        <f>_xlfn.XLOOKUP(AA204, 'Agency List'!A$2:A$145, 'Agency List'!B$2:B$145, "Not Found")</f>
        <v>KISHANKUMAR PATABHAI KALSARIYA</v>
      </c>
      <c r="AC204" s="8" t="str">
        <f>_xlfn.XLOOKUP(AA204, 'Agency List'!A$2:A$145, 'Agency List'!C$2:C$145, "Not Found")</f>
        <v>Survey No. 374 P/A 2-16, Office No. 2, Left side of Entry Gate of Balkrushna Campus, Gir Gadhada Road, At. Una, Taluka Una, Dist. Gir Somnath - 362560</v>
      </c>
      <c r="AD204" s="8">
        <f>_xlfn.XLOOKUP(AA204, 'Agency List'!A$2:A$145, 'Agency List'!D$2:D$145, "Not Found")</f>
        <v>9824251035</v>
      </c>
      <c r="AE204" s="7"/>
      <c r="AF204" s="5" t="s">
        <v>357</v>
      </c>
      <c r="AG204" s="5" t="str">
        <f t="shared" si="45"/>
        <v>Bandhkam</v>
      </c>
      <c r="AH204" s="5"/>
      <c r="AI204" s="8"/>
      <c r="AJ204" s="8"/>
      <c r="AL204" s="16">
        <v>4</v>
      </c>
      <c r="AM204" s="12">
        <f t="shared" si="46"/>
        <v>97000</v>
      </c>
      <c r="AN204" s="7">
        <f t="shared" si="47"/>
        <v>46469</v>
      </c>
      <c r="AO204" s="12">
        <f t="shared" si="48"/>
        <v>4800</v>
      </c>
      <c r="AP204" s="12">
        <f t="shared" si="49"/>
        <v>0</v>
      </c>
      <c r="AQ204" s="15">
        <f t="shared" si="50"/>
        <v>46054</v>
      </c>
      <c r="AR204" s="7">
        <f t="shared" si="51"/>
        <v>46409</v>
      </c>
      <c r="AS204" s="5">
        <v>1092</v>
      </c>
      <c r="AT204" s="7">
        <v>45877</v>
      </c>
      <c r="AU204" s="5" t="s">
        <v>78</v>
      </c>
      <c r="AV204" s="17">
        <v>124</v>
      </c>
      <c r="AW204" s="37">
        <v>45899</v>
      </c>
      <c r="AX204" s="5" t="s">
        <v>355</v>
      </c>
      <c r="AY204" s="5" t="s">
        <v>605</v>
      </c>
      <c r="AZ204" s="45" t="s">
        <v>697</v>
      </c>
      <c r="BA204" s="12">
        <v>97000</v>
      </c>
      <c r="BB204" s="7">
        <v>45889</v>
      </c>
      <c r="BC204" s="14"/>
      <c r="BD204" s="14"/>
      <c r="BF204" s="12"/>
      <c r="BG204" s="14"/>
      <c r="BH204" s="37">
        <v>45899</v>
      </c>
      <c r="BI204" s="5">
        <v>1229</v>
      </c>
      <c r="BJ204" s="19">
        <v>45899</v>
      </c>
      <c r="BM204" s="18"/>
      <c r="BN204" s="18"/>
      <c r="BO204" s="18"/>
      <c r="BP204" s="18"/>
      <c r="BQ204" s="5"/>
      <c r="BR204" s="18"/>
      <c r="BS204" s="18"/>
      <c r="BT204" s="35">
        <f t="shared" si="40"/>
        <v>46019</v>
      </c>
    </row>
    <row r="205" spans="1:72" ht="87" x14ac:dyDescent="0.35">
      <c r="A205" s="5">
        <v>204</v>
      </c>
      <c r="B205" s="5"/>
      <c r="C205" s="5" t="s">
        <v>78</v>
      </c>
      <c r="D205" s="5">
        <v>8</v>
      </c>
      <c r="E205" s="5">
        <v>98</v>
      </c>
      <c r="F205" s="8" t="s">
        <v>537</v>
      </c>
      <c r="G205" s="8"/>
      <c r="H205" s="5" t="s">
        <v>4</v>
      </c>
      <c r="I205" s="5" t="str" cm="1">
        <f t="array" ref="I205">_xlfn.IFS(
  H205="Mahuva", "Mahuva",
  H205="Jesar", "Mahuva",
  H205="Palitana", "Palitana",
  H205="Gariyadhar", "Palitana",
  H205="Talaja", "Talaja",
  H205="Vallabhipur", "Vallabhipur",
  H205="Umrala", "Vallabhipur",
  H205="Shihor", "Shihor",
  H205="Ghogha", "Bhavnagar",
  H205="Bhavnagar", "Bhavnagar"
)</f>
        <v>Talaja</v>
      </c>
      <c r="J205" s="5" t="s">
        <v>256</v>
      </c>
      <c r="K205" s="5" t="s">
        <v>418</v>
      </c>
      <c r="L205" s="5">
        <v>200169</v>
      </c>
      <c r="M205" s="5"/>
      <c r="N205" s="7">
        <v>45837</v>
      </c>
      <c r="O205" s="7">
        <v>45848</v>
      </c>
      <c r="P205" s="7">
        <v>45849</v>
      </c>
      <c r="Q205" s="7">
        <f t="shared" si="41"/>
        <v>45968</v>
      </c>
      <c r="R205" s="9">
        <v>2079935.08</v>
      </c>
      <c r="S205" s="33"/>
      <c r="T205" s="9">
        <v>1934339.62</v>
      </c>
      <c r="U205" s="10">
        <v>-7</v>
      </c>
      <c r="V205" s="10" t="str">
        <f t="shared" si="42"/>
        <v>Below</v>
      </c>
      <c r="W205" s="11" t="str" cm="1">
        <f t="array" ref="W205">NumberToWords(T205)</f>
        <v>Nineteen Lakh Thirty Four Thousand Three Hundred Thirty Nine Rupees and Sixty Two Paise Only</v>
      </c>
      <c r="X205" s="10" t="str">
        <f t="shared" si="43"/>
        <v>Division</v>
      </c>
      <c r="Z205" s="9">
        <f t="shared" si="44"/>
        <v>1934339.62</v>
      </c>
      <c r="AA205" s="5" t="s">
        <v>409</v>
      </c>
      <c r="AB205" s="8" t="str">
        <f>_xlfn.XLOOKUP(AA205, 'Agency List'!A$2:A$145, 'Agency List'!B$2:B$145, "Not Found")</f>
        <v>Modi Bhavik Nareshkumar</v>
      </c>
      <c r="AC205" s="8" t="str">
        <f>_xlfn.XLOOKUP(AA205, 'Agency List'!A$2:A$145, 'Agency List'!C$2:C$145, "Not Found")</f>
        <v>27, Ganesh Villa Bunglows, Rasian Nagar Society Same, Sidhdhapur Highway Road, Patan</v>
      </c>
      <c r="AD205" s="8">
        <f>_xlfn.XLOOKUP(AA205, 'Agency List'!A$2:A$145, 'Agency List'!D$2:D$145, "Not Found")</f>
        <v>7069196333</v>
      </c>
      <c r="AE205" s="7"/>
      <c r="AF205" s="5" t="s">
        <v>357</v>
      </c>
      <c r="AG205" s="5" t="str">
        <f t="shared" si="45"/>
        <v>Bandhkam</v>
      </c>
      <c r="AH205" s="5"/>
      <c r="AI205" s="8"/>
      <c r="AJ205" s="8"/>
      <c r="AL205" s="16">
        <v>4</v>
      </c>
      <c r="AM205" s="12">
        <f t="shared" si="46"/>
        <v>97000</v>
      </c>
      <c r="AN205" s="7">
        <f t="shared" si="47"/>
        <v>46515</v>
      </c>
      <c r="AO205" s="12">
        <f t="shared" si="48"/>
        <v>4800</v>
      </c>
      <c r="AP205" s="12">
        <f t="shared" si="49"/>
        <v>0</v>
      </c>
      <c r="AQ205" s="15">
        <f t="shared" si="50"/>
        <v>46100</v>
      </c>
      <c r="AR205" s="7">
        <f t="shared" si="51"/>
        <v>46455</v>
      </c>
      <c r="AS205" s="5">
        <v>1085</v>
      </c>
      <c r="AT205" s="7">
        <v>45876</v>
      </c>
      <c r="AU205" s="5" t="s">
        <v>78</v>
      </c>
      <c r="AV205" s="17">
        <v>181</v>
      </c>
      <c r="AW205" s="37">
        <v>45943</v>
      </c>
      <c r="AX205" s="5" t="s">
        <v>355</v>
      </c>
      <c r="AY205" s="5" t="s">
        <v>800</v>
      </c>
      <c r="AZ205" s="45" t="s">
        <v>801</v>
      </c>
      <c r="BA205" s="12">
        <v>97000</v>
      </c>
      <c r="BB205" s="7">
        <v>45917</v>
      </c>
      <c r="BC205" s="14"/>
      <c r="BD205" s="14"/>
      <c r="BF205" s="12"/>
      <c r="BG205" s="14"/>
      <c r="BH205" s="19">
        <v>45945</v>
      </c>
      <c r="BI205" s="5">
        <v>1466</v>
      </c>
      <c r="BJ205" s="19">
        <v>45943</v>
      </c>
      <c r="BM205" s="18"/>
      <c r="BN205" s="18"/>
      <c r="BO205" s="18"/>
      <c r="BP205" s="18"/>
      <c r="BQ205" s="5"/>
      <c r="BR205" s="18"/>
      <c r="BS205" s="18"/>
      <c r="BT205" s="35">
        <f t="shared" si="40"/>
        <v>46065</v>
      </c>
    </row>
    <row r="206" spans="1:72" ht="58" x14ac:dyDescent="0.35">
      <c r="A206" s="5">
        <v>205</v>
      </c>
      <c r="B206" s="5"/>
      <c r="C206" s="5" t="s">
        <v>78</v>
      </c>
      <c r="D206" s="5">
        <v>8</v>
      </c>
      <c r="E206" s="5">
        <v>99</v>
      </c>
      <c r="F206" s="8" t="s">
        <v>538</v>
      </c>
      <c r="G206" s="8"/>
      <c r="H206" s="5" t="s">
        <v>4</v>
      </c>
      <c r="I206" s="5" t="str" cm="1">
        <f t="array" ref="I206">_xlfn.IFS(
  H206="Mahuva", "Mahuva",
  H206="Jesar", "Mahuva",
  H206="Palitana", "Palitana",
  H206="Gariyadhar", "Palitana",
  H206="Talaja", "Talaja",
  H206="Vallabhipur", "Vallabhipur",
  H206="Umrala", "Vallabhipur",
  H206="Shihor", "Shihor",
  H206="Ghogha", "Bhavnagar",
  H206="Bhavnagar", "Bhavnagar"
)</f>
        <v>Talaja</v>
      </c>
      <c r="J206" s="5" t="s">
        <v>256</v>
      </c>
      <c r="K206" s="5" t="s">
        <v>418</v>
      </c>
      <c r="L206" s="5">
        <v>200174</v>
      </c>
      <c r="M206" s="5"/>
      <c r="N206" s="7">
        <v>45837</v>
      </c>
      <c r="O206" s="7">
        <v>45848</v>
      </c>
      <c r="P206" s="7">
        <v>45849</v>
      </c>
      <c r="Q206" s="7">
        <f t="shared" si="41"/>
        <v>45968</v>
      </c>
      <c r="R206" s="9">
        <v>2079935.08</v>
      </c>
      <c r="S206" s="33"/>
      <c r="T206" s="9">
        <v>1948275.19</v>
      </c>
      <c r="U206" s="10">
        <v>-6.33</v>
      </c>
      <c r="V206" s="10" t="str">
        <f t="shared" si="42"/>
        <v>Below</v>
      </c>
      <c r="W206" s="11" t="str" cm="1">
        <f t="array" ref="W206">NumberToWords(T206)</f>
        <v>Nineteen Lakh Forty Eight Thousand Two Hundred Seventy Five Rupees and Nineteen Paise Only</v>
      </c>
      <c r="X206" s="10" t="str">
        <f t="shared" si="43"/>
        <v>Division</v>
      </c>
      <c r="Z206" s="9">
        <f t="shared" si="44"/>
        <v>1948275.19</v>
      </c>
      <c r="AA206" s="5" t="s">
        <v>394</v>
      </c>
      <c r="AB206" s="8" t="str">
        <f>_xlfn.XLOOKUP(AA206, 'Agency List'!A$2:A$145, 'Agency List'!B$2:B$145, "Not Found")</f>
        <v xml:space="preserve">(1) Batiya Vishalbhai Vinubhai
(2) Dhandhukiya Umeshbhai </v>
      </c>
      <c r="AC206" s="8" t="str">
        <f>_xlfn.XLOOKUP(AA206, 'Agency List'!A$2:A$145, 'Agency List'!C$2:C$145, "Not Found")</f>
        <v>At. Dihor, Tana Varal Road, Shak Market, Ta. Talaja, Dist. Bhavnagar-364150</v>
      </c>
      <c r="AD206" s="8">
        <f>_xlfn.XLOOKUP(AA206, 'Agency List'!A$2:A$145, 'Agency List'!D$2:D$145, "Not Found")</f>
        <v>9067752267</v>
      </c>
      <c r="AE206" s="7"/>
      <c r="AF206" s="5"/>
      <c r="AG206" s="5" t="str">
        <f t="shared" si="45"/>
        <v>Bandhkam</v>
      </c>
      <c r="AH206" s="5"/>
      <c r="AI206" s="8"/>
      <c r="AJ206" s="8"/>
      <c r="AL206" s="16">
        <v>4</v>
      </c>
      <c r="AM206" s="12">
        <f t="shared" si="46"/>
        <v>98000</v>
      </c>
      <c r="AN206" s="7">
        <f t="shared" si="47"/>
        <v>46454</v>
      </c>
      <c r="AO206" s="12">
        <f t="shared" si="48"/>
        <v>4900</v>
      </c>
      <c r="AP206" s="12">
        <f t="shared" si="49"/>
        <v>0</v>
      </c>
      <c r="AQ206" s="15">
        <f t="shared" si="50"/>
        <v>46039</v>
      </c>
      <c r="AR206" s="7">
        <f t="shared" si="51"/>
        <v>46394</v>
      </c>
      <c r="AS206" s="5">
        <v>1097</v>
      </c>
      <c r="AT206" s="7">
        <v>45877</v>
      </c>
      <c r="AU206" s="5"/>
      <c r="AV206" s="17"/>
      <c r="AW206" s="17"/>
      <c r="AX206" s="5"/>
      <c r="AY206" s="5"/>
      <c r="AZ206" s="13"/>
      <c r="BA206" s="12"/>
      <c r="BB206" s="7"/>
      <c r="BC206" s="14"/>
      <c r="BD206" s="14"/>
      <c r="BF206" s="12"/>
      <c r="BG206" s="14"/>
      <c r="BH206" s="19">
        <v>45884</v>
      </c>
      <c r="BI206" s="5"/>
      <c r="BK206" s="5">
        <v>1718</v>
      </c>
      <c r="BL206" s="7">
        <v>46006</v>
      </c>
      <c r="BM206" s="18"/>
      <c r="BN206" s="18"/>
      <c r="BO206" s="18"/>
      <c r="BP206" s="18"/>
      <c r="BQ206" s="5"/>
      <c r="BR206" s="18"/>
      <c r="BS206" s="18"/>
      <c r="BT206" s="35">
        <f t="shared" si="40"/>
        <v>46004</v>
      </c>
    </row>
    <row r="207" spans="1:72" ht="72.5" x14ac:dyDescent="0.35">
      <c r="A207" s="5">
        <v>206</v>
      </c>
      <c r="B207" s="5"/>
      <c r="C207" s="5" t="s">
        <v>78</v>
      </c>
      <c r="D207" s="5">
        <v>8</v>
      </c>
      <c r="E207" s="5">
        <v>100</v>
      </c>
      <c r="F207" s="8" t="s">
        <v>539</v>
      </c>
      <c r="G207" s="8"/>
      <c r="H207" s="5" t="s">
        <v>4</v>
      </c>
      <c r="I207" s="5" t="str" cm="1">
        <f t="array" ref="I207">_xlfn.IFS(
  H207="Mahuva", "Mahuva",
  H207="Jesar", "Mahuva",
  H207="Palitana", "Palitana",
  H207="Gariyadhar", "Palitana",
  H207="Talaja", "Talaja",
  H207="Vallabhipur", "Vallabhipur",
  H207="Umrala", "Vallabhipur",
  H207="Shihor", "Shihor",
  H207="Ghogha", "Bhavnagar",
  H207="Bhavnagar", "Bhavnagar"
)</f>
        <v>Talaja</v>
      </c>
      <c r="J207" s="5" t="s">
        <v>256</v>
      </c>
      <c r="K207" s="5" t="s">
        <v>418</v>
      </c>
      <c r="L207" s="5">
        <v>200178</v>
      </c>
      <c r="M207" s="5"/>
      <c r="N207" s="7">
        <v>45837</v>
      </c>
      <c r="O207" s="7">
        <v>45848</v>
      </c>
      <c r="P207" s="7">
        <v>45849</v>
      </c>
      <c r="Q207" s="7">
        <f t="shared" si="41"/>
        <v>45968</v>
      </c>
      <c r="R207" s="9">
        <v>2079935.08</v>
      </c>
      <c r="S207" s="33"/>
      <c r="T207" s="9">
        <v>1938915.48</v>
      </c>
      <c r="U207" s="10">
        <v>-6.78</v>
      </c>
      <c r="V207" s="10" t="str">
        <f t="shared" si="42"/>
        <v>Below</v>
      </c>
      <c r="W207" s="11" t="str" cm="1">
        <f t="array" ref="W207">NumberToWords(T207)</f>
        <v>Nineteen Lakh Thirty Eight Thousand Nine Hundred Fifteen Rupees and Forty Eight Paise Only</v>
      </c>
      <c r="X207" s="10" t="str">
        <f t="shared" si="43"/>
        <v>Division</v>
      </c>
      <c r="Z207" s="9">
        <f t="shared" si="44"/>
        <v>1938915.48</v>
      </c>
      <c r="AA207" s="5" t="s">
        <v>396</v>
      </c>
      <c r="AB207" s="8" t="str">
        <f>_xlfn.XLOOKUP(AA207, 'Agency List'!A$2:A$145, 'Agency List'!B$2:B$145, "Not Found")</f>
        <v>KISHANKUMAR PATABHAI KALSARIYA</v>
      </c>
      <c r="AC207" s="8" t="str">
        <f>_xlfn.XLOOKUP(AA207, 'Agency List'!A$2:A$145, 'Agency List'!C$2:C$145, "Not Found")</f>
        <v>Survey No. 374 P/A 2-16, Office No. 2, Left side of Entry Gate of Balkrushna Campus, Gir Gadhada Road, At. Una, Taluka Una, Dist. Gir Somnath - 362560</v>
      </c>
      <c r="AD207" s="8">
        <f>_xlfn.XLOOKUP(AA207, 'Agency List'!A$2:A$145, 'Agency List'!D$2:D$145, "Not Found")</f>
        <v>9824251035</v>
      </c>
      <c r="AE207" s="7"/>
      <c r="AF207" s="5" t="s">
        <v>357</v>
      </c>
      <c r="AG207" s="5" t="str">
        <f t="shared" si="45"/>
        <v>Bandhkam</v>
      </c>
      <c r="AH207" s="5"/>
      <c r="AI207" s="8"/>
      <c r="AJ207" s="8"/>
      <c r="AL207" s="16">
        <v>4</v>
      </c>
      <c r="AM207" s="12">
        <f t="shared" si="46"/>
        <v>97000</v>
      </c>
      <c r="AN207" s="7">
        <f t="shared" si="47"/>
        <v>46469</v>
      </c>
      <c r="AO207" s="12">
        <f t="shared" si="48"/>
        <v>4800</v>
      </c>
      <c r="AP207" s="12">
        <f t="shared" si="49"/>
        <v>0</v>
      </c>
      <c r="AQ207" s="15">
        <f t="shared" si="50"/>
        <v>46054</v>
      </c>
      <c r="AR207" s="7">
        <f t="shared" si="51"/>
        <v>46409</v>
      </c>
      <c r="AS207" s="5">
        <v>1096</v>
      </c>
      <c r="AT207" s="7">
        <v>45877</v>
      </c>
      <c r="AU207" s="5" t="s">
        <v>78</v>
      </c>
      <c r="AV207" s="17">
        <v>125</v>
      </c>
      <c r="AW207" s="37">
        <v>45899</v>
      </c>
      <c r="AX207" s="5" t="s">
        <v>355</v>
      </c>
      <c r="AY207" s="5" t="s">
        <v>605</v>
      </c>
      <c r="AZ207" s="45" t="s">
        <v>698</v>
      </c>
      <c r="BA207" s="12">
        <v>97000</v>
      </c>
      <c r="BB207" s="7">
        <v>45889</v>
      </c>
      <c r="BC207" s="14"/>
      <c r="BD207" s="14"/>
      <c r="BF207" s="12"/>
      <c r="BG207" s="14"/>
      <c r="BH207" s="37">
        <v>45899</v>
      </c>
      <c r="BI207" s="5">
        <v>1230</v>
      </c>
      <c r="BJ207" s="19">
        <v>45899</v>
      </c>
      <c r="BM207" s="18"/>
      <c r="BN207" s="18"/>
      <c r="BO207" s="18"/>
      <c r="BP207" s="18"/>
      <c r="BQ207" s="5"/>
      <c r="BR207" s="18"/>
      <c r="BS207" s="18"/>
      <c r="BT207" s="35">
        <f t="shared" si="40"/>
        <v>46019</v>
      </c>
    </row>
    <row r="208" spans="1:72" ht="72.5" x14ac:dyDescent="0.35">
      <c r="A208" s="5">
        <v>207</v>
      </c>
      <c r="B208" s="5"/>
      <c r="C208" s="5" t="s">
        <v>78</v>
      </c>
      <c r="D208" s="5">
        <v>8</v>
      </c>
      <c r="E208" s="5">
        <v>101</v>
      </c>
      <c r="F208" s="8" t="s">
        <v>540</v>
      </c>
      <c r="G208" s="8"/>
      <c r="H208" s="5" t="s">
        <v>4</v>
      </c>
      <c r="I208" s="5" t="str" cm="1">
        <f t="array" ref="I208">_xlfn.IFS(
  H208="Mahuva", "Mahuva",
  H208="Jesar", "Mahuva",
  H208="Palitana", "Palitana",
  H208="Gariyadhar", "Palitana",
  H208="Talaja", "Talaja",
  H208="Vallabhipur", "Vallabhipur",
  H208="Umrala", "Vallabhipur",
  H208="Shihor", "Shihor",
  H208="Ghogha", "Bhavnagar",
  H208="Bhavnagar", "Bhavnagar"
)</f>
        <v>Talaja</v>
      </c>
      <c r="J208" s="5" t="s">
        <v>256</v>
      </c>
      <c r="K208" s="5" t="s">
        <v>418</v>
      </c>
      <c r="L208" s="5">
        <v>200180</v>
      </c>
      <c r="M208" s="5"/>
      <c r="N208" s="7">
        <v>45837</v>
      </c>
      <c r="O208" s="7">
        <v>45848</v>
      </c>
      <c r="P208" s="7">
        <v>45849</v>
      </c>
      <c r="Q208" s="7">
        <f t="shared" si="41"/>
        <v>45968</v>
      </c>
      <c r="R208" s="9">
        <v>2079935.08</v>
      </c>
      <c r="S208" s="33"/>
      <c r="T208" s="9">
        <v>1938499.49</v>
      </c>
      <c r="U208" s="10">
        <v>-6.8</v>
      </c>
      <c r="V208" s="10" t="str">
        <f t="shared" si="42"/>
        <v>Below</v>
      </c>
      <c r="W208" s="11" t="str" cm="1">
        <f t="array" ref="W208">NumberToWords(T208)</f>
        <v>Nineteen Lakh Thirty Eight Thousand Four Hundred Ninety Nine Rupees and Forty Nine Paise Only</v>
      </c>
      <c r="X208" s="10" t="str">
        <f t="shared" si="43"/>
        <v>Division</v>
      </c>
      <c r="Z208" s="9">
        <f t="shared" si="44"/>
        <v>1938499.49</v>
      </c>
      <c r="AA208" s="5" t="s">
        <v>396</v>
      </c>
      <c r="AB208" s="8" t="str">
        <f>_xlfn.XLOOKUP(AA208, 'Agency List'!A$2:A$145, 'Agency List'!B$2:B$145, "Not Found")</f>
        <v>KISHANKUMAR PATABHAI KALSARIYA</v>
      </c>
      <c r="AC208" s="8" t="str">
        <f>_xlfn.XLOOKUP(AA208, 'Agency List'!A$2:A$145, 'Agency List'!C$2:C$145, "Not Found")</f>
        <v>Survey No. 374 P/A 2-16, Office No. 2, Left side of Entry Gate of Balkrushna Campus, Gir Gadhada Road, At. Una, Taluka Una, Dist. Gir Somnath - 362560</v>
      </c>
      <c r="AD208" s="8">
        <f>_xlfn.XLOOKUP(AA208, 'Agency List'!A$2:A$145, 'Agency List'!D$2:D$145, "Not Found")</f>
        <v>9824251035</v>
      </c>
      <c r="AE208" s="7"/>
      <c r="AF208" s="5" t="s">
        <v>357</v>
      </c>
      <c r="AG208" s="5" t="str">
        <f t="shared" si="45"/>
        <v>Bandhkam</v>
      </c>
      <c r="AH208" s="5"/>
      <c r="AI208" s="8"/>
      <c r="AJ208" s="8"/>
      <c r="AL208" s="16"/>
      <c r="AM208" s="12">
        <f t="shared" si="46"/>
        <v>97000</v>
      </c>
      <c r="AN208" s="7">
        <f t="shared" si="47"/>
        <v>46349</v>
      </c>
      <c r="AO208" s="12">
        <f t="shared" si="48"/>
        <v>4800</v>
      </c>
      <c r="AP208" s="12">
        <f t="shared" si="49"/>
        <v>0</v>
      </c>
      <c r="AQ208" s="15">
        <f t="shared" si="50"/>
        <v>45934</v>
      </c>
      <c r="AR208" s="7">
        <f t="shared" si="51"/>
        <v>46289</v>
      </c>
      <c r="AS208" s="5">
        <v>1083</v>
      </c>
      <c r="AT208" s="7">
        <v>45876</v>
      </c>
      <c r="AU208" s="5" t="s">
        <v>78</v>
      </c>
      <c r="AV208" s="17">
        <v>126</v>
      </c>
      <c r="AW208" s="37">
        <v>45899</v>
      </c>
      <c r="AX208" s="5" t="s">
        <v>355</v>
      </c>
      <c r="AY208" s="5" t="s">
        <v>605</v>
      </c>
      <c r="AZ208" s="45" t="s">
        <v>699</v>
      </c>
      <c r="BA208" s="12">
        <v>97000</v>
      </c>
      <c r="BB208" s="7">
        <v>45889</v>
      </c>
      <c r="BC208" s="14"/>
      <c r="BD208" s="14"/>
      <c r="BF208" s="12"/>
      <c r="BG208" s="14"/>
      <c r="BH208" s="37">
        <v>45899</v>
      </c>
      <c r="BI208" s="5">
        <v>1231</v>
      </c>
      <c r="BJ208" s="19">
        <v>45899</v>
      </c>
      <c r="BM208" s="18"/>
      <c r="BN208" s="18"/>
      <c r="BO208" s="18"/>
      <c r="BP208" s="18"/>
      <c r="BQ208" s="5"/>
      <c r="BR208" s="18"/>
      <c r="BS208" s="18"/>
      <c r="BT208" s="35">
        <f t="shared" si="40"/>
        <v>45899</v>
      </c>
    </row>
    <row r="209" spans="1:72" ht="43.5" x14ac:dyDescent="0.35">
      <c r="A209" s="5">
        <v>208</v>
      </c>
      <c r="B209" s="5"/>
      <c r="C209" s="5" t="s">
        <v>78</v>
      </c>
      <c r="D209" s="5">
        <v>8</v>
      </c>
      <c r="E209" s="5">
        <v>102</v>
      </c>
      <c r="F209" s="8" t="s">
        <v>541</v>
      </c>
      <c r="G209" s="8"/>
      <c r="H209" s="5" t="s">
        <v>4</v>
      </c>
      <c r="I209" s="5" t="str" cm="1">
        <f t="array" ref="I209">_xlfn.IFS(
  H209="Mahuva", "Mahuva",
  H209="Jesar", "Mahuva",
  H209="Palitana", "Palitana",
  H209="Gariyadhar", "Palitana",
  H209="Talaja", "Talaja",
  H209="Vallabhipur", "Vallabhipur",
  H209="Umrala", "Vallabhipur",
  H209="Shihor", "Shihor",
  H209="Ghogha", "Bhavnagar",
  H209="Bhavnagar", "Bhavnagar"
)</f>
        <v>Talaja</v>
      </c>
      <c r="J209" s="5" t="s">
        <v>256</v>
      </c>
      <c r="K209" s="5" t="s">
        <v>418</v>
      </c>
      <c r="L209" s="5">
        <v>200181</v>
      </c>
      <c r="M209" s="5"/>
      <c r="N209" s="7">
        <v>45837</v>
      </c>
      <c r="O209" s="7">
        <v>45848</v>
      </c>
      <c r="P209" s="7">
        <v>45849</v>
      </c>
      <c r="Q209" s="7">
        <f t="shared" si="41"/>
        <v>45968</v>
      </c>
      <c r="R209" s="9">
        <v>2079935.08</v>
      </c>
      <c r="S209" s="33"/>
      <c r="T209" s="9">
        <v>1916036.2</v>
      </c>
      <c r="U209" s="10">
        <v>-7.88</v>
      </c>
      <c r="V209" s="10" t="str">
        <f t="shared" si="42"/>
        <v>Below</v>
      </c>
      <c r="W209" s="11" t="str" cm="1">
        <f t="array" ref="W209">NumberToWords(T209)</f>
        <v>Nineteen Lakh Sixteen Thousand Thirty Six Rupees and Two Paise Only</v>
      </c>
      <c r="X209" s="10" t="str">
        <f t="shared" si="43"/>
        <v>Division</v>
      </c>
      <c r="Z209" s="9">
        <f t="shared" si="44"/>
        <v>1916036.2</v>
      </c>
      <c r="AA209" s="5" t="s">
        <v>702</v>
      </c>
      <c r="AB209" s="8">
        <f>_xlfn.XLOOKUP(AA209, 'Agency List'!A$2:A$145, 'Agency List'!B$2:B$145, "Not Found")</f>
        <v>0</v>
      </c>
      <c r="AC209" s="8" t="str">
        <f>_xlfn.XLOOKUP(AA209, 'Agency List'!A$2:A$145, 'Agency List'!C$2:C$145, "Not Found")</f>
        <v>At Bordi, Post - Borda, Ta. Talaja, Dist. Bhavnagar - 364130</v>
      </c>
      <c r="AD209" s="8">
        <f>_xlfn.XLOOKUP(AA209, 'Agency List'!A$2:A$145, 'Agency List'!D$2:D$145, "Not Found")</f>
        <v>0</v>
      </c>
      <c r="AE209" s="7"/>
      <c r="AF209" s="5" t="s">
        <v>357</v>
      </c>
      <c r="AG209" s="5" t="str">
        <f t="shared" si="45"/>
        <v>Bandhkam</v>
      </c>
      <c r="AH209" s="5"/>
      <c r="AI209" s="8"/>
      <c r="AJ209" s="8"/>
      <c r="AL209" s="16">
        <v>4</v>
      </c>
      <c r="AM209" s="12">
        <f t="shared" si="46"/>
        <v>96000</v>
      </c>
      <c r="AN209" s="7">
        <f t="shared" si="47"/>
        <v>46472</v>
      </c>
      <c r="AO209" s="12">
        <f t="shared" si="48"/>
        <v>4800</v>
      </c>
      <c r="AP209" s="12">
        <f t="shared" si="49"/>
        <v>0</v>
      </c>
      <c r="AQ209" s="15">
        <f t="shared" si="50"/>
        <v>46057</v>
      </c>
      <c r="AR209" s="7">
        <f t="shared" si="51"/>
        <v>46412</v>
      </c>
      <c r="AS209" s="5">
        <v>1103</v>
      </c>
      <c r="AT209" s="7">
        <v>45877</v>
      </c>
      <c r="AU209" s="5" t="s">
        <v>78</v>
      </c>
      <c r="AV209" s="17">
        <v>140</v>
      </c>
      <c r="AW209" s="37">
        <v>45902</v>
      </c>
      <c r="AX209" s="5" t="s">
        <v>355</v>
      </c>
      <c r="AY209" s="5" t="s">
        <v>701</v>
      </c>
      <c r="AZ209" s="13">
        <v>5856183073</v>
      </c>
      <c r="BA209" s="12">
        <v>96000</v>
      </c>
      <c r="BB209" s="7">
        <v>45887</v>
      </c>
      <c r="BC209" s="14"/>
      <c r="BD209" s="14"/>
      <c r="BF209" s="12"/>
      <c r="BG209" s="14"/>
      <c r="BH209" s="37">
        <v>45902</v>
      </c>
      <c r="BI209" s="5">
        <v>1251</v>
      </c>
      <c r="BJ209" s="19">
        <v>45902</v>
      </c>
      <c r="BM209" s="18"/>
      <c r="BN209" s="18"/>
      <c r="BO209" s="18"/>
      <c r="BP209" s="18"/>
      <c r="BQ209" s="5"/>
      <c r="BR209" s="18"/>
      <c r="BS209" s="18"/>
      <c r="BT209" s="35">
        <f t="shared" si="40"/>
        <v>46022</v>
      </c>
    </row>
    <row r="210" spans="1:72" ht="43.5" x14ac:dyDescent="0.35">
      <c r="A210" s="5">
        <v>209</v>
      </c>
      <c r="B210" s="5"/>
      <c r="C210" s="5" t="s">
        <v>78</v>
      </c>
      <c r="D210" s="5">
        <v>8</v>
      </c>
      <c r="E210" s="5">
        <v>103</v>
      </c>
      <c r="F210" s="8" t="s">
        <v>542</v>
      </c>
      <c r="G210" s="8"/>
      <c r="H210" s="5" t="s">
        <v>4</v>
      </c>
      <c r="I210" s="5" t="str" cm="1">
        <f t="array" ref="I210">_xlfn.IFS(
  H210="Mahuva", "Mahuva",
  H210="Jesar", "Mahuva",
  H210="Palitana", "Palitana",
  H210="Gariyadhar", "Palitana",
  H210="Talaja", "Talaja",
  H210="Vallabhipur", "Vallabhipur",
  H210="Umrala", "Vallabhipur",
  H210="Shihor", "Shihor",
  H210="Ghogha", "Bhavnagar",
  H210="Bhavnagar", "Bhavnagar"
)</f>
        <v>Talaja</v>
      </c>
      <c r="J210" s="5" t="s">
        <v>256</v>
      </c>
      <c r="K210" s="5" t="s">
        <v>418</v>
      </c>
      <c r="L210" s="5">
        <v>200182</v>
      </c>
      <c r="M210" s="5"/>
      <c r="N210" s="7">
        <v>45837</v>
      </c>
      <c r="O210" s="7">
        <v>45848</v>
      </c>
      <c r="P210" s="7">
        <v>45849</v>
      </c>
      <c r="Q210" s="7">
        <f t="shared" si="41"/>
        <v>45968</v>
      </c>
      <c r="R210" s="9">
        <v>2079935.08</v>
      </c>
      <c r="S210" s="33"/>
      <c r="T210" s="9">
        <v>1927059.85</v>
      </c>
      <c r="U210" s="10">
        <v>-7.35</v>
      </c>
      <c r="V210" s="10" t="str">
        <f t="shared" si="42"/>
        <v>Below</v>
      </c>
      <c r="W210" s="11" t="str" cm="1">
        <f t="array" ref="W210">NumberToWords(T210)</f>
        <v>Nineteen Lakh Twenty Seven Thousand Fifty Nine Rupees and Eighty Five Paise Only</v>
      </c>
      <c r="X210" s="10" t="str">
        <f t="shared" si="43"/>
        <v>Division</v>
      </c>
      <c r="Z210" s="9">
        <f t="shared" si="44"/>
        <v>1927059.85</v>
      </c>
      <c r="AA210" s="5" t="s">
        <v>410</v>
      </c>
      <c r="AB210" s="8">
        <f>_xlfn.XLOOKUP(AA210, 'Agency List'!A$2:A$145, 'Agency List'!B$2:B$145, "Not Found")</f>
        <v>0</v>
      </c>
      <c r="AC210" s="8" t="str">
        <f>_xlfn.XLOOKUP(AA210, 'Agency List'!A$2:A$145, 'Agency List'!C$2:C$145, "Not Found")</f>
        <v>Plot No. 37, Street No. 5, Gautameshvar Nagar-2, Chitra, Bhavnagar - 364001</v>
      </c>
      <c r="AD210" s="8">
        <f>_xlfn.XLOOKUP(AA210, 'Agency List'!A$2:A$145, 'Agency List'!D$2:D$145, "Not Found")</f>
        <v>9427233858</v>
      </c>
      <c r="AE210" s="7"/>
      <c r="AF210" s="5" t="s">
        <v>357</v>
      </c>
      <c r="AG210" s="5" t="str">
        <f t="shared" si="45"/>
        <v>Bandhkam</v>
      </c>
      <c r="AH210" s="5"/>
      <c r="AI210" s="8"/>
      <c r="AJ210" s="8"/>
      <c r="AL210" s="16">
        <v>4</v>
      </c>
      <c r="AM210" s="12">
        <f t="shared" si="46"/>
        <v>97000</v>
      </c>
      <c r="AN210" s="7">
        <f t="shared" si="47"/>
        <v>46472</v>
      </c>
      <c r="AO210" s="12">
        <f t="shared" si="48"/>
        <v>4800</v>
      </c>
      <c r="AP210" s="12">
        <f t="shared" si="49"/>
        <v>0</v>
      </c>
      <c r="AQ210" s="15">
        <f t="shared" si="50"/>
        <v>46057</v>
      </c>
      <c r="AR210" s="7">
        <f t="shared" si="51"/>
        <v>46412</v>
      </c>
      <c r="AS210" s="5">
        <v>1102</v>
      </c>
      <c r="AT210" s="7">
        <v>45877</v>
      </c>
      <c r="AU210" s="5" t="s">
        <v>78</v>
      </c>
      <c r="AV210" s="17">
        <v>137</v>
      </c>
      <c r="AW210" s="37">
        <v>45902</v>
      </c>
      <c r="AX210" s="5" t="s">
        <v>355</v>
      </c>
      <c r="AY210" s="5" t="s">
        <v>356</v>
      </c>
      <c r="AZ210" s="13">
        <v>78049045980</v>
      </c>
      <c r="BA210" s="12">
        <v>97000</v>
      </c>
      <c r="BB210" s="7">
        <v>45891</v>
      </c>
      <c r="BC210" s="14"/>
      <c r="BD210" s="14"/>
      <c r="BF210" s="12"/>
      <c r="BG210" s="14"/>
      <c r="BH210" s="19">
        <v>45902</v>
      </c>
      <c r="BI210" s="5">
        <v>1248</v>
      </c>
      <c r="BJ210" s="19">
        <v>45902</v>
      </c>
      <c r="BM210" s="18"/>
      <c r="BN210" s="18"/>
      <c r="BO210" s="18"/>
      <c r="BP210" s="18"/>
      <c r="BQ210" s="5"/>
      <c r="BR210" s="18"/>
      <c r="BS210" s="18"/>
      <c r="BT210" s="35">
        <f t="shared" si="40"/>
        <v>46022</v>
      </c>
    </row>
    <row r="211" spans="1:72" ht="43.5" x14ac:dyDescent="0.35">
      <c r="A211" s="5">
        <v>210</v>
      </c>
      <c r="B211" s="5"/>
      <c r="C211" s="5" t="s">
        <v>78</v>
      </c>
      <c r="D211" s="5">
        <v>8</v>
      </c>
      <c r="E211" s="5">
        <v>104</v>
      </c>
      <c r="F211" s="8" t="s">
        <v>543</v>
      </c>
      <c r="G211" s="8"/>
      <c r="H211" s="5" t="s">
        <v>4</v>
      </c>
      <c r="I211" s="5" t="str" cm="1">
        <f t="array" ref="I211">_xlfn.IFS(
  H211="Mahuva", "Mahuva",
  H211="Jesar", "Mahuva",
  H211="Palitana", "Palitana",
  H211="Gariyadhar", "Palitana",
  H211="Talaja", "Talaja",
  H211="Vallabhipur", "Vallabhipur",
  H211="Umrala", "Vallabhipur",
  H211="Shihor", "Shihor",
  H211="Ghogha", "Bhavnagar",
  H211="Bhavnagar", "Bhavnagar"
)</f>
        <v>Talaja</v>
      </c>
      <c r="J211" s="5" t="s">
        <v>256</v>
      </c>
      <c r="K211" s="5" t="s">
        <v>418</v>
      </c>
      <c r="L211" s="5">
        <v>200183</v>
      </c>
      <c r="M211" s="5"/>
      <c r="N211" s="7">
        <v>45837</v>
      </c>
      <c r="O211" s="7">
        <v>45848</v>
      </c>
      <c r="P211" s="7">
        <v>45849</v>
      </c>
      <c r="Q211" s="7">
        <f t="shared" si="41"/>
        <v>45968</v>
      </c>
      <c r="R211" s="9">
        <v>2079935.08</v>
      </c>
      <c r="S211" s="33"/>
      <c r="T211" s="9">
        <v>1927059.85</v>
      </c>
      <c r="U211" s="10">
        <v>-7.35</v>
      </c>
      <c r="V211" s="10" t="str">
        <f t="shared" si="42"/>
        <v>Below</v>
      </c>
      <c r="W211" s="11" t="str" cm="1">
        <f t="array" ref="W211">NumberToWords(T211)</f>
        <v>Nineteen Lakh Twenty Seven Thousand Fifty Nine Rupees and Eighty Five Paise Only</v>
      </c>
      <c r="X211" s="10" t="str">
        <f t="shared" si="43"/>
        <v>Division</v>
      </c>
      <c r="Z211" s="9">
        <f t="shared" si="44"/>
        <v>1927059.85</v>
      </c>
      <c r="AA211" s="5" t="s">
        <v>410</v>
      </c>
      <c r="AB211" s="8">
        <f>_xlfn.XLOOKUP(AA211, 'Agency List'!A$2:A$145, 'Agency List'!B$2:B$145, "Not Found")</f>
        <v>0</v>
      </c>
      <c r="AC211" s="8" t="str">
        <f>_xlfn.XLOOKUP(AA211, 'Agency List'!A$2:A$145, 'Agency List'!C$2:C$145, "Not Found")</f>
        <v>Plot No. 37, Street No. 5, Gautameshvar Nagar-2, Chitra, Bhavnagar - 364001</v>
      </c>
      <c r="AD211" s="8">
        <f>_xlfn.XLOOKUP(AA211, 'Agency List'!A$2:A$145, 'Agency List'!D$2:D$145, "Not Found")</f>
        <v>9427233858</v>
      </c>
      <c r="AE211" s="7"/>
      <c r="AF211" s="5" t="s">
        <v>357</v>
      </c>
      <c r="AG211" s="5" t="str">
        <f t="shared" si="45"/>
        <v>Bandhkam</v>
      </c>
      <c r="AH211" s="5"/>
      <c r="AI211" s="8"/>
      <c r="AJ211" s="8"/>
      <c r="AL211" s="16">
        <v>4</v>
      </c>
      <c r="AM211" s="12">
        <f t="shared" si="46"/>
        <v>97000</v>
      </c>
      <c r="AN211" s="7">
        <f t="shared" si="47"/>
        <v>46472</v>
      </c>
      <c r="AO211" s="12">
        <f t="shared" si="48"/>
        <v>4800</v>
      </c>
      <c r="AP211" s="12">
        <f t="shared" si="49"/>
        <v>0</v>
      </c>
      <c r="AQ211" s="15">
        <f t="shared" si="50"/>
        <v>46057</v>
      </c>
      <c r="AR211" s="7">
        <f t="shared" si="51"/>
        <v>46412</v>
      </c>
      <c r="AS211" s="5">
        <v>1101</v>
      </c>
      <c r="AT211" s="7">
        <v>45877</v>
      </c>
      <c r="AU211" s="5" t="s">
        <v>78</v>
      </c>
      <c r="AV211" s="17">
        <v>138</v>
      </c>
      <c r="AW211" s="37">
        <v>45902</v>
      </c>
      <c r="AX211" s="5" t="s">
        <v>355</v>
      </c>
      <c r="AY211" s="5" t="s">
        <v>356</v>
      </c>
      <c r="AZ211" s="13">
        <v>78049046008</v>
      </c>
      <c r="BA211" s="12">
        <v>97000</v>
      </c>
      <c r="BB211" s="7">
        <v>45891</v>
      </c>
      <c r="BC211" s="14"/>
      <c r="BD211" s="14"/>
      <c r="BF211" s="12"/>
      <c r="BG211" s="14"/>
      <c r="BH211" s="19">
        <v>45902</v>
      </c>
      <c r="BI211" s="5">
        <v>1249</v>
      </c>
      <c r="BJ211" s="19">
        <v>45902</v>
      </c>
      <c r="BM211" s="18"/>
      <c r="BN211" s="18"/>
      <c r="BO211" s="18"/>
      <c r="BP211" s="18"/>
      <c r="BQ211" s="5"/>
      <c r="BR211" s="18"/>
      <c r="BS211" s="18"/>
      <c r="BT211" s="35">
        <f t="shared" si="40"/>
        <v>46022</v>
      </c>
    </row>
    <row r="212" spans="1:72" ht="29" x14ac:dyDescent="0.35">
      <c r="A212" s="5">
        <v>211</v>
      </c>
      <c r="B212" s="5"/>
      <c r="C212" s="5" t="s">
        <v>78</v>
      </c>
      <c r="D212" s="5">
        <v>8</v>
      </c>
      <c r="E212" s="5">
        <v>105</v>
      </c>
      <c r="F212" s="8"/>
      <c r="G212" s="8"/>
      <c r="H212" s="5"/>
      <c r="I212" s="5" t="e" cm="1">
        <f t="array" ref="I212">_xlfn.IFS(
  H212="Mahuva", "Mahuva",
  H212="Jesar", "Mahuva",
  H212="Palitana", "Palitana",
  H212="Gariyadhar", "Palitana",
  H212="Talaja", "Talaja",
  H212="Vallabhipur", "Vallabhipur",
  H212="Umrala", "Vallabhipur",
  H212="Shihor", "Shihor",
  H212="Ghogha", "Bhavnagar",
  H212="Bhavnagar", "Bhavnagar"
)</f>
        <v>#N/A</v>
      </c>
      <c r="J212" s="5" t="s">
        <v>256</v>
      </c>
      <c r="K212" s="5" t="s">
        <v>418</v>
      </c>
      <c r="M212" s="5"/>
      <c r="N212" s="7">
        <v>45837</v>
      </c>
      <c r="O212" s="7">
        <v>45848</v>
      </c>
      <c r="P212" s="7">
        <v>45849</v>
      </c>
      <c r="Q212" s="7">
        <f t="shared" si="41"/>
        <v>45968</v>
      </c>
      <c r="S212" s="33" t="s">
        <v>233</v>
      </c>
      <c r="U212" s="10"/>
      <c r="V212" s="10" t="str">
        <f t="shared" si="42"/>
        <v>Equals</v>
      </c>
      <c r="W212" s="11" t="str" cm="1">
        <f t="array" ref="W212">NumberToWords(T212)</f>
        <v>Zero Rupees Only</v>
      </c>
      <c r="X212" s="10" t="str">
        <f t="shared" si="43"/>
        <v>Division</v>
      </c>
      <c r="Z212" s="9">
        <f t="shared" si="44"/>
        <v>0</v>
      </c>
      <c r="AB212" s="8">
        <f>_xlfn.XLOOKUP(AA212, 'Agency List'!A$2:A$145, 'Agency List'!B$2:B$145, "Not Found")</f>
        <v>0</v>
      </c>
      <c r="AC212" s="8">
        <f>_xlfn.XLOOKUP(AA212, 'Agency List'!A$2:A$145, 'Agency List'!C$2:C$145, "Not Found")</f>
        <v>0</v>
      </c>
      <c r="AD212" s="8">
        <f>_xlfn.XLOOKUP(AA212, 'Agency List'!A$2:A$145, 'Agency List'!D$2:D$145, "Not Found")</f>
        <v>0</v>
      </c>
      <c r="AE212" s="7"/>
      <c r="AF212" s="5"/>
      <c r="AG212" s="5" t="str">
        <f t="shared" si="45"/>
        <v>Bandhkam</v>
      </c>
      <c r="AH212" s="5"/>
      <c r="AI212" s="8"/>
      <c r="AJ212" s="8"/>
      <c r="AL212" s="16"/>
      <c r="AM212" s="12">
        <f t="shared" si="46"/>
        <v>0</v>
      </c>
      <c r="AN212" s="7">
        <f t="shared" si="47"/>
        <v>46334</v>
      </c>
      <c r="AO212" s="12">
        <f t="shared" si="48"/>
        <v>0</v>
      </c>
      <c r="AP212" s="12">
        <f t="shared" si="49"/>
        <v>0</v>
      </c>
      <c r="AQ212" s="15">
        <f t="shared" si="50"/>
        <v>45919</v>
      </c>
      <c r="AR212" s="7">
        <f t="shared" si="51"/>
        <v>46274</v>
      </c>
      <c r="AS212" s="5"/>
      <c r="AU212" s="5"/>
      <c r="AV212" s="17"/>
      <c r="AW212" s="17"/>
      <c r="AX212" s="5"/>
      <c r="AY212" s="5"/>
      <c r="AZ212" s="13"/>
      <c r="BA212" s="12"/>
      <c r="BB212" s="7"/>
      <c r="BC212" s="14"/>
      <c r="BD212" s="14"/>
      <c r="BF212" s="12"/>
      <c r="BG212" s="14"/>
      <c r="BH212" s="19">
        <v>45884</v>
      </c>
      <c r="BI212" s="5"/>
      <c r="BM212" s="18"/>
      <c r="BN212" s="18"/>
      <c r="BO212" s="18"/>
      <c r="BP212" s="18"/>
      <c r="BQ212" s="5"/>
      <c r="BR212" s="18"/>
      <c r="BS212" s="18"/>
      <c r="BT212" s="35">
        <f t="shared" si="40"/>
        <v>45884</v>
      </c>
    </row>
    <row r="213" spans="1:72" ht="43.5" x14ac:dyDescent="0.35">
      <c r="A213" s="5">
        <v>212</v>
      </c>
      <c r="B213" s="5"/>
      <c r="C213" s="5" t="s">
        <v>78</v>
      </c>
      <c r="D213" s="5">
        <v>8</v>
      </c>
      <c r="E213" s="5">
        <v>106</v>
      </c>
      <c r="F213" s="8" t="s">
        <v>544</v>
      </c>
      <c r="G213" s="8"/>
      <c r="H213" s="5" t="s">
        <v>278</v>
      </c>
      <c r="I213" s="5" t="str" cm="1">
        <f t="array" ref="I213">_xlfn.IFS(
  H213="Mahuva", "Mahuva",
  H213="Jesar", "Mahuva",
  H213="Palitana", "Palitana",
  H213="Gariyadhar", "Palitana",
  H213="Talaja", "Talaja",
  H213="Vallabhipur", "Vallabhipur",
  H213="Umrala", "Vallabhipur",
  H213="Shihor", "Shihor",
  H213="Ghogha", "Bhavnagar",
  H213="Bhavnagar", "Bhavnagar"
)</f>
        <v>Mahuva</v>
      </c>
      <c r="J213" s="5" t="s">
        <v>256</v>
      </c>
      <c r="K213" s="5" t="s">
        <v>418</v>
      </c>
      <c r="L213" s="5">
        <v>200188</v>
      </c>
      <c r="M213" s="5"/>
      <c r="N213" s="7">
        <v>45837</v>
      </c>
      <c r="O213" s="7">
        <v>45848</v>
      </c>
      <c r="P213" s="7">
        <v>45849</v>
      </c>
      <c r="Q213" s="7">
        <f t="shared" si="41"/>
        <v>45968</v>
      </c>
      <c r="R213" s="9">
        <v>2079935.08</v>
      </c>
      <c r="S213" s="33"/>
      <c r="T213" s="9">
        <v>1895028.85</v>
      </c>
      <c r="U213" s="10">
        <v>-8.89</v>
      </c>
      <c r="V213" s="10" t="str">
        <f t="shared" si="42"/>
        <v>Below</v>
      </c>
      <c r="W213" s="11" t="str" cm="1">
        <f t="array" ref="W213">NumberToWords(T213)</f>
        <v>Eighteen Lakh Ninety Five Thousand Twenty Eight Rupees and Eighty Five Paise Only</v>
      </c>
      <c r="X213" s="10" t="str">
        <f t="shared" si="43"/>
        <v>Division</v>
      </c>
      <c r="Z213" s="9">
        <f t="shared" si="44"/>
        <v>1895028.85</v>
      </c>
      <c r="AA213" s="5" t="s">
        <v>392</v>
      </c>
      <c r="AB213" s="8" t="str">
        <f>_xlfn.XLOOKUP(AA213, 'Agency List'!A$2:A$145, 'Agency List'!B$2:B$145, "Not Found")</f>
        <v>Labhshankar ladhva</v>
      </c>
      <c r="AC213" s="8" t="str">
        <f>_xlfn.XLOOKUP(AA213, 'Agency List'!A$2:A$145, 'Agency List'!C$2:C$145, "Not Found")</f>
        <v>At Po. Karmadiya, Via Thaliya, Ta. Mahuva, Dist. Bhavnagar - 364145</v>
      </c>
      <c r="AD213" s="8">
        <f>_xlfn.XLOOKUP(AA213, 'Agency List'!A$2:A$145, 'Agency List'!D$2:D$145, "Not Found")</f>
        <v>9825445121</v>
      </c>
      <c r="AE213" s="7"/>
      <c r="AF213" s="5" t="s">
        <v>357</v>
      </c>
      <c r="AG213" s="5" t="str">
        <f t="shared" si="45"/>
        <v>Bandhkam</v>
      </c>
      <c r="AH213" s="5"/>
      <c r="AI213" s="8"/>
      <c r="AJ213" s="8"/>
      <c r="AL213" s="16">
        <v>4</v>
      </c>
      <c r="AM213" s="12">
        <f t="shared" si="46"/>
        <v>95000</v>
      </c>
      <c r="AN213" s="7">
        <f t="shared" si="47"/>
        <v>46584</v>
      </c>
      <c r="AO213" s="12">
        <f t="shared" si="48"/>
        <v>4700</v>
      </c>
      <c r="AP213" s="12">
        <f t="shared" si="49"/>
        <v>0</v>
      </c>
      <c r="AQ213" s="15">
        <f t="shared" si="50"/>
        <v>46169</v>
      </c>
      <c r="AR213" s="7">
        <f t="shared" si="51"/>
        <v>46524</v>
      </c>
      <c r="AS213" s="5">
        <v>1091</v>
      </c>
      <c r="AT213" s="7">
        <v>45877</v>
      </c>
      <c r="AU213" s="5" t="s">
        <v>78</v>
      </c>
      <c r="AV213" s="17">
        <v>252</v>
      </c>
      <c r="AW213" s="37">
        <v>46014</v>
      </c>
      <c r="AX213" s="5" t="s">
        <v>355</v>
      </c>
      <c r="AY213" s="5" t="s">
        <v>356</v>
      </c>
      <c r="AZ213" s="13">
        <v>78048996936</v>
      </c>
      <c r="BA213" s="12">
        <v>95000</v>
      </c>
      <c r="BB213" s="7">
        <v>45887</v>
      </c>
      <c r="BC213" s="14"/>
      <c r="BD213" s="14"/>
      <c r="BF213" s="12"/>
      <c r="BG213" s="14"/>
      <c r="BH213" s="37">
        <v>46014</v>
      </c>
      <c r="BI213" s="5">
        <v>1797</v>
      </c>
      <c r="BJ213" s="37">
        <v>46014</v>
      </c>
      <c r="BK213" s="5">
        <v>1728</v>
      </c>
      <c r="BL213" s="7">
        <v>46006</v>
      </c>
      <c r="BM213" s="18"/>
      <c r="BN213" s="18"/>
      <c r="BO213" s="18"/>
      <c r="BP213" s="18"/>
      <c r="BQ213" s="5"/>
      <c r="BR213" s="18"/>
      <c r="BS213" s="18"/>
      <c r="BT213" s="35">
        <f t="shared" si="40"/>
        <v>46134</v>
      </c>
    </row>
    <row r="214" spans="1:72" ht="43.5" x14ac:dyDescent="0.35">
      <c r="A214" s="5">
        <v>213</v>
      </c>
      <c r="B214" s="5"/>
      <c r="C214" s="5" t="s">
        <v>78</v>
      </c>
      <c r="D214" s="5">
        <v>8</v>
      </c>
      <c r="E214" s="5">
        <v>107</v>
      </c>
      <c r="F214" s="8" t="s">
        <v>545</v>
      </c>
      <c r="G214" s="8"/>
      <c r="H214" s="5" t="s">
        <v>11</v>
      </c>
      <c r="I214" s="5" t="str" cm="1">
        <f t="array" ref="I214">_xlfn.IFS(
  H214="Mahuva", "Mahuva",
  H214="Jesar", "Mahuva",
  H214="Palitana", "Palitana",
  H214="Gariyadhar", "Palitana",
  H214="Talaja", "Talaja",
  H214="Vallabhipur", "Vallabhipur",
  H214="Umrala", "Vallabhipur",
  H214="Shihor", "Shihor",
  H214="Ghogha", "Bhavnagar",
  H214="Bhavnagar", "Bhavnagar"
)</f>
        <v>Vallabhipur</v>
      </c>
      <c r="J214" s="5" t="s">
        <v>256</v>
      </c>
      <c r="K214" s="5" t="s">
        <v>418</v>
      </c>
      <c r="L214" s="5">
        <v>200189</v>
      </c>
      <c r="M214" s="5"/>
      <c r="N214" s="7">
        <v>45837</v>
      </c>
      <c r="O214" s="7">
        <v>45848</v>
      </c>
      <c r="P214" s="7">
        <v>45849</v>
      </c>
      <c r="Q214" s="7">
        <f t="shared" si="41"/>
        <v>45968</v>
      </c>
      <c r="R214" s="9">
        <v>2079935.08</v>
      </c>
      <c r="S214" s="33"/>
      <c r="T214" s="9">
        <v>1806839.6</v>
      </c>
      <c r="U214" s="10">
        <v>-13.13</v>
      </c>
      <c r="V214" s="10" t="str">
        <f t="shared" si="42"/>
        <v>Below</v>
      </c>
      <c r="W214" s="11" t="str" cm="1">
        <f t="array" ref="W214">NumberToWords(T214)</f>
        <v>Eighteen Lakh Six Thousand Eight Hundred Thirty Nine Rupees and Six Paise Only</v>
      </c>
      <c r="X214" s="10" t="str">
        <f t="shared" si="43"/>
        <v>Division</v>
      </c>
      <c r="Z214" s="9">
        <f t="shared" si="44"/>
        <v>1806839.6</v>
      </c>
      <c r="AA214" s="5" t="s">
        <v>411</v>
      </c>
      <c r="AB214" s="8" t="str">
        <f>_xlfn.XLOOKUP(AA214, 'Agency List'!A$2:A$145, 'Agency List'!B$2:B$145, "Not Found")</f>
        <v>Pandya Dhairya Bhanushankar</v>
      </c>
      <c r="AC214" s="8" t="str">
        <f>_xlfn.XLOOKUP(AA214, 'Agency List'!A$2:A$145, 'Agency List'!C$2:C$145, "Not Found")</f>
        <v>At Block No. 296, Street No. 11, Rayjinagar Society, Motibaug Road, Junagadh, Dist. Junagadh</v>
      </c>
      <c r="AD214" s="8">
        <f>_xlfn.XLOOKUP(AA214, 'Agency List'!A$2:A$145, 'Agency List'!D$2:D$145, "Not Found")</f>
        <v>7405745505</v>
      </c>
      <c r="AE214" s="7"/>
      <c r="AF214" s="5" t="s">
        <v>357</v>
      </c>
      <c r="AG214" s="5" t="str">
        <f t="shared" si="45"/>
        <v>Bandhkam</v>
      </c>
      <c r="AH214" s="5"/>
      <c r="AI214" s="8"/>
      <c r="AJ214" s="8"/>
      <c r="AL214" s="16">
        <v>4</v>
      </c>
      <c r="AM214" s="12">
        <f t="shared" si="46"/>
        <v>91000</v>
      </c>
      <c r="AN214" s="7">
        <f t="shared" si="47"/>
        <v>46471</v>
      </c>
      <c r="AO214" s="12">
        <f t="shared" si="48"/>
        <v>5200</v>
      </c>
      <c r="AP214" s="12">
        <f t="shared" si="49"/>
        <v>14000</v>
      </c>
      <c r="AQ214" s="15">
        <f t="shared" si="50"/>
        <v>46056</v>
      </c>
      <c r="AR214" s="7">
        <f t="shared" si="51"/>
        <v>46411</v>
      </c>
      <c r="AS214" s="5">
        <v>1082</v>
      </c>
      <c r="AT214" s="7">
        <v>45876</v>
      </c>
      <c r="AU214" s="5" t="s">
        <v>78</v>
      </c>
      <c r="AV214" s="17">
        <v>132</v>
      </c>
      <c r="AW214" s="37">
        <v>45901</v>
      </c>
      <c r="AX214" s="5" t="s">
        <v>355</v>
      </c>
      <c r="AY214" s="5" t="s">
        <v>700</v>
      </c>
      <c r="AZ214" s="13">
        <v>81157135161</v>
      </c>
      <c r="BA214" s="12">
        <v>91000</v>
      </c>
      <c r="BB214" s="7">
        <v>45894</v>
      </c>
      <c r="BC214" s="5" t="s">
        <v>355</v>
      </c>
      <c r="BD214" s="5" t="s">
        <v>700</v>
      </c>
      <c r="BE214" s="13">
        <v>8115723852</v>
      </c>
      <c r="BF214" s="12">
        <v>14000</v>
      </c>
      <c r="BG214" s="7">
        <v>45894</v>
      </c>
      <c r="BH214" s="37">
        <v>45901</v>
      </c>
      <c r="BI214" s="5">
        <v>1242</v>
      </c>
      <c r="BJ214" s="19">
        <v>45901</v>
      </c>
      <c r="BM214" s="18"/>
      <c r="BN214" s="18"/>
      <c r="BO214" s="18"/>
      <c r="BP214" s="18"/>
      <c r="BQ214" s="5"/>
      <c r="BR214" s="18"/>
      <c r="BS214" s="18"/>
      <c r="BT214" s="35">
        <f t="shared" si="40"/>
        <v>46021</v>
      </c>
    </row>
    <row r="215" spans="1:72" ht="43.5" x14ac:dyDescent="0.35">
      <c r="A215" s="5">
        <v>214</v>
      </c>
      <c r="B215" s="5"/>
      <c r="C215" s="5" t="s">
        <v>78</v>
      </c>
      <c r="D215" s="5">
        <v>8</v>
      </c>
      <c r="E215" s="5">
        <v>108</v>
      </c>
      <c r="F215" s="8" t="s">
        <v>546</v>
      </c>
      <c r="G215" s="8"/>
      <c r="H215" s="5" t="s">
        <v>11</v>
      </c>
      <c r="I215" s="5" t="str" cm="1">
        <f t="array" ref="I215">_xlfn.IFS(
  H215="Mahuva", "Mahuva",
  H215="Jesar", "Mahuva",
  H215="Palitana", "Palitana",
  H215="Gariyadhar", "Palitana",
  H215="Talaja", "Talaja",
  H215="Vallabhipur", "Vallabhipur",
  H215="Umrala", "Vallabhipur",
  H215="Shihor", "Shihor",
  H215="Ghogha", "Bhavnagar",
  H215="Bhavnagar", "Bhavnagar"
)</f>
        <v>Vallabhipur</v>
      </c>
      <c r="J215" s="5" t="s">
        <v>256</v>
      </c>
      <c r="K215" s="5" t="s">
        <v>418</v>
      </c>
      <c r="L215" s="5">
        <v>200191</v>
      </c>
      <c r="M215" s="5"/>
      <c r="N215" s="7">
        <v>45837</v>
      </c>
      <c r="O215" s="7">
        <v>45848</v>
      </c>
      <c r="P215" s="7">
        <v>45849</v>
      </c>
      <c r="Q215" s="7">
        <f t="shared" si="41"/>
        <v>45968</v>
      </c>
      <c r="R215" s="9">
        <v>2079935.08</v>
      </c>
      <c r="S215" s="33"/>
      <c r="T215" s="9">
        <v>1808919.54</v>
      </c>
      <c r="U215" s="10">
        <v>-13.03</v>
      </c>
      <c r="V215" s="10" t="str">
        <f t="shared" si="42"/>
        <v>Below</v>
      </c>
      <c r="W215" s="11" t="str" cm="1">
        <f t="array" ref="W215">NumberToWords(T215)</f>
        <v>Eighteen Lakh Eight Thousand Nine Hundred Nineteen Rupees and Fifty Four Paise Only</v>
      </c>
      <c r="X215" s="10" t="str">
        <f t="shared" si="43"/>
        <v>Division</v>
      </c>
      <c r="Z215" s="9">
        <f t="shared" si="44"/>
        <v>1808919.54</v>
      </c>
      <c r="AA215" s="5" t="s">
        <v>411</v>
      </c>
      <c r="AB215" s="8" t="str">
        <f>_xlfn.XLOOKUP(AA215, 'Agency List'!A$2:A$145, 'Agency List'!B$2:B$145, "Not Found")</f>
        <v>Pandya Dhairya Bhanushankar</v>
      </c>
      <c r="AC215" s="8" t="str">
        <f>_xlfn.XLOOKUP(AA215, 'Agency List'!A$2:A$145, 'Agency List'!C$2:C$145, "Not Found")</f>
        <v>At Block No. 296, Street No. 11, Rayjinagar Society, Motibaug Road, Junagadh, Dist. Junagadh</v>
      </c>
      <c r="AD215" s="8">
        <f>_xlfn.XLOOKUP(AA215, 'Agency List'!A$2:A$145, 'Agency List'!D$2:D$145, "Not Found")</f>
        <v>7405745505</v>
      </c>
      <c r="AE215" s="7"/>
      <c r="AF215" s="5" t="s">
        <v>357</v>
      </c>
      <c r="AG215" s="5" t="str">
        <f t="shared" si="45"/>
        <v>Bandhkam</v>
      </c>
      <c r="AH215" s="5"/>
      <c r="AI215" s="8"/>
      <c r="AJ215" s="8"/>
      <c r="AL215" s="16">
        <v>4</v>
      </c>
      <c r="AM215" s="12">
        <f t="shared" si="46"/>
        <v>91000</v>
      </c>
      <c r="AN215" s="7">
        <f t="shared" si="47"/>
        <v>46471</v>
      </c>
      <c r="AO215" s="12">
        <f t="shared" si="48"/>
        <v>5100</v>
      </c>
      <c r="AP215" s="12">
        <f t="shared" si="49"/>
        <v>13000</v>
      </c>
      <c r="AQ215" s="15">
        <f t="shared" si="50"/>
        <v>46056</v>
      </c>
      <c r="AR215" s="7">
        <f t="shared" si="51"/>
        <v>46411</v>
      </c>
      <c r="AS215" s="5">
        <v>1109</v>
      </c>
      <c r="AT215" s="7">
        <v>45877</v>
      </c>
      <c r="AU215" s="5" t="s">
        <v>78</v>
      </c>
      <c r="AV215" s="17">
        <v>133</v>
      </c>
      <c r="AW215" s="37">
        <v>45901</v>
      </c>
      <c r="AX215" s="5" t="s">
        <v>355</v>
      </c>
      <c r="AY215" s="5" t="s">
        <v>700</v>
      </c>
      <c r="AZ215" s="13">
        <v>8115717464</v>
      </c>
      <c r="BA215" s="12">
        <v>91000</v>
      </c>
      <c r="BB215" s="7">
        <v>45894</v>
      </c>
      <c r="BC215" s="5" t="s">
        <v>355</v>
      </c>
      <c r="BD215" s="5" t="s">
        <v>700</v>
      </c>
      <c r="BE215" s="13">
        <v>8115724641</v>
      </c>
      <c r="BF215" s="12">
        <v>13000</v>
      </c>
      <c r="BG215" s="7">
        <v>45894</v>
      </c>
      <c r="BH215" s="37">
        <v>45901</v>
      </c>
      <c r="BI215" s="5">
        <v>1243</v>
      </c>
      <c r="BJ215" s="19">
        <v>45901</v>
      </c>
      <c r="BM215" s="18"/>
      <c r="BN215" s="18"/>
      <c r="BO215" s="18"/>
      <c r="BP215" s="18"/>
      <c r="BQ215" s="5"/>
      <c r="BR215" s="18"/>
      <c r="BS215" s="18"/>
      <c r="BT215" s="35">
        <f t="shared" si="40"/>
        <v>46021</v>
      </c>
    </row>
    <row r="216" spans="1:72" ht="43.5" x14ac:dyDescent="0.35">
      <c r="A216" s="5">
        <v>215</v>
      </c>
      <c r="B216" s="5"/>
      <c r="C216" s="5" t="s">
        <v>78</v>
      </c>
      <c r="D216" s="5">
        <v>8</v>
      </c>
      <c r="E216" s="5">
        <v>109</v>
      </c>
      <c r="F216" s="8" t="s">
        <v>547</v>
      </c>
      <c r="G216" s="8"/>
      <c r="H216" s="5" t="s">
        <v>11</v>
      </c>
      <c r="I216" s="5" t="str" cm="1">
        <f t="array" ref="I216">_xlfn.IFS(
  H216="Mahuva", "Mahuva",
  H216="Jesar", "Mahuva",
  H216="Palitana", "Palitana",
  H216="Gariyadhar", "Palitana",
  H216="Talaja", "Talaja",
  H216="Vallabhipur", "Vallabhipur",
  H216="Umrala", "Vallabhipur",
  H216="Shihor", "Shihor",
  H216="Ghogha", "Bhavnagar",
  H216="Bhavnagar", "Bhavnagar"
)</f>
        <v>Vallabhipur</v>
      </c>
      <c r="J216" s="5" t="s">
        <v>256</v>
      </c>
      <c r="K216" s="5" t="s">
        <v>418</v>
      </c>
      <c r="L216" s="5">
        <v>200193</v>
      </c>
      <c r="M216" s="5"/>
      <c r="N216" s="7">
        <v>45837</v>
      </c>
      <c r="O216" s="7">
        <v>45848</v>
      </c>
      <c r="P216" s="7">
        <v>45849</v>
      </c>
      <c r="Q216" s="7">
        <f t="shared" si="41"/>
        <v>45968</v>
      </c>
      <c r="R216" s="9">
        <v>2079935.08</v>
      </c>
      <c r="S216" s="33"/>
      <c r="T216" s="9">
        <v>1809543.52</v>
      </c>
      <c r="U216" s="10">
        <v>-13</v>
      </c>
      <c r="V216" s="10" t="str">
        <f t="shared" si="42"/>
        <v>Below</v>
      </c>
      <c r="W216" s="11" t="str" cm="1">
        <f t="array" ref="W216">NumberToWords(T216)</f>
        <v>Eighteen Lakh Nine Thousand Five Hundred Forty Three Rupees and Fifty Two Paise Only</v>
      </c>
      <c r="X216" s="10" t="str">
        <f t="shared" si="43"/>
        <v>Division</v>
      </c>
      <c r="Z216" s="9">
        <f t="shared" si="44"/>
        <v>1809543.52</v>
      </c>
      <c r="AA216" s="5" t="s">
        <v>411</v>
      </c>
      <c r="AB216" s="8" t="str">
        <f>_xlfn.XLOOKUP(AA216, 'Agency List'!A$2:A$145, 'Agency List'!B$2:B$145, "Not Found")</f>
        <v>Pandya Dhairya Bhanushankar</v>
      </c>
      <c r="AC216" s="8" t="str">
        <f>_xlfn.XLOOKUP(AA216, 'Agency List'!A$2:A$145, 'Agency List'!C$2:C$145, "Not Found")</f>
        <v>At Block No. 296, Street No. 11, Rayjinagar Society, Motibaug Road, Junagadh, Dist. Junagadh</v>
      </c>
      <c r="AD216" s="8">
        <f>_xlfn.XLOOKUP(AA216, 'Agency List'!A$2:A$145, 'Agency List'!D$2:D$145, "Not Found")</f>
        <v>7405745505</v>
      </c>
      <c r="AE216" s="7"/>
      <c r="AF216" s="5" t="s">
        <v>357</v>
      </c>
      <c r="AG216" s="5" t="str">
        <f t="shared" si="45"/>
        <v>Bandhkam</v>
      </c>
      <c r="AH216" s="5"/>
      <c r="AI216" s="8"/>
      <c r="AJ216" s="8"/>
      <c r="AL216" s="16">
        <v>4</v>
      </c>
      <c r="AM216" s="12">
        <f t="shared" si="46"/>
        <v>91000</v>
      </c>
      <c r="AN216" s="7">
        <f t="shared" si="47"/>
        <v>46471</v>
      </c>
      <c r="AO216" s="12">
        <f t="shared" si="48"/>
        <v>5100</v>
      </c>
      <c r="AP216" s="12">
        <f t="shared" si="49"/>
        <v>13000</v>
      </c>
      <c r="AQ216" s="15">
        <f t="shared" si="50"/>
        <v>46056</v>
      </c>
      <c r="AR216" s="7">
        <f t="shared" si="51"/>
        <v>46411</v>
      </c>
      <c r="AS216" s="5">
        <v>1081</v>
      </c>
      <c r="AT216" s="7">
        <v>45876</v>
      </c>
      <c r="AU216" s="5" t="s">
        <v>78</v>
      </c>
      <c r="AV216" s="17">
        <v>134</v>
      </c>
      <c r="AW216" s="37">
        <v>45901</v>
      </c>
      <c r="AX216" s="5" t="s">
        <v>355</v>
      </c>
      <c r="AY216" s="5" t="s">
        <v>700</v>
      </c>
      <c r="AZ216" s="13">
        <v>8115717689</v>
      </c>
      <c r="BA216" s="12">
        <v>91000</v>
      </c>
      <c r="BB216" s="7">
        <v>45894</v>
      </c>
      <c r="BC216" s="5" t="s">
        <v>355</v>
      </c>
      <c r="BD216" s="5" t="s">
        <v>700</v>
      </c>
      <c r="BE216" s="13">
        <v>8115724562</v>
      </c>
      <c r="BF216" s="12">
        <v>13000</v>
      </c>
      <c r="BG216" s="7">
        <v>45894</v>
      </c>
      <c r="BH216" s="37">
        <v>45901</v>
      </c>
      <c r="BI216" s="5">
        <v>1244</v>
      </c>
      <c r="BJ216" s="19">
        <v>45901</v>
      </c>
      <c r="BM216" s="18"/>
      <c r="BN216" s="18"/>
      <c r="BO216" s="18"/>
      <c r="BP216" s="18"/>
      <c r="BQ216" s="5"/>
      <c r="BR216" s="18"/>
      <c r="BS216" s="18"/>
      <c r="BT216" s="35">
        <f t="shared" si="40"/>
        <v>46021</v>
      </c>
    </row>
    <row r="217" spans="1:72" ht="43.5" x14ac:dyDescent="0.35">
      <c r="A217" s="5">
        <v>216</v>
      </c>
      <c r="B217" s="5"/>
      <c r="C217" s="5" t="s">
        <v>78</v>
      </c>
      <c r="D217" s="5">
        <v>8</v>
      </c>
      <c r="E217" s="5">
        <v>110</v>
      </c>
      <c r="F217" s="8" t="s">
        <v>548</v>
      </c>
      <c r="G217" s="8"/>
      <c r="H217" s="5" t="s">
        <v>11</v>
      </c>
      <c r="I217" s="5" t="str" cm="1">
        <f t="array" ref="I217">_xlfn.IFS(
  H217="Mahuva", "Mahuva",
  H217="Jesar", "Mahuva",
  H217="Palitana", "Palitana",
  H217="Gariyadhar", "Palitana",
  H217="Talaja", "Talaja",
  H217="Vallabhipur", "Vallabhipur",
  H217="Umrala", "Vallabhipur",
  H217="Shihor", "Shihor",
  H217="Ghogha", "Bhavnagar",
  H217="Bhavnagar", "Bhavnagar"
)</f>
        <v>Vallabhipur</v>
      </c>
      <c r="J217" s="5" t="s">
        <v>256</v>
      </c>
      <c r="K217" s="5" t="s">
        <v>418</v>
      </c>
      <c r="L217" s="5">
        <v>200194</v>
      </c>
      <c r="M217" s="5"/>
      <c r="N217" s="7">
        <v>45837</v>
      </c>
      <c r="O217" s="7">
        <v>45848</v>
      </c>
      <c r="P217" s="7">
        <v>45849</v>
      </c>
      <c r="Q217" s="7">
        <f t="shared" si="41"/>
        <v>45968</v>
      </c>
      <c r="R217" s="9">
        <v>2079935.08</v>
      </c>
      <c r="S217" s="33"/>
      <c r="T217" s="9">
        <v>1827846.95</v>
      </c>
      <c r="U217" s="10">
        <v>-12.12</v>
      </c>
      <c r="V217" s="10" t="str">
        <f t="shared" si="42"/>
        <v>Below</v>
      </c>
      <c r="W217" s="11" t="str" cm="1">
        <f t="array" ref="W217">NumberToWords(T217)</f>
        <v>Eighteen Lakh Twenty Seven Thousand Eight Hundred Forty Six Rupees and Ninety Five Paise Only</v>
      </c>
      <c r="X217" s="10" t="str">
        <f t="shared" si="43"/>
        <v>Division</v>
      </c>
      <c r="Z217" s="9">
        <f t="shared" si="44"/>
        <v>1827846.95</v>
      </c>
      <c r="AA217" s="5" t="s">
        <v>411</v>
      </c>
      <c r="AB217" s="8" t="str">
        <f>_xlfn.XLOOKUP(AA217, 'Agency List'!A$2:A$145, 'Agency List'!B$2:B$145, "Not Found")</f>
        <v>Pandya Dhairya Bhanushankar</v>
      </c>
      <c r="AC217" s="8" t="str">
        <f>_xlfn.XLOOKUP(AA217, 'Agency List'!A$2:A$145, 'Agency List'!C$2:C$145, "Not Found")</f>
        <v>At Block No. 296, Street No. 11, Rayjinagar Society, Motibaug Road, Junagadh, Dist. Junagadh</v>
      </c>
      <c r="AD217" s="8">
        <f>_xlfn.XLOOKUP(AA217, 'Agency List'!A$2:A$145, 'Agency List'!D$2:D$145, "Not Found")</f>
        <v>7405745505</v>
      </c>
      <c r="AE217" s="7"/>
      <c r="AF217" s="5" t="s">
        <v>357</v>
      </c>
      <c r="AG217" s="5" t="str">
        <f t="shared" si="45"/>
        <v>Bandhkam</v>
      </c>
      <c r="AH217" s="5"/>
      <c r="AI217" s="8"/>
      <c r="AJ217" s="8"/>
      <c r="AL217" s="16">
        <v>4</v>
      </c>
      <c r="AM217" s="12">
        <f t="shared" si="46"/>
        <v>92000</v>
      </c>
      <c r="AN217" s="7">
        <f t="shared" si="47"/>
        <v>46471</v>
      </c>
      <c r="AO217" s="12">
        <f t="shared" si="48"/>
        <v>5000</v>
      </c>
      <c r="AP217" s="12">
        <f t="shared" si="49"/>
        <v>9000</v>
      </c>
      <c r="AQ217" s="15">
        <f t="shared" si="50"/>
        <v>46056</v>
      </c>
      <c r="AR217" s="7">
        <f t="shared" si="51"/>
        <v>46411</v>
      </c>
      <c r="AS217" s="5">
        <v>1084</v>
      </c>
      <c r="AT217" s="7">
        <v>45876</v>
      </c>
      <c r="AU217" s="5" t="s">
        <v>78</v>
      </c>
      <c r="AV217" s="17">
        <v>135</v>
      </c>
      <c r="AW217" s="37">
        <v>45901</v>
      </c>
      <c r="AX217" s="5" t="s">
        <v>355</v>
      </c>
      <c r="AY217" s="5" t="s">
        <v>700</v>
      </c>
      <c r="AZ217" s="13">
        <v>8115717747</v>
      </c>
      <c r="BA217" s="12">
        <v>92000</v>
      </c>
      <c r="BB217" s="7">
        <v>45894</v>
      </c>
      <c r="BC217" s="5" t="s">
        <v>355</v>
      </c>
      <c r="BD217" s="5" t="s">
        <v>700</v>
      </c>
      <c r="BE217" s="13">
        <v>8115723976</v>
      </c>
      <c r="BF217" s="12">
        <v>9000</v>
      </c>
      <c r="BG217" s="7">
        <v>45894</v>
      </c>
      <c r="BH217" s="37">
        <v>45901</v>
      </c>
      <c r="BI217" s="5">
        <v>1245</v>
      </c>
      <c r="BJ217" s="19">
        <v>45901</v>
      </c>
      <c r="BM217" s="18"/>
      <c r="BN217" s="18"/>
      <c r="BO217" s="18"/>
      <c r="BP217" s="18"/>
      <c r="BQ217" s="5"/>
      <c r="BR217" s="18"/>
      <c r="BS217" s="18"/>
      <c r="BT217" s="35">
        <f t="shared" si="40"/>
        <v>46021</v>
      </c>
    </row>
    <row r="218" spans="1:72" ht="43.5" x14ac:dyDescent="0.35">
      <c r="A218" s="5">
        <v>217</v>
      </c>
      <c r="B218" s="5"/>
      <c r="C218" s="5" t="s">
        <v>78</v>
      </c>
      <c r="D218" s="5">
        <v>8</v>
      </c>
      <c r="E218" s="5">
        <v>111</v>
      </c>
      <c r="F218" s="8" t="s">
        <v>549</v>
      </c>
      <c r="G218" s="8"/>
      <c r="H218" s="5" t="s">
        <v>11</v>
      </c>
      <c r="I218" s="5" t="str" cm="1">
        <f t="array" ref="I218">_xlfn.IFS(
  H218="Mahuva", "Mahuva",
  H218="Jesar", "Mahuva",
  H218="Palitana", "Palitana",
  H218="Gariyadhar", "Palitana",
  H218="Talaja", "Talaja",
  H218="Vallabhipur", "Vallabhipur",
  H218="Umrala", "Vallabhipur",
  H218="Shihor", "Shihor",
  H218="Ghogha", "Bhavnagar",
  H218="Bhavnagar", "Bhavnagar"
)</f>
        <v>Vallabhipur</v>
      </c>
      <c r="J218" s="5" t="s">
        <v>256</v>
      </c>
      <c r="K218" s="5" t="s">
        <v>418</v>
      </c>
      <c r="L218" s="5">
        <v>200196</v>
      </c>
      <c r="M218" s="5">
        <v>1</v>
      </c>
      <c r="N218" s="7">
        <v>45837</v>
      </c>
      <c r="O218" s="7">
        <v>45848</v>
      </c>
      <c r="P218" s="7">
        <v>45849</v>
      </c>
      <c r="Q218" s="7">
        <f t="shared" si="41"/>
        <v>45968</v>
      </c>
      <c r="R218" s="9">
        <v>2079935.08</v>
      </c>
      <c r="S218" s="33"/>
      <c r="T218" s="9">
        <v>1848854.29</v>
      </c>
      <c r="U218" s="10">
        <v>-11.11</v>
      </c>
      <c r="V218" s="10" t="str">
        <f t="shared" si="42"/>
        <v>Below</v>
      </c>
      <c r="W218" s="11" t="str" cm="1">
        <f t="array" ref="W218">NumberToWords(T218)</f>
        <v>Eighteen Lakh Forty Eight Thousand Eight Hundred Fifty Four Rupees and Twenty Nine Paise Only</v>
      </c>
      <c r="X218" s="10" t="str">
        <f t="shared" si="43"/>
        <v>Division</v>
      </c>
      <c r="Z218" s="9">
        <f t="shared" si="44"/>
        <v>1848854.29</v>
      </c>
      <c r="AA218" s="5" t="s">
        <v>411</v>
      </c>
      <c r="AB218" s="8" t="str">
        <f>_xlfn.XLOOKUP(AA218, 'Agency List'!A$2:A$145, 'Agency List'!B$2:B$145, "Not Found")</f>
        <v>Pandya Dhairya Bhanushankar</v>
      </c>
      <c r="AC218" s="8" t="str">
        <f>_xlfn.XLOOKUP(AA218, 'Agency List'!A$2:A$145, 'Agency List'!C$2:C$145, "Not Found")</f>
        <v>At Block No. 296, Street No. 11, Rayjinagar Society, Motibaug Road, Junagadh, Dist. Junagadh</v>
      </c>
      <c r="AD218" s="8">
        <f>_xlfn.XLOOKUP(AA218, 'Agency List'!A$2:A$145, 'Agency List'!D$2:D$145, "Not Found")</f>
        <v>7405745505</v>
      </c>
      <c r="AE218" s="7"/>
      <c r="AF218" s="5" t="s">
        <v>357</v>
      </c>
      <c r="AG218" s="5" t="str">
        <f t="shared" si="45"/>
        <v>Bandhkam</v>
      </c>
      <c r="AH218" s="5"/>
      <c r="AI218" s="8"/>
      <c r="AJ218" s="8"/>
      <c r="AL218" s="16">
        <v>4</v>
      </c>
      <c r="AM218" s="12">
        <f t="shared" si="46"/>
        <v>93000</v>
      </c>
      <c r="AN218" s="7">
        <f t="shared" si="47"/>
        <v>46471</v>
      </c>
      <c r="AO218" s="12">
        <f t="shared" si="48"/>
        <v>4900</v>
      </c>
      <c r="AP218" s="12">
        <f t="shared" si="49"/>
        <v>5000</v>
      </c>
      <c r="AQ218" s="15">
        <f t="shared" si="50"/>
        <v>46056</v>
      </c>
      <c r="AR218" s="7">
        <f t="shared" si="51"/>
        <v>46411</v>
      </c>
      <c r="AS218" s="5">
        <v>1086</v>
      </c>
      <c r="AT218" s="7">
        <v>45876</v>
      </c>
      <c r="AU218" s="5" t="s">
        <v>78</v>
      </c>
      <c r="AV218" s="17">
        <v>136</v>
      </c>
      <c r="AW218" s="37">
        <v>45901</v>
      </c>
      <c r="AX218" s="5" t="s">
        <v>355</v>
      </c>
      <c r="AY218" s="5" t="s">
        <v>700</v>
      </c>
      <c r="AZ218" s="13">
        <v>8115718242</v>
      </c>
      <c r="BA218" s="12">
        <v>93000</v>
      </c>
      <c r="BB218" s="7">
        <v>45894</v>
      </c>
      <c r="BC218" s="5" t="s">
        <v>355</v>
      </c>
      <c r="BD218" s="5" t="s">
        <v>700</v>
      </c>
      <c r="BE218" s="13">
        <v>8115724028</v>
      </c>
      <c r="BF218" s="12">
        <v>5000</v>
      </c>
      <c r="BG218" s="7">
        <v>45894</v>
      </c>
      <c r="BH218" s="37">
        <v>45901</v>
      </c>
      <c r="BI218" s="5">
        <v>1246</v>
      </c>
      <c r="BJ218" s="19">
        <v>45901</v>
      </c>
      <c r="BM218" s="18"/>
      <c r="BN218" s="18"/>
      <c r="BO218" s="18"/>
      <c r="BP218" s="18"/>
      <c r="BQ218" s="5"/>
      <c r="BR218" s="18"/>
      <c r="BS218" s="18"/>
      <c r="BT218" s="35">
        <f t="shared" si="40"/>
        <v>46021</v>
      </c>
    </row>
    <row r="219" spans="1:72" ht="43.5" x14ac:dyDescent="0.35">
      <c r="A219" s="5">
        <v>218</v>
      </c>
      <c r="B219" s="5"/>
      <c r="C219" s="5" t="s">
        <v>78</v>
      </c>
      <c r="D219" s="5">
        <v>8</v>
      </c>
      <c r="E219" s="5">
        <v>112</v>
      </c>
      <c r="F219" s="8" t="s">
        <v>573</v>
      </c>
      <c r="G219" s="8"/>
      <c r="H219" s="5" t="s">
        <v>12</v>
      </c>
      <c r="I219" s="5" t="str" cm="1">
        <f t="array" ref="I219">_xlfn.IFS(
  H219="Mahuva", "Mahuva",
  H219="Jesar", "Mahuva",
  H219="Palitana", "Palitana",
  H219="Gariyadhar", "Palitana",
  H219="Talaja", "Talaja",
  H219="Vallabhipur", "Vallabhipur",
  H219="Umrala", "Vallabhipur",
  H219="Shihor", "Shihor",
  H219="Ghogha", "Bhavnagar",
  H219="Bhavnagar", "Bhavnagar"
)</f>
        <v>Mahuva</v>
      </c>
      <c r="J219" s="5" t="s">
        <v>256</v>
      </c>
      <c r="K219" s="5" t="s">
        <v>418</v>
      </c>
      <c r="L219" s="5">
        <v>200221</v>
      </c>
      <c r="M219" s="5">
        <v>1</v>
      </c>
      <c r="N219" s="7">
        <v>45837</v>
      </c>
      <c r="O219" s="7">
        <v>45848</v>
      </c>
      <c r="P219" s="7">
        <v>45849</v>
      </c>
      <c r="Q219" s="7">
        <f t="shared" si="41"/>
        <v>45968</v>
      </c>
      <c r="R219" s="9">
        <v>2880130.57</v>
      </c>
      <c r="S219" s="33"/>
      <c r="T219" s="9">
        <v>2880130.57</v>
      </c>
      <c r="U219" s="10">
        <v>0</v>
      </c>
      <c r="V219" s="10" t="str">
        <f t="shared" si="42"/>
        <v>Equals</v>
      </c>
      <c r="W219" s="11" t="str" cm="1">
        <f t="array" ref="W219">NumberToWords(T219)</f>
        <v>Twenty Eight Lakh Eighty Thousand One Hundred Thirty Rupees and Fifty Seven Paise Only</v>
      </c>
      <c r="X219" s="10" t="str">
        <f t="shared" si="43"/>
        <v>Division</v>
      </c>
      <c r="Z219" s="9">
        <f t="shared" si="44"/>
        <v>2880130.57</v>
      </c>
      <c r="AA219" s="5" t="s">
        <v>412</v>
      </c>
      <c r="AB219" s="8">
        <f>_xlfn.XLOOKUP(AA219, 'Agency List'!A$2:A$145, 'Agency List'!B$2:B$145, "Not Found")</f>
        <v>0</v>
      </c>
      <c r="AC219" s="8" t="str">
        <f>_xlfn.XLOOKUP(AA219, 'Agency List'!A$2:A$145, 'Agency List'!C$2:C$145, "Not Found")</f>
        <v xml:space="preserve">At Village Chardika, Ta. Mahuva, Dist. Bhavnagar - </v>
      </c>
      <c r="AD219" s="8">
        <f>_xlfn.XLOOKUP(AA219, 'Agency List'!A$2:A$145, 'Agency List'!D$2:D$145, "Not Found")</f>
        <v>9537101694</v>
      </c>
      <c r="AE219" s="7"/>
      <c r="AF219" s="5" t="s">
        <v>725</v>
      </c>
      <c r="AG219" s="5" t="str">
        <f t="shared" si="45"/>
        <v>Karobari</v>
      </c>
      <c r="AH219" s="5"/>
      <c r="AI219" s="8"/>
      <c r="AJ219" s="8"/>
      <c r="AL219" s="16">
        <v>4</v>
      </c>
      <c r="AM219" s="12">
        <f t="shared" si="46"/>
        <v>145000</v>
      </c>
      <c r="AN219" s="7">
        <f t="shared" si="47"/>
        <v>46501</v>
      </c>
      <c r="AO219" s="12">
        <f t="shared" si="48"/>
        <v>7200</v>
      </c>
      <c r="AP219" s="12">
        <f t="shared" si="49"/>
        <v>0</v>
      </c>
      <c r="AQ219" s="15">
        <f t="shared" si="50"/>
        <v>46086</v>
      </c>
      <c r="AR219" s="7">
        <f t="shared" si="51"/>
        <v>46441</v>
      </c>
      <c r="AS219" s="5">
        <v>1264</v>
      </c>
      <c r="AT219" s="7">
        <v>45904</v>
      </c>
      <c r="AU219" s="5" t="s">
        <v>78</v>
      </c>
      <c r="AV219" s="17">
        <v>170</v>
      </c>
      <c r="AW219" s="37">
        <v>45931</v>
      </c>
      <c r="AX219" s="5" t="s">
        <v>355</v>
      </c>
      <c r="AY219" s="5" t="s">
        <v>369</v>
      </c>
      <c r="AZ219" s="13">
        <v>44485205124</v>
      </c>
      <c r="BA219" s="12">
        <v>145000</v>
      </c>
      <c r="BB219" s="7">
        <v>45919</v>
      </c>
      <c r="BC219" s="14"/>
      <c r="BD219" s="14"/>
      <c r="BF219" s="12"/>
      <c r="BG219" s="14"/>
      <c r="BH219" s="37">
        <v>45931</v>
      </c>
      <c r="BI219" s="5">
        <v>1411</v>
      </c>
      <c r="BJ219" s="37">
        <v>45931</v>
      </c>
      <c r="BM219" s="18"/>
      <c r="BN219" s="18"/>
      <c r="BO219" s="18"/>
      <c r="BP219" s="18"/>
      <c r="BQ219" s="5"/>
      <c r="BR219" s="18"/>
      <c r="BS219" s="18"/>
      <c r="BT219" s="35">
        <f t="shared" si="40"/>
        <v>46051</v>
      </c>
    </row>
    <row r="220" spans="1:72" ht="43.5" x14ac:dyDescent="0.35">
      <c r="A220" s="5">
        <v>219</v>
      </c>
      <c r="B220" s="5"/>
      <c r="C220" s="5" t="s">
        <v>78</v>
      </c>
      <c r="D220" s="5">
        <v>8</v>
      </c>
      <c r="E220" s="5">
        <v>113</v>
      </c>
      <c r="F220" s="8" t="s">
        <v>574</v>
      </c>
      <c r="G220" s="8"/>
      <c r="H220" s="5" t="s">
        <v>12</v>
      </c>
      <c r="I220" s="5" t="str" cm="1">
        <f t="array" ref="I220">_xlfn.IFS(
  H220="Mahuva", "Mahuva",
  H220="Jesar", "Mahuva",
  H220="Palitana", "Palitana",
  H220="Gariyadhar", "Palitana",
  H220="Talaja", "Talaja",
  H220="Vallabhipur", "Vallabhipur",
  H220="Umrala", "Vallabhipur",
  H220="Shihor", "Shihor",
  H220="Ghogha", "Bhavnagar",
  H220="Bhavnagar", "Bhavnagar"
)</f>
        <v>Mahuva</v>
      </c>
      <c r="J220" s="5" t="s">
        <v>256</v>
      </c>
      <c r="K220" s="5" t="s">
        <v>418</v>
      </c>
      <c r="L220" s="5">
        <v>200222</v>
      </c>
      <c r="M220" s="5"/>
      <c r="N220" s="7">
        <v>45837</v>
      </c>
      <c r="O220" s="7">
        <v>45848</v>
      </c>
      <c r="P220" s="7">
        <v>45849</v>
      </c>
      <c r="Q220" s="7">
        <f t="shared" si="41"/>
        <v>45968</v>
      </c>
      <c r="R220" s="9">
        <v>2880130.57</v>
      </c>
      <c r="S220" s="33"/>
      <c r="T220" s="9">
        <v>2785662.29</v>
      </c>
      <c r="U220" s="10">
        <v>-3.28</v>
      </c>
      <c r="V220" s="10" t="str">
        <f t="shared" si="42"/>
        <v>Below</v>
      </c>
      <c r="W220" s="11" t="str" cm="1">
        <f t="array" ref="W220">NumberToWords(T220)</f>
        <v>Twenty Seven Lakh Eighty Five Thousand Six Hundred Sixty Two Rupees and Twenty Nine Paise Only</v>
      </c>
      <c r="X220" s="10" t="str">
        <f t="shared" si="43"/>
        <v>Division</v>
      </c>
      <c r="Z220" s="9">
        <f t="shared" si="44"/>
        <v>2785662.29</v>
      </c>
      <c r="AA220" s="5" t="s">
        <v>399</v>
      </c>
      <c r="AB220" s="8" t="str">
        <f>_xlfn.XLOOKUP(AA220, 'Agency List'!A$2:A$145, 'Agency List'!B$2:B$145, "Not Found")</f>
        <v>Pratapbhai Lakhubhai Beparia</v>
      </c>
      <c r="AC220" s="8" t="str">
        <f>_xlfn.XLOOKUP(AA220, 'Agency List'!A$2:A$145, 'Agency List'!C$2:C$145, "Not Found")</f>
        <v>At Lothpur, Ta. Jafarabad, Dist. Amreli - 365540</v>
      </c>
      <c r="AD220" s="8">
        <f>_xlfn.XLOOKUP(AA220, 'Agency List'!A$2:A$145, 'Agency List'!D$2:D$145, "Not Found")</f>
        <v>9727987777</v>
      </c>
      <c r="AE220" s="7"/>
      <c r="AF220" s="5" t="s">
        <v>725</v>
      </c>
      <c r="AG220" s="5" t="str">
        <f t="shared" si="45"/>
        <v>Karobari</v>
      </c>
      <c r="AH220" s="5"/>
      <c r="AI220" s="8"/>
      <c r="AJ220" s="8"/>
      <c r="AL220" s="16">
        <v>4</v>
      </c>
      <c r="AM220" s="12">
        <f t="shared" si="46"/>
        <v>140000</v>
      </c>
      <c r="AN220" s="7">
        <f t="shared" si="47"/>
        <v>46481</v>
      </c>
      <c r="AO220" s="12">
        <f t="shared" si="48"/>
        <v>6900</v>
      </c>
      <c r="AP220" s="12">
        <f t="shared" si="49"/>
        <v>0</v>
      </c>
      <c r="AQ220" s="15">
        <f t="shared" si="50"/>
        <v>46066</v>
      </c>
      <c r="AR220" s="7">
        <f t="shared" si="51"/>
        <v>46421</v>
      </c>
      <c r="AS220" s="5">
        <v>1105</v>
      </c>
      <c r="AT220" s="7">
        <v>45877</v>
      </c>
      <c r="AU220" s="5" t="s">
        <v>78</v>
      </c>
      <c r="AV220" s="17">
        <v>153</v>
      </c>
      <c r="AW220" s="19">
        <v>45911</v>
      </c>
      <c r="AX220" s="5" t="s">
        <v>355</v>
      </c>
      <c r="AY220" s="5" t="s">
        <v>605</v>
      </c>
      <c r="AZ220" s="45" t="s">
        <v>727</v>
      </c>
      <c r="BA220" s="12">
        <v>140000</v>
      </c>
      <c r="BB220" s="7">
        <v>45889</v>
      </c>
      <c r="BC220" s="14"/>
      <c r="BD220" s="14"/>
      <c r="BF220" s="12"/>
      <c r="BG220" s="14"/>
      <c r="BH220" s="19">
        <v>45911</v>
      </c>
      <c r="BI220" s="5">
        <v>1298</v>
      </c>
      <c r="BJ220" s="19">
        <v>45911</v>
      </c>
      <c r="BM220" s="18"/>
      <c r="BN220" s="18"/>
      <c r="BO220" s="18"/>
      <c r="BP220" s="18"/>
      <c r="BQ220" s="5"/>
      <c r="BR220" s="18"/>
      <c r="BS220" s="18"/>
      <c r="BT220" s="35">
        <f t="shared" si="40"/>
        <v>46031</v>
      </c>
    </row>
    <row r="221" spans="1:72" ht="43.5" x14ac:dyDescent="0.35">
      <c r="A221" s="5">
        <v>220</v>
      </c>
      <c r="B221" s="5"/>
      <c r="C221" s="5" t="s">
        <v>78</v>
      </c>
      <c r="D221" s="5">
        <v>8</v>
      </c>
      <c r="E221" s="5">
        <v>114</v>
      </c>
      <c r="F221" s="8" t="s">
        <v>432</v>
      </c>
      <c r="G221" s="8"/>
      <c r="H221" s="5" t="s">
        <v>13</v>
      </c>
      <c r="I221" s="5" t="str" cm="1">
        <f t="array" ref="I221">_xlfn.IFS(
  H221="Mahuva", "Mahuva",
  H221="Jesar", "Mahuva",
  H221="Palitana", "Palitana",
  H221="Gariyadhar", "Palitana",
  H221="Talaja", "Talaja",
  H221="Vallabhipur", "Vallabhipur",
  H221="Umrala", "Vallabhipur",
  H221="Shihor", "Shihor",
  H221="Ghogha", "Bhavnagar",
  H221="Bhavnagar", "Bhavnagar"
)</f>
        <v>Shihor</v>
      </c>
      <c r="J221" s="5" t="s">
        <v>256</v>
      </c>
      <c r="K221" s="5" t="s">
        <v>417</v>
      </c>
      <c r="L221" s="5">
        <v>200223</v>
      </c>
      <c r="M221" s="5">
        <v>1</v>
      </c>
      <c r="N221" s="7">
        <v>45837</v>
      </c>
      <c r="O221" s="7">
        <v>45848</v>
      </c>
      <c r="P221" s="7">
        <v>45849</v>
      </c>
      <c r="Q221" s="7">
        <f t="shared" si="41"/>
        <v>45968</v>
      </c>
      <c r="R221" s="9">
        <v>1634615.63</v>
      </c>
      <c r="S221" s="33"/>
      <c r="T221" s="9">
        <v>1547490.62</v>
      </c>
      <c r="U221" s="10">
        <v>-5.33</v>
      </c>
      <c r="V221" s="10" t="str">
        <f t="shared" si="42"/>
        <v>Below</v>
      </c>
      <c r="W221" s="11" t="str" cm="1">
        <f t="array" ref="W221">NumberToWords(T221)</f>
        <v>Fifteen Lakh Forty Seven Thousand Four Hundred Ninety Rupees and Sixty Two Paise Only</v>
      </c>
      <c r="X221" s="10" t="str">
        <f t="shared" si="43"/>
        <v>Division</v>
      </c>
      <c r="Z221" s="9">
        <f t="shared" si="44"/>
        <v>1547490.62</v>
      </c>
      <c r="AA221" s="5" t="s">
        <v>431</v>
      </c>
      <c r="AB221" s="8">
        <f>_xlfn.XLOOKUP(AA221, 'Agency List'!A$2:A$145, 'Agency List'!B$2:B$145, "Not Found")</f>
        <v>0</v>
      </c>
      <c r="AC221" s="8" t="str">
        <f>_xlfn.XLOOKUP(AA221, 'Agency List'!A$2:A$145, 'Agency List'!C$2:C$145, "Not Found")</f>
        <v>467, RAMAPIRDHAR, DIHOR, TALAJA, DIST.  BHAVNAGAR -364150</v>
      </c>
      <c r="AD221" s="8">
        <f>_xlfn.XLOOKUP(AA221, 'Agency List'!A$2:A$145, 'Agency List'!D$2:D$145, "Not Found")</f>
        <v>9825755273</v>
      </c>
      <c r="AE221" s="7"/>
      <c r="AF221" s="5"/>
      <c r="AG221" s="5" t="str">
        <f t="shared" si="45"/>
        <v>Bandhkam</v>
      </c>
      <c r="AH221" s="5"/>
      <c r="AI221" s="8"/>
      <c r="AJ221" s="8"/>
      <c r="AL221" s="16">
        <v>4</v>
      </c>
      <c r="AM221" s="12">
        <f t="shared" si="46"/>
        <v>78000</v>
      </c>
      <c r="AN221" s="7">
        <f t="shared" si="47"/>
        <v>46457</v>
      </c>
      <c r="AO221" s="12">
        <f t="shared" si="48"/>
        <v>3900</v>
      </c>
      <c r="AP221" s="12">
        <f t="shared" si="49"/>
        <v>0</v>
      </c>
      <c r="AQ221" s="15">
        <f t="shared" si="50"/>
        <v>46042</v>
      </c>
      <c r="AR221" s="7">
        <f t="shared" si="51"/>
        <v>46397</v>
      </c>
      <c r="AS221" s="5">
        <v>1004</v>
      </c>
      <c r="AT221" s="7">
        <v>45861</v>
      </c>
      <c r="AU221" s="5" t="s">
        <v>78</v>
      </c>
      <c r="AV221" s="17">
        <v>85</v>
      </c>
      <c r="AW221" s="37">
        <v>45887</v>
      </c>
      <c r="AX221" s="5" t="s">
        <v>355</v>
      </c>
      <c r="AY221" s="5" t="s">
        <v>369</v>
      </c>
      <c r="AZ221" s="13">
        <v>44347721147</v>
      </c>
      <c r="BA221" s="12">
        <v>78000</v>
      </c>
      <c r="BB221" s="7">
        <v>45874</v>
      </c>
      <c r="BC221" s="14"/>
      <c r="BD221" s="14"/>
      <c r="BF221" s="12"/>
      <c r="BG221" s="14"/>
      <c r="BH221" s="19">
        <v>45887</v>
      </c>
      <c r="BI221" s="5">
        <v>1164</v>
      </c>
      <c r="BJ221" s="19">
        <v>45887</v>
      </c>
      <c r="BM221" s="18"/>
      <c r="BN221" s="18"/>
      <c r="BO221" s="18"/>
      <c r="BP221" s="18"/>
      <c r="BQ221" s="5"/>
      <c r="BR221" s="18"/>
      <c r="BS221" s="18"/>
      <c r="BT221" s="35"/>
    </row>
    <row r="222" spans="1:72" ht="58" x14ac:dyDescent="0.35">
      <c r="A222" s="5">
        <v>221</v>
      </c>
      <c r="B222" s="5"/>
      <c r="C222" s="5" t="s">
        <v>78</v>
      </c>
      <c r="D222" s="5">
        <v>8</v>
      </c>
      <c r="E222" s="5">
        <v>115</v>
      </c>
      <c r="F222" s="8" t="s">
        <v>441</v>
      </c>
      <c r="G222" s="8"/>
      <c r="H222" s="5" t="s">
        <v>13</v>
      </c>
      <c r="I222" s="5" t="str" cm="1">
        <f t="array" ref="I222">_xlfn.IFS(
  H222="Mahuva", "Mahuva",
  H222="Jesar", "Mahuva",
  H222="Palitana", "Palitana",
  H222="Gariyadhar", "Palitana",
  H222="Talaja", "Talaja",
  H222="Vallabhipur", "Vallabhipur",
  H222="Umrala", "Vallabhipur",
  H222="Shihor", "Shihor",
  H222="Ghogha", "Bhavnagar",
  H222="Bhavnagar", "Bhavnagar"
)</f>
        <v>Shihor</v>
      </c>
      <c r="J222" s="5" t="s">
        <v>256</v>
      </c>
      <c r="K222" s="5" t="s">
        <v>417</v>
      </c>
      <c r="L222" s="5">
        <v>200224</v>
      </c>
      <c r="M222" s="5">
        <v>1</v>
      </c>
      <c r="N222" s="7">
        <v>45837</v>
      </c>
      <c r="O222" s="7">
        <v>45848</v>
      </c>
      <c r="P222" s="7">
        <v>45849</v>
      </c>
      <c r="Q222" s="7">
        <f t="shared" si="41"/>
        <v>45968</v>
      </c>
      <c r="R222" s="9">
        <v>1634615.63</v>
      </c>
      <c r="S222" s="33"/>
      <c r="T222" s="9">
        <v>1471317.53</v>
      </c>
      <c r="U222" s="10">
        <v>-9.99</v>
      </c>
      <c r="V222" s="10" t="str">
        <f t="shared" si="42"/>
        <v>Below</v>
      </c>
      <c r="W222" s="11" t="str" cm="1">
        <f t="array" ref="W222">NumberToWords(T222)</f>
        <v>Fourteen Lakh Seventy One Thousand Three Hundred Seventeen Rupees and Fifty Three Paise Only</v>
      </c>
      <c r="X222" s="10" t="str">
        <f t="shared" si="43"/>
        <v>Division</v>
      </c>
      <c r="Z222" s="9">
        <f t="shared" si="44"/>
        <v>1471317.53</v>
      </c>
      <c r="AA222" s="5" t="s">
        <v>281</v>
      </c>
      <c r="AB222" s="8" t="str">
        <f>_xlfn.XLOOKUP(AA222, 'Agency List'!A$2:A$145, 'Agency List'!B$2:B$145, "Not Found")</f>
        <v>UDAYBHAI RAMKUBHAI LUNSAR</v>
      </c>
      <c r="AC222" s="8" t="str">
        <f>_xlfn.XLOOKUP(AA222, 'Agency List'!A$2:A$145, 'Agency List'!C$2:C$145, "Not Found")</f>
        <v>Shop No. 5, First Floor, Nilkanth Arcade, Opp. Arjun Tokiz, Palitana Road, Gariyadhar- 364505</v>
      </c>
      <c r="AD222" s="8">
        <f>_xlfn.XLOOKUP(AA222, 'Agency List'!A$2:A$145, 'Agency List'!D$2:D$145, "Not Found")</f>
        <v>9824226646</v>
      </c>
      <c r="AE222" s="7"/>
      <c r="AF222" s="5" t="s">
        <v>817</v>
      </c>
      <c r="AG222" s="5" t="str">
        <f t="shared" si="45"/>
        <v>Bandhkam</v>
      </c>
      <c r="AH222" s="5"/>
      <c r="AI222" s="8"/>
      <c r="AJ222" s="8"/>
      <c r="AL222" s="16">
        <v>4</v>
      </c>
      <c r="AM222" s="12">
        <f t="shared" si="46"/>
        <v>74000</v>
      </c>
      <c r="AN222" s="7">
        <f t="shared" si="47"/>
        <v>46471</v>
      </c>
      <c r="AO222" s="12">
        <f t="shared" si="48"/>
        <v>3700</v>
      </c>
      <c r="AP222" s="12">
        <f t="shared" si="49"/>
        <v>0</v>
      </c>
      <c r="AQ222" s="15">
        <f t="shared" si="50"/>
        <v>46056</v>
      </c>
      <c r="AR222" s="7">
        <f t="shared" si="51"/>
        <v>46411</v>
      </c>
      <c r="AS222" s="5">
        <v>1005</v>
      </c>
      <c r="AT222" s="7">
        <v>45861</v>
      </c>
      <c r="AU222" s="5" t="s">
        <v>78</v>
      </c>
      <c r="AV222" s="17">
        <v>130</v>
      </c>
      <c r="AW222" s="37">
        <v>45901</v>
      </c>
      <c r="AX222" s="5" t="s">
        <v>355</v>
      </c>
      <c r="AY222" s="5" t="s">
        <v>369</v>
      </c>
      <c r="AZ222" s="13">
        <v>44407093384</v>
      </c>
      <c r="BA222" s="12">
        <v>74000</v>
      </c>
      <c r="BB222" s="7">
        <v>45895</v>
      </c>
      <c r="BC222" s="14"/>
      <c r="BD222" s="14"/>
      <c r="BF222" s="12"/>
      <c r="BG222" s="14"/>
      <c r="BH222" s="37">
        <v>45901</v>
      </c>
      <c r="BI222" s="5">
        <v>1237</v>
      </c>
      <c r="BJ222" s="19">
        <v>45901</v>
      </c>
      <c r="BM222" s="18"/>
      <c r="BN222" s="18"/>
      <c r="BO222" s="18"/>
      <c r="BP222" s="18"/>
      <c r="BQ222" s="5"/>
      <c r="BR222" s="18"/>
      <c r="BS222" s="18"/>
      <c r="BT222" s="35">
        <f>BH222+AL222*30</f>
        <v>46021</v>
      </c>
    </row>
    <row r="223" spans="1:72" ht="58" x14ac:dyDescent="0.35">
      <c r="A223" s="5">
        <v>222</v>
      </c>
      <c r="B223" s="5"/>
      <c r="C223" s="5" t="s">
        <v>78</v>
      </c>
      <c r="D223" s="5">
        <v>8</v>
      </c>
      <c r="E223" s="5">
        <v>116</v>
      </c>
      <c r="F223" s="8" t="s">
        <v>442</v>
      </c>
      <c r="G223" s="8"/>
      <c r="H223" s="5" t="s">
        <v>13</v>
      </c>
      <c r="I223" s="5" t="str" cm="1">
        <f t="array" ref="I223">_xlfn.IFS(
  H223="Mahuva", "Mahuva",
  H223="Jesar", "Mahuva",
  H223="Palitana", "Palitana",
  H223="Gariyadhar", "Palitana",
  H223="Talaja", "Talaja",
  H223="Vallabhipur", "Vallabhipur",
  H223="Umrala", "Vallabhipur",
  H223="Shihor", "Shihor",
  H223="Ghogha", "Bhavnagar",
  H223="Bhavnagar", "Bhavnagar"
)</f>
        <v>Shihor</v>
      </c>
      <c r="J223" s="5" t="s">
        <v>256</v>
      </c>
      <c r="K223" s="5" t="s">
        <v>417</v>
      </c>
      <c r="L223" s="5">
        <v>200225</v>
      </c>
      <c r="M223" s="5">
        <v>1</v>
      </c>
      <c r="N223" s="7">
        <v>45837</v>
      </c>
      <c r="O223" s="7">
        <v>45848</v>
      </c>
      <c r="P223" s="7">
        <v>45849</v>
      </c>
      <c r="Q223" s="7">
        <f t="shared" si="41"/>
        <v>45968</v>
      </c>
      <c r="R223" s="9">
        <v>1634615.63</v>
      </c>
      <c r="S223" s="33"/>
      <c r="T223" s="9">
        <v>1487663.68</v>
      </c>
      <c r="U223" s="10">
        <v>-8.99</v>
      </c>
      <c r="V223" s="10" t="str">
        <f t="shared" si="42"/>
        <v>Below</v>
      </c>
      <c r="W223" s="11" t="str" cm="1">
        <f t="array" ref="W223">NumberToWords(T223)</f>
        <v>Fourteen Lakh Eighty Seven Thousand Six Hundred Sixty Three Rupees and Sixty Eight Paise Only</v>
      </c>
      <c r="X223" s="10" t="str">
        <f t="shared" si="43"/>
        <v>Division</v>
      </c>
      <c r="Z223" s="9">
        <f t="shared" si="44"/>
        <v>1487663.68</v>
      </c>
      <c r="AA223" s="5" t="s">
        <v>281</v>
      </c>
      <c r="AB223" s="8" t="str">
        <f>_xlfn.XLOOKUP(AA223, 'Agency List'!A$2:A$145, 'Agency List'!B$2:B$145, "Not Found")</f>
        <v>UDAYBHAI RAMKUBHAI LUNSAR</v>
      </c>
      <c r="AC223" s="8" t="str">
        <f>_xlfn.XLOOKUP(AA223, 'Agency List'!A$2:A$145, 'Agency List'!C$2:C$145, "Not Found")</f>
        <v>Shop No. 5, First Floor, Nilkanth Arcade, Opp. Arjun Tokiz, Palitana Road, Gariyadhar- 364505</v>
      </c>
      <c r="AD223" s="8">
        <f>_xlfn.XLOOKUP(AA223, 'Agency List'!A$2:A$145, 'Agency List'!D$2:D$145, "Not Found")</f>
        <v>9824226646</v>
      </c>
      <c r="AE223" s="7"/>
      <c r="AF223" s="5" t="s">
        <v>817</v>
      </c>
      <c r="AG223" s="5" t="str">
        <f t="shared" si="45"/>
        <v>Bandhkam</v>
      </c>
      <c r="AH223" s="5"/>
      <c r="AI223" s="8"/>
      <c r="AJ223" s="8"/>
      <c r="AL223" s="16">
        <v>4</v>
      </c>
      <c r="AM223" s="12">
        <f t="shared" si="46"/>
        <v>75000</v>
      </c>
      <c r="AN223" s="7">
        <f t="shared" si="47"/>
        <v>46501</v>
      </c>
      <c r="AO223" s="12">
        <f t="shared" si="48"/>
        <v>3700</v>
      </c>
      <c r="AP223" s="12">
        <f t="shared" si="49"/>
        <v>0</v>
      </c>
      <c r="AQ223" s="15">
        <f t="shared" si="50"/>
        <v>46086</v>
      </c>
      <c r="AR223" s="7">
        <f t="shared" si="51"/>
        <v>46441</v>
      </c>
      <c r="AS223" s="5">
        <v>1006</v>
      </c>
      <c r="AT223" s="7">
        <v>45861</v>
      </c>
      <c r="AU223" s="5" t="s">
        <v>78</v>
      </c>
      <c r="AV223" s="17">
        <v>158</v>
      </c>
      <c r="AW223" s="19">
        <v>45911</v>
      </c>
      <c r="AX223" s="5" t="s">
        <v>355</v>
      </c>
      <c r="AY223" s="5" t="s">
        <v>369</v>
      </c>
      <c r="AZ223" s="13">
        <v>44407033363</v>
      </c>
      <c r="BA223" s="12">
        <v>75000</v>
      </c>
      <c r="BB223" s="7">
        <v>45899</v>
      </c>
      <c r="BC223" s="14"/>
      <c r="BD223" s="14"/>
      <c r="BF223" s="12"/>
      <c r="BG223" s="14"/>
      <c r="BH223" s="19">
        <v>45931</v>
      </c>
      <c r="BI223" s="5">
        <v>1401</v>
      </c>
      <c r="BJ223" s="19">
        <v>45931</v>
      </c>
      <c r="BM223" s="18"/>
      <c r="BN223" s="18"/>
      <c r="BO223" s="18"/>
      <c r="BP223" s="18"/>
      <c r="BQ223" s="5"/>
      <c r="BR223" s="18"/>
      <c r="BS223" s="18"/>
      <c r="BT223" s="35">
        <f>BH223+AL223*30</f>
        <v>46051</v>
      </c>
    </row>
    <row r="224" spans="1:72" ht="43.5" x14ac:dyDescent="0.35">
      <c r="A224" s="5">
        <v>223</v>
      </c>
      <c r="B224" s="5"/>
      <c r="C224" s="5" t="s">
        <v>78</v>
      </c>
      <c r="D224" s="5">
        <v>8</v>
      </c>
      <c r="E224" s="5">
        <v>117</v>
      </c>
      <c r="F224" s="8" t="s">
        <v>433</v>
      </c>
      <c r="G224" s="8"/>
      <c r="H224" s="5" t="s">
        <v>3</v>
      </c>
      <c r="I224" s="5" t="str" cm="1">
        <f t="array" ref="I224">_xlfn.IFS(
  H224="Mahuva", "Mahuva",
  H224="Jesar", "Mahuva",
  H224="Palitana", "Palitana",
  H224="Gariyadhar", "Palitana",
  H224="Talaja", "Talaja",
  H224="Vallabhipur", "Vallabhipur",
  H224="Umrala", "Vallabhipur",
  H224="Shihor", "Shihor",
  H224="Ghogha", "Bhavnagar",
  H224="Bhavnagar", "Bhavnagar"
)</f>
        <v>Palitana</v>
      </c>
      <c r="J224" s="5" t="s">
        <v>256</v>
      </c>
      <c r="K224" s="5" t="s">
        <v>417</v>
      </c>
      <c r="L224" s="5">
        <v>200227</v>
      </c>
      <c r="M224" s="5">
        <v>1</v>
      </c>
      <c r="N224" s="7">
        <v>45837</v>
      </c>
      <c r="O224" s="7">
        <v>45848</v>
      </c>
      <c r="P224" s="7">
        <v>45849</v>
      </c>
      <c r="Q224" s="7">
        <f t="shared" si="41"/>
        <v>45968</v>
      </c>
      <c r="R224" s="9">
        <v>1634615.63</v>
      </c>
      <c r="S224" s="33"/>
      <c r="T224" s="9">
        <v>1514798.3</v>
      </c>
      <c r="U224" s="10">
        <v>-7.33</v>
      </c>
      <c r="V224" s="10" t="str">
        <f t="shared" si="42"/>
        <v>Below</v>
      </c>
      <c r="W224" s="11" t="str" cm="1">
        <f t="array" ref="W224">NumberToWords(T224)</f>
        <v>Fifteen Lakh Fourteen Thousand Seven Hundred Ninety Eight Rupees and Three Paise Only</v>
      </c>
      <c r="X224" s="10" t="str">
        <f t="shared" si="43"/>
        <v>Division</v>
      </c>
      <c r="Z224" s="9">
        <f t="shared" si="44"/>
        <v>1514798.3</v>
      </c>
      <c r="AA224" s="5" t="s">
        <v>178</v>
      </c>
      <c r="AB224" s="8">
        <f>_xlfn.XLOOKUP(AA224, 'Agency List'!A$2:A$145, 'Agency List'!B$2:B$145, "Not Found")</f>
        <v>0</v>
      </c>
      <c r="AC224" s="8" t="str">
        <f>_xlfn.XLOOKUP(AA224, 'Agency List'!A$2:A$145, 'Agency List'!C$2:C$145, "Not Found")</f>
        <v>Shetrunji Dam, Nani Paniyali, Palitana, Bhavnagar-364270</v>
      </c>
      <c r="AD224" s="8">
        <f>_xlfn.XLOOKUP(AA224, 'Agency List'!A$2:A$145, 'Agency List'!D$2:D$145, "Not Found")</f>
        <v>8140303377</v>
      </c>
      <c r="AE224" s="7"/>
      <c r="AF224" s="5" t="s">
        <v>817</v>
      </c>
      <c r="AG224" s="5" t="str">
        <f t="shared" si="45"/>
        <v>Bandhkam</v>
      </c>
      <c r="AH224" s="5"/>
      <c r="AI224" s="8"/>
      <c r="AJ224" s="8"/>
      <c r="AL224" s="16">
        <v>4</v>
      </c>
      <c r="AM224" s="12">
        <f t="shared" si="46"/>
        <v>76000</v>
      </c>
      <c r="AN224" s="7">
        <f t="shared" si="47"/>
        <v>46465</v>
      </c>
      <c r="AO224" s="12">
        <f t="shared" si="48"/>
        <v>3800</v>
      </c>
      <c r="AP224" s="12">
        <f t="shared" si="49"/>
        <v>0</v>
      </c>
      <c r="AQ224" s="15">
        <f t="shared" si="50"/>
        <v>46050</v>
      </c>
      <c r="AR224" s="7">
        <f t="shared" si="51"/>
        <v>46405</v>
      </c>
      <c r="AS224" s="5">
        <v>1007</v>
      </c>
      <c r="AT224" s="7">
        <v>45861</v>
      </c>
      <c r="AU224" s="5" t="s">
        <v>78</v>
      </c>
      <c r="AV224" s="17">
        <v>105</v>
      </c>
      <c r="AW224" s="37">
        <v>45895</v>
      </c>
      <c r="AX224" s="5" t="s">
        <v>355</v>
      </c>
      <c r="AY224" s="5" t="s">
        <v>356</v>
      </c>
      <c r="AZ224" s="13">
        <v>78049077886</v>
      </c>
      <c r="BA224" s="12">
        <v>76000</v>
      </c>
      <c r="BB224" s="7">
        <v>45894</v>
      </c>
      <c r="BC224" s="14"/>
      <c r="BD224" s="14"/>
      <c r="BF224" s="12"/>
      <c r="BG224" s="14"/>
      <c r="BH224" s="37">
        <v>45895</v>
      </c>
      <c r="BI224" s="5">
        <v>1195</v>
      </c>
      <c r="BJ224" s="19">
        <v>45895</v>
      </c>
      <c r="BM224" s="18"/>
      <c r="BN224" s="18"/>
      <c r="BO224" s="18"/>
      <c r="BP224" s="18"/>
      <c r="BQ224" s="5"/>
      <c r="BR224" s="18"/>
      <c r="BS224" s="18"/>
      <c r="BT224" s="35">
        <f>BH224+AL224*30</f>
        <v>46015</v>
      </c>
    </row>
    <row r="225" spans="1:72" ht="43.5" x14ac:dyDescent="0.35">
      <c r="A225" s="5">
        <v>224</v>
      </c>
      <c r="B225" s="5"/>
      <c r="C225" s="5" t="s">
        <v>78</v>
      </c>
      <c r="D225" s="5">
        <v>8</v>
      </c>
      <c r="E225" s="5">
        <v>118</v>
      </c>
      <c r="F225" s="8" t="s">
        <v>443</v>
      </c>
      <c r="G225" s="8"/>
      <c r="H225" s="5" t="s">
        <v>3</v>
      </c>
      <c r="I225" s="5" t="str" cm="1">
        <f t="array" ref="I225">_xlfn.IFS(
  H225="Mahuva", "Mahuva",
  H225="Jesar", "Mahuva",
  H225="Palitana", "Palitana",
  H225="Gariyadhar", "Palitana",
  H225="Talaja", "Talaja",
  H225="Vallabhipur", "Vallabhipur",
  H225="Umrala", "Vallabhipur",
  H225="Shihor", "Shihor",
  H225="Ghogha", "Bhavnagar",
  H225="Bhavnagar", "Bhavnagar"
)</f>
        <v>Palitana</v>
      </c>
      <c r="J225" s="5" t="s">
        <v>256</v>
      </c>
      <c r="K225" s="5" t="s">
        <v>417</v>
      </c>
      <c r="L225" s="5">
        <v>200229</v>
      </c>
      <c r="M225" s="5">
        <v>1</v>
      </c>
      <c r="N225" s="7">
        <v>45837</v>
      </c>
      <c r="O225" s="7">
        <v>45848</v>
      </c>
      <c r="P225" s="7">
        <v>45849</v>
      </c>
      <c r="Q225" s="7">
        <f t="shared" si="41"/>
        <v>45968</v>
      </c>
      <c r="R225" s="9">
        <v>1634615.63</v>
      </c>
      <c r="S225" s="33"/>
      <c r="T225" s="9">
        <v>1499432.92</v>
      </c>
      <c r="U225" s="10">
        <v>-8.27</v>
      </c>
      <c r="V225" s="10" t="str">
        <f t="shared" si="42"/>
        <v>Below</v>
      </c>
      <c r="W225" s="11" t="str" cm="1">
        <f t="array" ref="W225">NumberToWords(T225)</f>
        <v>Fourteen Lakh Ninety Nine Thousand Four Hundred Thirty Two Rupees and Ninety Two Paise Only</v>
      </c>
      <c r="X225" s="10" t="str">
        <f t="shared" si="43"/>
        <v>Division</v>
      </c>
      <c r="Z225" s="9">
        <f t="shared" si="44"/>
        <v>1499432.92</v>
      </c>
      <c r="AA225" s="5" t="s">
        <v>404</v>
      </c>
      <c r="AB225" s="8">
        <f>_xlfn.XLOOKUP(AA225, 'Agency List'!A$2:A$145, 'Agency List'!B$2:B$145, "Not Found")</f>
        <v>0</v>
      </c>
      <c r="AC225" s="8" t="str">
        <f>_xlfn.XLOOKUP(AA225, 'Agency List'!A$2:A$145, 'Agency List'!C$2:C$145, "Not Found")</f>
        <v>Fulwadi Faliya, Uchchhal-2, Tal. Uchchhal, Dist. Tapi- 394375</v>
      </c>
      <c r="AD225" s="8">
        <f>_xlfn.XLOOKUP(AA225, 'Agency List'!A$2:A$145, 'Agency List'!D$2:D$145, "Not Found")</f>
        <v>9016414291</v>
      </c>
      <c r="AE225" s="7"/>
      <c r="AF225" s="5" t="s">
        <v>817</v>
      </c>
      <c r="AG225" s="5" t="str">
        <f t="shared" si="45"/>
        <v>Bandhkam</v>
      </c>
      <c r="AH225" s="5"/>
      <c r="AI225" s="8"/>
      <c r="AJ225" s="8"/>
      <c r="AL225" s="16">
        <v>4</v>
      </c>
      <c r="AM225" s="12">
        <f t="shared" si="46"/>
        <v>75000</v>
      </c>
      <c r="AN225" s="7">
        <f t="shared" si="47"/>
        <v>46464</v>
      </c>
      <c r="AO225" s="12">
        <f t="shared" si="48"/>
        <v>3700</v>
      </c>
      <c r="AP225" s="12">
        <f t="shared" si="49"/>
        <v>0</v>
      </c>
      <c r="AQ225" s="15">
        <f t="shared" si="50"/>
        <v>46049</v>
      </c>
      <c r="AR225" s="7">
        <f t="shared" si="51"/>
        <v>46404</v>
      </c>
      <c r="AS225" s="5">
        <v>1008</v>
      </c>
      <c r="AT225" s="7">
        <v>45861</v>
      </c>
      <c r="AU225" s="5" t="s">
        <v>78</v>
      </c>
      <c r="AV225" s="17">
        <v>103</v>
      </c>
      <c r="AW225" s="37">
        <v>45894</v>
      </c>
      <c r="AX225" s="5" t="s">
        <v>355</v>
      </c>
      <c r="AY225" s="5" t="s">
        <v>369</v>
      </c>
      <c r="AZ225" s="13">
        <v>44393877928</v>
      </c>
      <c r="BA225" s="12">
        <v>75000</v>
      </c>
      <c r="BB225" s="7">
        <v>45890</v>
      </c>
      <c r="BC225" s="14"/>
      <c r="BD225" s="14"/>
      <c r="BF225" s="12"/>
      <c r="BG225" s="14"/>
      <c r="BH225" s="19">
        <v>45894</v>
      </c>
      <c r="BI225" s="5">
        <v>1188</v>
      </c>
      <c r="BJ225" s="19">
        <v>45894</v>
      </c>
      <c r="BM225" s="18"/>
      <c r="BN225" s="18"/>
      <c r="BO225" s="18"/>
      <c r="BP225" s="18"/>
      <c r="BQ225" s="5"/>
      <c r="BR225" s="18"/>
      <c r="BS225" s="18"/>
      <c r="BT225" s="35">
        <f>BH225+AL225*30</f>
        <v>46014</v>
      </c>
    </row>
    <row r="226" spans="1:72" ht="43.5" x14ac:dyDescent="0.35">
      <c r="A226" s="5">
        <v>225</v>
      </c>
      <c r="B226" s="5"/>
      <c r="C226" s="5" t="s">
        <v>78</v>
      </c>
      <c r="D226" s="5">
        <v>8</v>
      </c>
      <c r="E226" s="5">
        <v>119</v>
      </c>
      <c r="F226" s="8" t="s">
        <v>444</v>
      </c>
      <c r="G226" s="8"/>
      <c r="H226" s="5" t="s">
        <v>3</v>
      </c>
      <c r="I226" s="5" t="str" cm="1">
        <f t="array" ref="I226">_xlfn.IFS(
  H226="Mahuva", "Mahuva",
  H226="Jesar", "Mahuva",
  H226="Palitana", "Palitana",
  H226="Gariyadhar", "Palitana",
  H226="Talaja", "Talaja",
  H226="Vallabhipur", "Vallabhipur",
  H226="Umrala", "Vallabhipur",
  H226="Shihor", "Shihor",
  H226="Ghogha", "Bhavnagar",
  H226="Bhavnagar", "Bhavnagar"
)</f>
        <v>Palitana</v>
      </c>
      <c r="J226" s="5" t="s">
        <v>256</v>
      </c>
      <c r="K226" s="5" t="s">
        <v>417</v>
      </c>
      <c r="L226" s="5">
        <v>200231</v>
      </c>
      <c r="M226" s="5">
        <v>1</v>
      </c>
      <c r="N226" s="7">
        <v>45837</v>
      </c>
      <c r="O226" s="7">
        <v>45848</v>
      </c>
      <c r="P226" s="7">
        <v>45849</v>
      </c>
      <c r="Q226" s="7">
        <f t="shared" si="41"/>
        <v>45968</v>
      </c>
      <c r="R226" s="9">
        <v>1634615.63</v>
      </c>
      <c r="S226" s="33"/>
      <c r="T226" s="9">
        <v>1499432.92</v>
      </c>
      <c r="U226" s="10">
        <v>-8.27</v>
      </c>
      <c r="V226" s="10" t="str">
        <f t="shared" si="42"/>
        <v>Below</v>
      </c>
      <c r="W226" s="11" t="str" cm="1">
        <f t="array" ref="W226">NumberToWords(T226)</f>
        <v>Fourteen Lakh Ninety Nine Thousand Four Hundred Thirty Two Rupees and Ninety Two Paise Only</v>
      </c>
      <c r="X226" s="10" t="str">
        <f t="shared" si="43"/>
        <v>Division</v>
      </c>
      <c r="Z226" s="9">
        <f t="shared" si="44"/>
        <v>1499432.92</v>
      </c>
      <c r="AA226" s="5" t="s">
        <v>404</v>
      </c>
      <c r="AB226" s="8">
        <f>_xlfn.XLOOKUP(AA226, 'Agency List'!A$2:A$145, 'Agency List'!B$2:B$145, "Not Found")</f>
        <v>0</v>
      </c>
      <c r="AC226" s="8" t="str">
        <f>_xlfn.XLOOKUP(AA226, 'Agency List'!A$2:A$145, 'Agency List'!C$2:C$145, "Not Found")</f>
        <v>Fulwadi Faliya, Uchchhal-2, Tal. Uchchhal, Dist. Tapi- 394375</v>
      </c>
      <c r="AD226" s="8">
        <f>_xlfn.XLOOKUP(AA226, 'Agency List'!A$2:A$145, 'Agency List'!D$2:D$145, "Not Found")</f>
        <v>9016414291</v>
      </c>
      <c r="AE226" s="7"/>
      <c r="AF226" s="5" t="s">
        <v>817</v>
      </c>
      <c r="AG226" s="5" t="str">
        <f t="shared" si="45"/>
        <v>Bandhkam</v>
      </c>
      <c r="AH226" s="5"/>
      <c r="AI226" s="8"/>
      <c r="AJ226" s="8"/>
      <c r="AL226" s="16">
        <v>4</v>
      </c>
      <c r="AM226" s="12">
        <f t="shared" si="46"/>
        <v>75000</v>
      </c>
      <c r="AN226" s="7">
        <f t="shared" si="47"/>
        <v>46464</v>
      </c>
      <c r="AO226" s="12">
        <f t="shared" si="48"/>
        <v>3700</v>
      </c>
      <c r="AP226" s="12">
        <f t="shared" si="49"/>
        <v>0</v>
      </c>
      <c r="AQ226" s="15">
        <f t="shared" si="50"/>
        <v>46049</v>
      </c>
      <c r="AR226" s="7">
        <f t="shared" si="51"/>
        <v>46404</v>
      </c>
      <c r="AS226" s="5">
        <v>1009</v>
      </c>
      <c r="AT226" s="7">
        <v>45861</v>
      </c>
      <c r="AU226" s="5" t="s">
        <v>78</v>
      </c>
      <c r="AV226" s="17">
        <v>104</v>
      </c>
      <c r="AW226" s="37">
        <v>45894</v>
      </c>
      <c r="AX226" s="5" t="s">
        <v>355</v>
      </c>
      <c r="AY226" s="5" t="s">
        <v>369</v>
      </c>
      <c r="AZ226" s="13">
        <v>44393950207</v>
      </c>
      <c r="BA226" s="12">
        <v>75000</v>
      </c>
      <c r="BB226" s="7">
        <v>45890</v>
      </c>
      <c r="BC226" s="14"/>
      <c r="BD226" s="14"/>
      <c r="BF226" s="12"/>
      <c r="BG226" s="14"/>
      <c r="BH226" s="19">
        <v>45894</v>
      </c>
      <c r="BI226" s="5">
        <v>1189</v>
      </c>
      <c r="BJ226" s="19">
        <v>45894</v>
      </c>
      <c r="BM226" s="18"/>
      <c r="BN226" s="18"/>
      <c r="BO226" s="18"/>
      <c r="BP226" s="18"/>
      <c r="BQ226" s="5"/>
      <c r="BR226" s="18"/>
      <c r="BS226" s="18"/>
      <c r="BT226" s="35"/>
    </row>
    <row r="227" spans="1:72" ht="43.5" x14ac:dyDescent="0.35">
      <c r="A227" s="5">
        <v>226</v>
      </c>
      <c r="B227" s="5"/>
      <c r="C227" s="5" t="s">
        <v>78</v>
      </c>
      <c r="D227" s="5">
        <v>8</v>
      </c>
      <c r="E227" s="5">
        <v>120</v>
      </c>
      <c r="F227" s="8" t="s">
        <v>434</v>
      </c>
      <c r="G227" s="8"/>
      <c r="H227" s="5" t="s">
        <v>3</v>
      </c>
      <c r="I227" s="5" t="str" cm="1">
        <f t="array" ref="I227">_xlfn.IFS(
  H227="Mahuva", "Mahuva",
  H227="Jesar", "Mahuva",
  H227="Palitana", "Palitana",
  H227="Gariyadhar", "Palitana",
  H227="Talaja", "Talaja",
  H227="Vallabhipur", "Vallabhipur",
  H227="Umrala", "Vallabhipur",
  H227="Shihor", "Shihor",
  H227="Ghogha", "Bhavnagar",
  H227="Bhavnagar", "Bhavnagar"
)</f>
        <v>Palitana</v>
      </c>
      <c r="J227" s="5" t="s">
        <v>256</v>
      </c>
      <c r="K227" s="5" t="s">
        <v>417</v>
      </c>
      <c r="L227" s="5">
        <v>200322</v>
      </c>
      <c r="M227" s="5">
        <v>1</v>
      </c>
      <c r="N227" s="7">
        <v>45837</v>
      </c>
      <c r="O227" s="7">
        <v>45848</v>
      </c>
      <c r="P227" s="7">
        <v>45849</v>
      </c>
      <c r="Q227" s="7">
        <f t="shared" si="41"/>
        <v>45968</v>
      </c>
      <c r="R227" s="9">
        <v>806983.54</v>
      </c>
      <c r="S227" s="33"/>
      <c r="T227" s="9">
        <v>731691.98</v>
      </c>
      <c r="U227" s="10">
        <v>-9.33</v>
      </c>
      <c r="V227" s="10" t="str">
        <f t="shared" si="42"/>
        <v>Below</v>
      </c>
      <c r="W227" s="11" t="str" cm="1">
        <f t="array" ref="W227">NumberToWords(T227)</f>
        <v>Seven Lakh Thirty One Thousand Six Hundred Ninety One Rupees and Ninety Eight Paise Only</v>
      </c>
      <c r="X227" s="10" t="str">
        <f t="shared" si="43"/>
        <v>Division</v>
      </c>
      <c r="Z227" s="9">
        <f t="shared" si="44"/>
        <v>731691.98</v>
      </c>
      <c r="AA227" s="5" t="s">
        <v>178</v>
      </c>
      <c r="AB227" s="8">
        <f>_xlfn.XLOOKUP(AA227, 'Agency List'!A$2:A$145, 'Agency List'!B$2:B$145, "Not Found")</f>
        <v>0</v>
      </c>
      <c r="AC227" s="8" t="str">
        <f>_xlfn.XLOOKUP(AA227, 'Agency List'!A$2:A$145, 'Agency List'!C$2:C$145, "Not Found")</f>
        <v>Shetrunji Dam, Nani Paniyali, Palitana, Bhavnagar-364270</v>
      </c>
      <c r="AD227" s="8">
        <f>_xlfn.XLOOKUP(AA227, 'Agency List'!A$2:A$145, 'Agency List'!D$2:D$145, "Not Found")</f>
        <v>8140303377</v>
      </c>
      <c r="AE227" s="7"/>
      <c r="AF227" s="5" t="s">
        <v>817</v>
      </c>
      <c r="AG227" s="5" t="str">
        <f t="shared" si="45"/>
        <v>Bandhkam</v>
      </c>
      <c r="AH227" s="5"/>
      <c r="AI227" s="8"/>
      <c r="AJ227" s="8"/>
      <c r="AL227" s="16">
        <v>3</v>
      </c>
      <c r="AM227" s="12">
        <f t="shared" si="46"/>
        <v>37000</v>
      </c>
      <c r="AN227" s="7">
        <f t="shared" si="47"/>
        <v>46435</v>
      </c>
      <c r="AO227" s="12">
        <f t="shared" si="48"/>
        <v>1900</v>
      </c>
      <c r="AP227" s="12">
        <f t="shared" si="49"/>
        <v>0</v>
      </c>
      <c r="AQ227" s="15">
        <f t="shared" si="50"/>
        <v>46020</v>
      </c>
      <c r="AR227" s="7">
        <f t="shared" si="51"/>
        <v>46375</v>
      </c>
      <c r="AS227" s="5">
        <v>1010</v>
      </c>
      <c r="AT227" s="7">
        <v>45861</v>
      </c>
      <c r="AU227" s="5" t="s">
        <v>78</v>
      </c>
      <c r="AV227" s="17">
        <v>106</v>
      </c>
      <c r="AW227" s="37">
        <v>45895</v>
      </c>
      <c r="AX227" s="5" t="s">
        <v>355</v>
      </c>
      <c r="AY227" s="5" t="s">
        <v>356</v>
      </c>
      <c r="AZ227" s="13">
        <v>78049077842</v>
      </c>
      <c r="BA227" s="12">
        <v>37000</v>
      </c>
      <c r="BB227" s="7">
        <v>45894</v>
      </c>
      <c r="BC227" s="14"/>
      <c r="BD227" s="14"/>
      <c r="BF227" s="12"/>
      <c r="BG227" s="14"/>
      <c r="BH227" s="37">
        <v>45895</v>
      </c>
      <c r="BI227" s="5">
        <v>1196</v>
      </c>
      <c r="BJ227" s="19">
        <v>45895</v>
      </c>
      <c r="BM227" s="18"/>
      <c r="BN227" s="18"/>
      <c r="BO227" s="18"/>
      <c r="BP227" s="18"/>
      <c r="BQ227" s="5"/>
      <c r="BR227" s="18"/>
      <c r="BS227" s="18"/>
      <c r="BT227" s="35">
        <f>BH227+AL227*30</f>
        <v>45985</v>
      </c>
    </row>
    <row r="228" spans="1:72" ht="43.5" x14ac:dyDescent="0.35">
      <c r="A228" s="5">
        <v>227</v>
      </c>
      <c r="B228" s="5"/>
      <c r="C228" s="5" t="s">
        <v>78</v>
      </c>
      <c r="D228" s="5">
        <v>8</v>
      </c>
      <c r="E228" s="5">
        <v>121</v>
      </c>
      <c r="F228" s="8" t="s">
        <v>435</v>
      </c>
      <c r="G228" s="8"/>
      <c r="H228" s="5" t="s">
        <v>3</v>
      </c>
      <c r="I228" s="5" t="str" cm="1">
        <f t="array" ref="I228">_xlfn.IFS(
  H228="Mahuva", "Mahuva",
  H228="Jesar", "Mahuva",
  H228="Palitana", "Palitana",
  H228="Gariyadhar", "Palitana",
  H228="Talaja", "Talaja",
  H228="Vallabhipur", "Vallabhipur",
  H228="Umrala", "Vallabhipur",
  H228="Shihor", "Shihor",
  H228="Ghogha", "Bhavnagar",
  H228="Bhavnagar", "Bhavnagar"
)</f>
        <v>Palitana</v>
      </c>
      <c r="J228" s="5" t="s">
        <v>256</v>
      </c>
      <c r="K228" s="5" t="s">
        <v>417</v>
      </c>
      <c r="L228" s="5">
        <v>200341</v>
      </c>
      <c r="M228" s="5">
        <v>1</v>
      </c>
      <c r="N228" s="7">
        <v>45837</v>
      </c>
      <c r="O228" s="7">
        <v>45848</v>
      </c>
      <c r="P228" s="7">
        <v>45849</v>
      </c>
      <c r="Q228" s="7">
        <f t="shared" si="41"/>
        <v>45968</v>
      </c>
      <c r="R228" s="9">
        <v>806983.54</v>
      </c>
      <c r="S228" s="33"/>
      <c r="T228" s="9">
        <v>747831.65</v>
      </c>
      <c r="U228" s="10">
        <v>-7.33</v>
      </c>
      <c r="V228" s="10" t="str">
        <f t="shared" si="42"/>
        <v>Below</v>
      </c>
      <c r="W228" s="11" t="str" cm="1">
        <f t="array" ref="W228">NumberToWords(T228)</f>
        <v>Seven Lakh Forty Seven Thousand Eight Hundred Thirty One Rupees and Sixty Five Paise Only</v>
      </c>
      <c r="X228" s="10" t="str">
        <f t="shared" si="43"/>
        <v>Division</v>
      </c>
      <c r="Z228" s="9">
        <f t="shared" si="44"/>
        <v>747831.65</v>
      </c>
      <c r="AA228" s="5" t="s">
        <v>178</v>
      </c>
      <c r="AB228" s="8">
        <f>_xlfn.XLOOKUP(AA228, 'Agency List'!A$2:A$145, 'Agency List'!B$2:B$145, "Not Found")</f>
        <v>0</v>
      </c>
      <c r="AC228" s="8" t="str">
        <f>_xlfn.XLOOKUP(AA228, 'Agency List'!A$2:A$145, 'Agency List'!C$2:C$145, "Not Found")</f>
        <v>Shetrunji Dam, Nani Paniyali, Palitana, Bhavnagar-364270</v>
      </c>
      <c r="AD228" s="8">
        <f>_xlfn.XLOOKUP(AA228, 'Agency List'!A$2:A$145, 'Agency List'!D$2:D$145, "Not Found")</f>
        <v>8140303377</v>
      </c>
      <c r="AE228" s="7"/>
      <c r="AF228" s="5" t="s">
        <v>817</v>
      </c>
      <c r="AG228" s="5" t="str">
        <f t="shared" si="45"/>
        <v>Bandhkam</v>
      </c>
      <c r="AH228" s="5"/>
      <c r="AI228" s="8"/>
      <c r="AJ228" s="8"/>
      <c r="AL228" s="16">
        <v>3</v>
      </c>
      <c r="AM228" s="12">
        <f t="shared" si="46"/>
        <v>38000</v>
      </c>
      <c r="AN228" s="7">
        <f t="shared" si="47"/>
        <v>46435</v>
      </c>
      <c r="AO228" s="12">
        <f t="shared" si="48"/>
        <v>1900</v>
      </c>
      <c r="AP228" s="12">
        <f t="shared" si="49"/>
        <v>0</v>
      </c>
      <c r="AQ228" s="15">
        <f t="shared" si="50"/>
        <v>46020</v>
      </c>
      <c r="AR228" s="7">
        <f t="shared" si="51"/>
        <v>46375</v>
      </c>
      <c r="AS228" s="5">
        <v>1011</v>
      </c>
      <c r="AT228" s="7">
        <v>45861</v>
      </c>
      <c r="AU228" s="5" t="s">
        <v>78</v>
      </c>
      <c r="AV228" s="17">
        <v>107</v>
      </c>
      <c r="AW228" s="37">
        <v>45895</v>
      </c>
      <c r="AX228" s="5" t="s">
        <v>355</v>
      </c>
      <c r="AY228" s="5" t="s">
        <v>356</v>
      </c>
      <c r="AZ228" s="13">
        <v>78049077922</v>
      </c>
      <c r="BA228" s="12">
        <v>38000</v>
      </c>
      <c r="BB228" s="7">
        <v>45894</v>
      </c>
      <c r="BC228" s="14"/>
      <c r="BD228" s="14"/>
      <c r="BF228" s="12"/>
      <c r="BG228" s="14"/>
      <c r="BH228" s="37">
        <v>45895</v>
      </c>
      <c r="BI228" s="5">
        <v>1197</v>
      </c>
      <c r="BJ228" s="19">
        <v>45895</v>
      </c>
      <c r="BM228" s="18"/>
      <c r="BN228" s="18"/>
      <c r="BO228" s="18"/>
      <c r="BP228" s="18"/>
      <c r="BQ228" s="5"/>
      <c r="BR228" s="18"/>
      <c r="BS228" s="18"/>
      <c r="BT228" s="35"/>
    </row>
    <row r="229" spans="1:72" ht="43.5" x14ac:dyDescent="0.35">
      <c r="A229" s="5">
        <v>228</v>
      </c>
      <c r="B229" s="5"/>
      <c r="C229" s="5" t="s">
        <v>78</v>
      </c>
      <c r="D229" s="5">
        <v>8</v>
      </c>
      <c r="E229" s="5">
        <v>122</v>
      </c>
      <c r="F229" s="8" t="s">
        <v>436</v>
      </c>
      <c r="G229" s="8"/>
      <c r="H229" s="5" t="s">
        <v>3</v>
      </c>
      <c r="I229" s="5" t="str" cm="1">
        <f t="array" ref="I229">_xlfn.IFS(
  H229="Mahuva", "Mahuva",
  H229="Jesar", "Mahuva",
  H229="Palitana", "Palitana",
  H229="Gariyadhar", "Palitana",
  H229="Talaja", "Talaja",
  H229="Vallabhipur", "Vallabhipur",
  H229="Umrala", "Vallabhipur",
  H229="Shihor", "Shihor",
  H229="Ghogha", "Bhavnagar",
  H229="Bhavnagar", "Bhavnagar"
)</f>
        <v>Palitana</v>
      </c>
      <c r="J229" s="5" t="s">
        <v>256</v>
      </c>
      <c r="K229" s="5" t="s">
        <v>417</v>
      </c>
      <c r="L229" s="5">
        <v>200352</v>
      </c>
      <c r="M229" s="5">
        <v>1</v>
      </c>
      <c r="N229" s="7">
        <v>45837</v>
      </c>
      <c r="O229" s="7">
        <v>45848</v>
      </c>
      <c r="P229" s="7">
        <v>45849</v>
      </c>
      <c r="Q229" s="7">
        <f t="shared" si="41"/>
        <v>45968</v>
      </c>
      <c r="R229" s="9">
        <v>806983.54</v>
      </c>
      <c r="S229" s="33"/>
      <c r="T229" s="9">
        <v>723622.14</v>
      </c>
      <c r="U229" s="10">
        <v>-10.33</v>
      </c>
      <c r="V229" s="10" t="str">
        <f t="shared" si="42"/>
        <v>Below</v>
      </c>
      <c r="W229" s="11" t="str" cm="1">
        <f t="array" ref="W229">NumberToWords(T229)</f>
        <v>Seven Lakh Twenty Three Thousand Six Hundred Twenty Two Rupees and Fourteen Paise Only</v>
      </c>
      <c r="X229" s="10" t="str">
        <f t="shared" si="43"/>
        <v>Division</v>
      </c>
      <c r="Z229" s="9">
        <f t="shared" si="44"/>
        <v>723622.14</v>
      </c>
      <c r="AA229" s="5" t="s">
        <v>178</v>
      </c>
      <c r="AB229" s="8">
        <f>_xlfn.XLOOKUP(AA229, 'Agency List'!A$2:A$145, 'Agency List'!B$2:B$145, "Not Found")</f>
        <v>0</v>
      </c>
      <c r="AC229" s="8" t="str">
        <f>_xlfn.XLOOKUP(AA229, 'Agency List'!A$2:A$145, 'Agency List'!C$2:C$145, "Not Found")</f>
        <v>Shetrunji Dam, Nani Paniyali, Palitana, Bhavnagar-364270</v>
      </c>
      <c r="AD229" s="8">
        <f>_xlfn.XLOOKUP(AA229, 'Agency List'!A$2:A$145, 'Agency List'!D$2:D$145, "Not Found")</f>
        <v>8140303377</v>
      </c>
      <c r="AE229" s="7"/>
      <c r="AF229" s="5" t="s">
        <v>817</v>
      </c>
      <c r="AG229" s="5" t="str">
        <f t="shared" si="45"/>
        <v>Bandhkam</v>
      </c>
      <c r="AH229" s="5"/>
      <c r="AI229" s="8"/>
      <c r="AJ229" s="8"/>
      <c r="AL229" s="16">
        <v>3</v>
      </c>
      <c r="AM229" s="12">
        <f t="shared" si="46"/>
        <v>37000</v>
      </c>
      <c r="AN229" s="7">
        <f t="shared" si="47"/>
        <v>46437</v>
      </c>
      <c r="AO229" s="12">
        <f t="shared" si="48"/>
        <v>1900</v>
      </c>
      <c r="AP229" s="12">
        <f t="shared" si="49"/>
        <v>1000</v>
      </c>
      <c r="AQ229" s="15">
        <f t="shared" si="50"/>
        <v>46022</v>
      </c>
      <c r="AR229" s="7">
        <f t="shared" si="51"/>
        <v>46377</v>
      </c>
      <c r="AS229" s="5">
        <v>1012</v>
      </c>
      <c r="AT229" s="7">
        <v>45861</v>
      </c>
      <c r="AU229" s="5" t="s">
        <v>78</v>
      </c>
      <c r="AV229" s="17">
        <v>114</v>
      </c>
      <c r="AW229" s="37">
        <v>45897</v>
      </c>
      <c r="AX229" s="5" t="s">
        <v>355</v>
      </c>
      <c r="AY229" s="5" t="s">
        <v>356</v>
      </c>
      <c r="AZ229" s="13">
        <v>78049076791</v>
      </c>
      <c r="BA229" s="12">
        <v>37000</v>
      </c>
      <c r="BB229" s="7">
        <v>45894</v>
      </c>
      <c r="BC229" s="5" t="s">
        <v>355</v>
      </c>
      <c r="BD229" s="5" t="s">
        <v>356</v>
      </c>
      <c r="BE229" s="13">
        <v>78049106365</v>
      </c>
      <c r="BF229" s="12">
        <v>1000</v>
      </c>
      <c r="BG229" s="7">
        <v>45897</v>
      </c>
      <c r="BH229" s="37">
        <v>45897</v>
      </c>
      <c r="BI229" s="5">
        <v>1198</v>
      </c>
      <c r="BJ229" s="19">
        <v>45897</v>
      </c>
      <c r="BM229" s="18"/>
      <c r="BN229" s="18"/>
      <c r="BO229" s="18"/>
      <c r="BP229" s="18"/>
      <c r="BQ229" s="5"/>
      <c r="BR229" s="18"/>
      <c r="BS229" s="18"/>
      <c r="BT229" s="35">
        <f>BH229+AL229*30</f>
        <v>45987</v>
      </c>
    </row>
    <row r="230" spans="1:72" ht="72.5" x14ac:dyDescent="0.35">
      <c r="A230" s="5">
        <v>229</v>
      </c>
      <c r="B230" s="5"/>
      <c r="C230" s="5" t="s">
        <v>78</v>
      </c>
      <c r="D230" s="5">
        <v>8</v>
      </c>
      <c r="E230" s="5">
        <v>123</v>
      </c>
      <c r="F230" s="8" t="s">
        <v>437</v>
      </c>
      <c r="G230" s="8"/>
      <c r="H230" s="5" t="s">
        <v>3</v>
      </c>
      <c r="I230" s="5" t="str" cm="1">
        <f t="array" ref="I230">_xlfn.IFS(
  H230="Mahuva", "Mahuva",
  H230="Jesar", "Mahuva",
  H230="Palitana", "Palitana",
  H230="Gariyadhar", "Palitana",
  H230="Talaja", "Talaja",
  H230="Vallabhipur", "Vallabhipur",
  H230="Umrala", "Vallabhipur",
  H230="Shihor", "Shihor",
  H230="Ghogha", "Bhavnagar",
  H230="Bhavnagar", "Bhavnagar"
)</f>
        <v>Palitana</v>
      </c>
      <c r="J230" s="5" t="s">
        <v>256</v>
      </c>
      <c r="K230" s="5" t="s">
        <v>417</v>
      </c>
      <c r="L230" s="5">
        <v>200385</v>
      </c>
      <c r="M230" s="5">
        <v>1</v>
      </c>
      <c r="N230" s="7">
        <v>45837</v>
      </c>
      <c r="O230" s="7">
        <v>45848</v>
      </c>
      <c r="P230" s="7">
        <v>45849</v>
      </c>
      <c r="Q230" s="7">
        <f t="shared" si="41"/>
        <v>45968</v>
      </c>
      <c r="R230" s="9">
        <v>1303576.82</v>
      </c>
      <c r="S230" s="33"/>
      <c r="T230" s="9">
        <v>1210892.51</v>
      </c>
      <c r="U230" s="10">
        <v>-7.11</v>
      </c>
      <c r="V230" s="10" t="str">
        <f t="shared" si="42"/>
        <v>Below</v>
      </c>
      <c r="W230" s="11" t="str" cm="1">
        <f t="array" ref="W230">NumberToWords(T230)</f>
        <v>Twelve Lakh Ten Thousand Eight Hundred Ninety Two Rupees and Fifty One Paise Only</v>
      </c>
      <c r="X230" s="10" t="str">
        <f t="shared" si="43"/>
        <v>Division</v>
      </c>
      <c r="Z230" s="9">
        <f t="shared" si="44"/>
        <v>1210892.51</v>
      </c>
      <c r="AA230" s="5" t="s">
        <v>165</v>
      </c>
      <c r="AB230" s="8" t="str">
        <f>_xlfn.XLOOKUP(AA230, 'Agency List'!A$2:A$145, 'Agency List'!B$2:B$145, "Not Found")</f>
        <v>JATINKUMAR RAMESHBHAI GOYANI</v>
      </c>
      <c r="AC230" s="8" t="str">
        <f>_xlfn.XLOOKUP(AA230, 'Agency List'!A$2:A$145, 'Agency List'!C$2:C$145, "Not Found")</f>
        <v>SHOP NO. 3, GROUND FLOOR, PARVADI GAM, GARIYADHAR SANOSARA ROAD, PARAVADI, TA. GARIYADHAR, DIST. BHAVNAGAR-364505</v>
      </c>
      <c r="AD230" s="8">
        <f>_xlfn.XLOOKUP(AA230, 'Agency List'!A$2:A$145, 'Agency List'!D$2:D$145, "Not Found")</f>
        <v>9016319324</v>
      </c>
      <c r="AE230" s="7"/>
      <c r="AF230" s="5" t="s">
        <v>817</v>
      </c>
      <c r="AG230" s="5" t="str">
        <f t="shared" si="45"/>
        <v>Bandhkam</v>
      </c>
      <c r="AH230" s="5"/>
      <c r="AI230" s="8"/>
      <c r="AJ230" s="8"/>
      <c r="AL230" s="16">
        <v>4</v>
      </c>
      <c r="AM230" s="12">
        <f t="shared" si="46"/>
        <v>61000</v>
      </c>
      <c r="AN230" s="7">
        <f t="shared" si="47"/>
        <v>46451</v>
      </c>
      <c r="AO230" s="12">
        <f t="shared" si="48"/>
        <v>3000</v>
      </c>
      <c r="AP230" s="12">
        <f t="shared" si="49"/>
        <v>0</v>
      </c>
      <c r="AQ230" s="15">
        <f t="shared" si="50"/>
        <v>46036</v>
      </c>
      <c r="AR230" s="7">
        <f t="shared" si="51"/>
        <v>46391</v>
      </c>
      <c r="AS230" s="5">
        <v>1013</v>
      </c>
      <c r="AT230" s="7">
        <v>45861</v>
      </c>
      <c r="AU230" s="5" t="s">
        <v>78</v>
      </c>
      <c r="AV230" s="17">
        <v>81</v>
      </c>
      <c r="AW230" s="37">
        <v>45881</v>
      </c>
      <c r="AX230" s="5" t="s">
        <v>355</v>
      </c>
      <c r="AY230" s="5" t="s">
        <v>356</v>
      </c>
      <c r="AZ230" s="13">
        <v>78048848377</v>
      </c>
      <c r="BA230" s="12">
        <v>61000</v>
      </c>
      <c r="BB230" s="7">
        <v>45873</v>
      </c>
      <c r="BC230" s="14"/>
      <c r="BD230" s="14"/>
      <c r="BF230" s="12"/>
      <c r="BG230" s="14"/>
      <c r="BH230" s="7">
        <v>45881</v>
      </c>
      <c r="BI230" s="5">
        <v>1059</v>
      </c>
      <c r="BJ230" s="19">
        <v>45881</v>
      </c>
      <c r="BM230" s="18"/>
      <c r="BN230" s="18"/>
      <c r="BO230" s="18"/>
      <c r="BP230" s="18"/>
      <c r="BQ230" s="5"/>
      <c r="BR230" s="18"/>
      <c r="BS230" s="18"/>
      <c r="BT230" s="35">
        <f>BH230+AL230*30</f>
        <v>46001</v>
      </c>
    </row>
    <row r="231" spans="1:72" ht="43.5" x14ac:dyDescent="0.35">
      <c r="A231" s="5">
        <v>230</v>
      </c>
      <c r="B231" s="5"/>
      <c r="C231" s="5" t="s">
        <v>78</v>
      </c>
      <c r="D231" s="5">
        <v>8</v>
      </c>
      <c r="E231" s="5">
        <v>124</v>
      </c>
      <c r="F231" s="8" t="s">
        <v>438</v>
      </c>
      <c r="G231" s="8"/>
      <c r="H231" s="5" t="s">
        <v>3</v>
      </c>
      <c r="I231" s="5" t="str" cm="1">
        <f t="array" ref="I231">_xlfn.IFS(
  H231="Mahuva", "Mahuva",
  H231="Jesar", "Mahuva",
  H231="Palitana", "Palitana",
  H231="Gariyadhar", "Palitana",
  H231="Talaja", "Talaja",
  H231="Vallabhipur", "Vallabhipur",
  H231="Umrala", "Vallabhipur",
  H231="Shihor", "Shihor",
  H231="Ghogha", "Bhavnagar",
  H231="Bhavnagar", "Bhavnagar"
)</f>
        <v>Palitana</v>
      </c>
      <c r="J231" s="5" t="s">
        <v>256</v>
      </c>
      <c r="K231" s="5" t="s">
        <v>417</v>
      </c>
      <c r="L231" s="5">
        <v>200392</v>
      </c>
      <c r="M231" s="5">
        <v>1</v>
      </c>
      <c r="N231" s="7">
        <v>45837</v>
      </c>
      <c r="O231" s="7">
        <v>45848</v>
      </c>
      <c r="P231" s="7">
        <v>45849</v>
      </c>
      <c r="Q231" s="7">
        <f t="shared" si="41"/>
        <v>45968</v>
      </c>
      <c r="R231" s="9">
        <v>2420954.2000000002</v>
      </c>
      <c r="S231" s="33"/>
      <c r="T231" s="9">
        <v>2170869.63</v>
      </c>
      <c r="U231" s="10">
        <v>-10.33</v>
      </c>
      <c r="V231" s="10" t="str">
        <f t="shared" si="42"/>
        <v>Below</v>
      </c>
      <c r="W231" s="11" t="str" cm="1">
        <f t="array" ref="W231">NumberToWords(T231)</f>
        <v>Twenty One Lakh Seventy Thousand Eight Hundred Sixty Nine Rupees and Sixty Three Paise Only</v>
      </c>
      <c r="X231" s="10" t="str">
        <f t="shared" si="43"/>
        <v>Division</v>
      </c>
      <c r="Z231" s="9">
        <f t="shared" si="44"/>
        <v>2170869.63</v>
      </c>
      <c r="AA231" s="5" t="s">
        <v>178</v>
      </c>
      <c r="AB231" s="8">
        <f>_xlfn.XLOOKUP(AA231, 'Agency List'!A$2:A$145, 'Agency List'!B$2:B$145, "Not Found")</f>
        <v>0</v>
      </c>
      <c r="AC231" s="8" t="str">
        <f>_xlfn.XLOOKUP(AA231, 'Agency List'!A$2:A$145, 'Agency List'!C$2:C$145, "Not Found")</f>
        <v>Shetrunji Dam, Nani Paniyali, Palitana, Bhavnagar-364270</v>
      </c>
      <c r="AD231" s="8">
        <f>_xlfn.XLOOKUP(AA231, 'Agency List'!A$2:A$145, 'Agency List'!D$2:D$145, "Not Found")</f>
        <v>8140303377</v>
      </c>
      <c r="AE231" s="7"/>
      <c r="AF231" s="5" t="s">
        <v>817</v>
      </c>
      <c r="AG231" s="5" t="str">
        <f t="shared" si="45"/>
        <v>Bandhkam</v>
      </c>
      <c r="AH231" s="5"/>
      <c r="AI231" s="8"/>
      <c r="AJ231" s="8"/>
      <c r="AL231" s="16">
        <v>4</v>
      </c>
      <c r="AM231" s="12">
        <f t="shared" si="46"/>
        <v>109000</v>
      </c>
      <c r="AN231" s="7">
        <f t="shared" si="47"/>
        <v>46467</v>
      </c>
      <c r="AO231" s="12">
        <f t="shared" si="48"/>
        <v>5500</v>
      </c>
      <c r="AP231" s="12">
        <f t="shared" si="49"/>
        <v>2000</v>
      </c>
      <c r="AQ231" s="15">
        <f t="shared" si="50"/>
        <v>46052</v>
      </c>
      <c r="AR231" s="7">
        <f t="shared" si="51"/>
        <v>46407</v>
      </c>
      <c r="AS231" s="5">
        <v>1014</v>
      </c>
      <c r="AT231" s="7">
        <v>45861</v>
      </c>
      <c r="AU231" s="5" t="s">
        <v>78</v>
      </c>
      <c r="AV231" s="17">
        <v>115</v>
      </c>
      <c r="AW231" s="37">
        <v>45897</v>
      </c>
      <c r="AX231" s="5" t="s">
        <v>355</v>
      </c>
      <c r="AY231" s="5" t="s">
        <v>356</v>
      </c>
      <c r="AZ231" s="13">
        <v>78049077853</v>
      </c>
      <c r="BA231" s="12">
        <v>109000</v>
      </c>
      <c r="BB231" s="7">
        <v>45894</v>
      </c>
      <c r="BC231" s="5" t="s">
        <v>355</v>
      </c>
      <c r="BD231" s="5" t="s">
        <v>356</v>
      </c>
      <c r="BE231" s="13">
        <v>78049106332</v>
      </c>
      <c r="BF231" s="12">
        <v>2000</v>
      </c>
      <c r="BG231" s="7">
        <v>45897</v>
      </c>
      <c r="BH231" s="37">
        <v>45897</v>
      </c>
      <c r="BI231" s="5">
        <v>1199</v>
      </c>
      <c r="BJ231" s="19">
        <v>45897</v>
      </c>
      <c r="BM231" s="18"/>
      <c r="BN231" s="18"/>
      <c r="BO231" s="18"/>
      <c r="BP231" s="18"/>
      <c r="BQ231" s="5"/>
      <c r="BR231" s="18"/>
      <c r="BS231" s="18"/>
      <c r="BT231" s="35">
        <f>BH231+AL231*30</f>
        <v>46017</v>
      </c>
    </row>
    <row r="232" spans="1:72" ht="29" x14ac:dyDescent="0.35">
      <c r="A232" s="5">
        <v>231</v>
      </c>
      <c r="B232" s="5"/>
      <c r="C232" s="5" t="s">
        <v>78</v>
      </c>
      <c r="D232" s="5">
        <v>8</v>
      </c>
      <c r="E232" s="5">
        <v>125</v>
      </c>
      <c r="F232" s="8"/>
      <c r="G232" s="8"/>
      <c r="H232" s="5"/>
      <c r="I232" s="5" t="e" cm="1">
        <f t="array" ref="I232">_xlfn.IFS(
  H232="Mahuva", "Mahuva",
  H232="Jesar", "Mahuva",
  H232="Palitana", "Palitana",
  H232="Gariyadhar", "Palitana",
  H232="Talaja", "Talaja",
  H232="Vallabhipur", "Vallabhipur",
  H232="Umrala", "Vallabhipur",
  H232="Shihor", "Shihor",
  H232="Ghogha", "Bhavnagar",
  H232="Bhavnagar", "Bhavnagar"
)</f>
        <v>#N/A</v>
      </c>
      <c r="J232" s="5" t="s">
        <v>256</v>
      </c>
      <c r="K232" s="5" t="s">
        <v>417</v>
      </c>
      <c r="M232" s="5">
        <v>1</v>
      </c>
      <c r="N232" s="7">
        <v>45837</v>
      </c>
      <c r="O232" s="7">
        <v>45848</v>
      </c>
      <c r="P232" s="7">
        <v>45849</v>
      </c>
      <c r="Q232" s="7">
        <f t="shared" si="41"/>
        <v>45968</v>
      </c>
      <c r="S232" s="33" t="s">
        <v>233</v>
      </c>
      <c r="U232" s="10"/>
      <c r="V232" s="10" t="str">
        <f t="shared" si="42"/>
        <v>Equals</v>
      </c>
      <c r="W232" s="11" t="str" cm="1">
        <f t="array" ref="W232">NumberToWords(T232)</f>
        <v>Zero Rupees Only</v>
      </c>
      <c r="X232" s="10" t="str">
        <f t="shared" si="43"/>
        <v>Division</v>
      </c>
      <c r="Z232" s="9">
        <f t="shared" si="44"/>
        <v>0</v>
      </c>
      <c r="AB232" s="8">
        <f>_xlfn.XLOOKUP(AA232, 'Agency List'!A$2:A$145, 'Agency List'!B$2:B$145, "Not Found")</f>
        <v>0</v>
      </c>
      <c r="AC232" s="8">
        <f>_xlfn.XLOOKUP(AA232, 'Agency List'!A$2:A$145, 'Agency List'!C$2:C$145, "Not Found")</f>
        <v>0</v>
      </c>
      <c r="AD232" s="8">
        <f>_xlfn.XLOOKUP(AA232, 'Agency List'!A$2:A$145, 'Agency List'!D$2:D$145, "Not Found")</f>
        <v>0</v>
      </c>
      <c r="AE232" s="7"/>
      <c r="AF232" s="5" t="s">
        <v>817</v>
      </c>
      <c r="AG232" s="5" t="str">
        <f t="shared" si="45"/>
        <v>Bandhkam</v>
      </c>
      <c r="AH232" s="5"/>
      <c r="AI232" s="8"/>
      <c r="AJ232" s="8"/>
      <c r="AL232" s="16"/>
      <c r="AM232" s="12">
        <f t="shared" si="46"/>
        <v>0</v>
      </c>
      <c r="AN232" s="7">
        <f t="shared" si="47"/>
        <v>450</v>
      </c>
      <c r="AO232" s="12">
        <f t="shared" si="48"/>
        <v>0</v>
      </c>
      <c r="AP232" s="12">
        <f t="shared" si="49"/>
        <v>0</v>
      </c>
      <c r="AQ232" s="15">
        <f t="shared" si="50"/>
        <v>35</v>
      </c>
      <c r="AR232" s="7">
        <f t="shared" si="51"/>
        <v>390</v>
      </c>
      <c r="AS232" s="5"/>
      <c r="AU232" s="5"/>
      <c r="AV232" s="17"/>
      <c r="AW232" s="17"/>
      <c r="AX232" s="5"/>
      <c r="AY232" s="5"/>
      <c r="AZ232" s="13"/>
      <c r="BA232" s="12"/>
      <c r="BB232" s="7"/>
      <c r="BC232" s="14"/>
      <c r="BD232" s="14"/>
      <c r="BF232" s="12"/>
      <c r="BG232" s="14"/>
      <c r="BH232" s="19"/>
      <c r="BI232" s="5"/>
      <c r="BM232" s="18"/>
      <c r="BN232" s="18"/>
      <c r="BO232" s="18"/>
      <c r="BP232" s="18"/>
      <c r="BQ232" s="5"/>
      <c r="BR232" s="18"/>
      <c r="BS232" s="18"/>
      <c r="BT232" s="35"/>
    </row>
    <row r="233" spans="1:72" ht="43.5" x14ac:dyDescent="0.35">
      <c r="A233" s="5">
        <v>232</v>
      </c>
      <c r="B233" s="5"/>
      <c r="C233" s="5" t="s">
        <v>78</v>
      </c>
      <c r="D233" s="5">
        <v>8</v>
      </c>
      <c r="E233" s="5">
        <v>126</v>
      </c>
      <c r="F233" s="8" t="s">
        <v>456</v>
      </c>
      <c r="G233" s="8"/>
      <c r="H233" s="5" t="s">
        <v>3</v>
      </c>
      <c r="I233" s="5" t="str" cm="1">
        <f t="array" ref="I233">_xlfn.IFS(
  H233="Mahuva", "Mahuva",
  H233="Jesar", "Mahuva",
  H233="Palitana", "Palitana",
  H233="Gariyadhar", "Palitana",
  H233="Talaja", "Talaja",
  H233="Vallabhipur", "Vallabhipur",
  H233="Umrala", "Vallabhipur",
  H233="Shihor", "Shihor",
  H233="Ghogha", "Bhavnagar",
  H233="Bhavnagar", "Bhavnagar"
)</f>
        <v>Palitana</v>
      </c>
      <c r="J233" s="5" t="s">
        <v>256</v>
      </c>
      <c r="K233" s="5" t="s">
        <v>417</v>
      </c>
      <c r="L233" s="5">
        <v>200400</v>
      </c>
      <c r="M233" s="5">
        <v>1</v>
      </c>
      <c r="N233" s="7">
        <v>45837</v>
      </c>
      <c r="O233" s="7">
        <v>45848</v>
      </c>
      <c r="P233" s="7">
        <v>45849</v>
      </c>
      <c r="Q233" s="7">
        <f t="shared" si="41"/>
        <v>45968</v>
      </c>
      <c r="R233" s="9">
        <v>2420954.2000000002</v>
      </c>
      <c r="S233" s="33"/>
      <c r="T233" s="9">
        <v>2122450.5499999998</v>
      </c>
      <c r="U233" s="10">
        <v>-12.33</v>
      </c>
      <c r="V233" s="10" t="str">
        <f t="shared" si="42"/>
        <v>Below</v>
      </c>
      <c r="W233" s="11" t="str" cm="1">
        <f t="array" ref="W233">NumberToWords(T233)</f>
        <v>Twenty One Lakh Twenty Two Thousand Four Hundred Fifty Rupees and Fifty Five Paise Only</v>
      </c>
      <c r="X233" s="10" t="str">
        <f t="shared" si="43"/>
        <v>Division</v>
      </c>
      <c r="Z233" s="9">
        <f t="shared" si="44"/>
        <v>2122450.5499999998</v>
      </c>
      <c r="AA233" s="5" t="s">
        <v>178</v>
      </c>
      <c r="AB233" s="8">
        <f>_xlfn.XLOOKUP(AA233, 'Agency List'!A$2:A$145, 'Agency List'!B$2:B$145, "Not Found")</f>
        <v>0</v>
      </c>
      <c r="AC233" s="8" t="str">
        <f>_xlfn.XLOOKUP(AA233, 'Agency List'!A$2:A$145, 'Agency List'!C$2:C$145, "Not Found")</f>
        <v>Shetrunji Dam, Nani Paniyali, Palitana, Bhavnagar-364270</v>
      </c>
      <c r="AD233" s="8">
        <f>_xlfn.XLOOKUP(AA233, 'Agency List'!A$2:A$145, 'Agency List'!D$2:D$145, "Not Found")</f>
        <v>8140303377</v>
      </c>
      <c r="AE233" s="7"/>
      <c r="AF233" s="5" t="s">
        <v>817</v>
      </c>
      <c r="AG233" s="5" t="str">
        <f t="shared" si="45"/>
        <v>Bandhkam</v>
      </c>
      <c r="AH233" s="5"/>
      <c r="AI233" s="8"/>
      <c r="AJ233" s="8"/>
      <c r="AL233" s="16">
        <v>4</v>
      </c>
      <c r="AM233" s="12">
        <f t="shared" si="46"/>
        <v>107000</v>
      </c>
      <c r="AN233" s="7">
        <f t="shared" si="47"/>
        <v>46467</v>
      </c>
      <c r="AO233" s="12">
        <f t="shared" si="48"/>
        <v>5900</v>
      </c>
      <c r="AP233" s="12">
        <f t="shared" si="49"/>
        <v>12000</v>
      </c>
      <c r="AQ233" s="15">
        <f t="shared" si="50"/>
        <v>46052</v>
      </c>
      <c r="AR233" s="7">
        <f t="shared" si="51"/>
        <v>46407</v>
      </c>
      <c r="AS233" s="5">
        <v>1015</v>
      </c>
      <c r="AT233" s="7">
        <v>45861</v>
      </c>
      <c r="AU233" s="5" t="s">
        <v>78</v>
      </c>
      <c r="AV233" s="17">
        <v>116</v>
      </c>
      <c r="AW233" s="37">
        <v>45897</v>
      </c>
      <c r="AX233" s="5" t="s">
        <v>355</v>
      </c>
      <c r="AY233" s="5" t="s">
        <v>356</v>
      </c>
      <c r="AZ233" s="13">
        <v>78049077864</v>
      </c>
      <c r="BA233" s="12">
        <v>107000</v>
      </c>
      <c r="BB233" s="7">
        <v>45894</v>
      </c>
      <c r="BC233" s="5" t="s">
        <v>355</v>
      </c>
      <c r="BD233" s="5" t="s">
        <v>356</v>
      </c>
      <c r="BE233" s="13">
        <v>78049106321</v>
      </c>
      <c r="BF233" s="12">
        <v>12000</v>
      </c>
      <c r="BG233" s="7">
        <v>45897</v>
      </c>
      <c r="BH233" s="37">
        <v>45897</v>
      </c>
      <c r="BI233" s="5">
        <v>1200</v>
      </c>
      <c r="BJ233" s="19">
        <v>45897</v>
      </c>
      <c r="BM233" s="18"/>
      <c r="BN233" s="18"/>
      <c r="BO233" s="18"/>
      <c r="BP233" s="18"/>
      <c r="BQ233" s="5"/>
      <c r="BR233" s="18"/>
      <c r="BS233" s="18"/>
      <c r="BT233" s="35">
        <f>BH233+AL233*30</f>
        <v>46017</v>
      </c>
    </row>
    <row r="234" spans="1:72" ht="72.5" x14ac:dyDescent="0.35">
      <c r="A234" s="5">
        <v>233</v>
      </c>
      <c r="B234" s="5"/>
      <c r="C234" s="5" t="s">
        <v>78</v>
      </c>
      <c r="D234" s="5">
        <v>8</v>
      </c>
      <c r="E234" s="5">
        <v>127</v>
      </c>
      <c r="F234" s="8" t="s">
        <v>457</v>
      </c>
      <c r="G234" s="8"/>
      <c r="H234" s="5" t="s">
        <v>4</v>
      </c>
      <c r="I234" s="5" t="str" cm="1">
        <f t="array" ref="I234">_xlfn.IFS(
  H234="Mahuva", "Mahuva",
  H234="Jesar", "Mahuva",
  H234="Palitana", "Palitana",
  H234="Gariyadhar", "Palitana",
  H234="Talaja", "Talaja",
  H234="Vallabhipur", "Vallabhipur",
  H234="Umrala", "Vallabhipur",
  H234="Shihor", "Shihor",
  H234="Ghogha", "Bhavnagar",
  H234="Bhavnagar", "Bhavnagar"
)</f>
        <v>Talaja</v>
      </c>
      <c r="J234" s="5" t="s">
        <v>256</v>
      </c>
      <c r="K234" s="5" t="s">
        <v>417</v>
      </c>
      <c r="L234" s="5">
        <v>200232</v>
      </c>
      <c r="M234" s="5">
        <v>1</v>
      </c>
      <c r="N234" s="7">
        <v>45837</v>
      </c>
      <c r="O234" s="7">
        <v>45848</v>
      </c>
      <c r="P234" s="7">
        <v>45849</v>
      </c>
      <c r="Q234" s="7">
        <f t="shared" si="41"/>
        <v>45968</v>
      </c>
      <c r="R234" s="9">
        <v>1634615.63</v>
      </c>
      <c r="S234" s="33"/>
      <c r="T234" s="9">
        <v>1514961.77</v>
      </c>
      <c r="U234" s="10">
        <v>-7.32</v>
      </c>
      <c r="V234" s="10" t="str">
        <f t="shared" si="42"/>
        <v>Below</v>
      </c>
      <c r="W234" s="11" t="str" cm="1">
        <f t="array" ref="W234">NumberToWords(T234)</f>
        <v>Fifteen Lakh Fourteen Thousand Nine Hundred Sixty One Rupees and Seventy Seven Paise Only</v>
      </c>
      <c r="X234" s="10" t="str">
        <f t="shared" si="43"/>
        <v>Division</v>
      </c>
      <c r="Z234" s="9">
        <f t="shared" si="44"/>
        <v>1514961.77</v>
      </c>
      <c r="AA234" s="5" t="s">
        <v>396</v>
      </c>
      <c r="AB234" s="8" t="str">
        <f>_xlfn.XLOOKUP(AA234, 'Agency List'!A$2:A$145, 'Agency List'!B$2:B$145, "Not Found")</f>
        <v>KISHANKUMAR PATABHAI KALSARIYA</v>
      </c>
      <c r="AC234" s="8" t="str">
        <f>_xlfn.XLOOKUP(AA234, 'Agency List'!A$2:A$145, 'Agency List'!C$2:C$145, "Not Found")</f>
        <v>Survey No. 374 P/A 2-16, Office No. 2, Left side of Entry Gate of Balkrushna Campus, Gir Gadhada Road, At. Una, Taluka Una, Dist. Gir Somnath - 362560</v>
      </c>
      <c r="AD234" s="8">
        <f>_xlfn.XLOOKUP(AA234, 'Agency List'!A$2:A$145, 'Agency List'!D$2:D$145, "Not Found")</f>
        <v>9824251035</v>
      </c>
      <c r="AE234" s="7"/>
      <c r="AF234" s="5" t="s">
        <v>817</v>
      </c>
      <c r="AG234" s="5" t="str">
        <f t="shared" si="45"/>
        <v>Bandhkam</v>
      </c>
      <c r="AH234" s="5"/>
      <c r="AI234" s="8"/>
      <c r="AJ234" s="8"/>
      <c r="AL234" s="16">
        <v>4</v>
      </c>
      <c r="AM234" s="12">
        <f t="shared" si="46"/>
        <v>76000</v>
      </c>
      <c r="AN234" s="7">
        <f t="shared" si="47"/>
        <v>46451</v>
      </c>
      <c r="AO234" s="12">
        <f t="shared" si="48"/>
        <v>3800</v>
      </c>
      <c r="AP234" s="12">
        <f t="shared" si="49"/>
        <v>0</v>
      </c>
      <c r="AQ234" s="15">
        <f t="shared" si="50"/>
        <v>46036</v>
      </c>
      <c r="AR234" s="7">
        <f t="shared" si="51"/>
        <v>46391</v>
      </c>
      <c r="AS234" s="5">
        <v>1016</v>
      </c>
      <c r="AT234" s="7">
        <v>45861</v>
      </c>
      <c r="AU234" s="5" t="s">
        <v>78</v>
      </c>
      <c r="AV234" s="17">
        <v>82</v>
      </c>
      <c r="AW234" s="37">
        <v>45881</v>
      </c>
      <c r="AX234" s="5" t="s">
        <v>355</v>
      </c>
      <c r="AY234" s="5" t="s">
        <v>605</v>
      </c>
      <c r="AZ234" s="44">
        <v>771613001573</v>
      </c>
      <c r="BA234" s="12">
        <v>76000</v>
      </c>
      <c r="BB234" s="7">
        <v>45868</v>
      </c>
      <c r="BC234" s="14"/>
      <c r="BD234" s="14"/>
      <c r="BF234" s="12"/>
      <c r="BG234" s="14"/>
      <c r="BH234" s="7">
        <v>45881</v>
      </c>
      <c r="BI234" s="5">
        <v>1060</v>
      </c>
      <c r="BJ234" s="19">
        <v>45881</v>
      </c>
      <c r="BM234" s="18"/>
      <c r="BN234" s="18"/>
      <c r="BO234" s="18"/>
      <c r="BP234" s="18"/>
      <c r="BQ234" s="5"/>
      <c r="BR234" s="18"/>
      <c r="BS234" s="18"/>
      <c r="BT234" s="35"/>
    </row>
    <row r="235" spans="1:72" ht="58" x14ac:dyDescent="0.35">
      <c r="A235" s="5">
        <v>234</v>
      </c>
      <c r="B235" s="5"/>
      <c r="C235" s="5" t="s">
        <v>78</v>
      </c>
      <c r="D235" s="5">
        <v>8</v>
      </c>
      <c r="E235" s="5">
        <v>128</v>
      </c>
      <c r="F235" s="8" t="s">
        <v>445</v>
      </c>
      <c r="G235" s="8"/>
      <c r="H235" s="5" t="s">
        <v>4</v>
      </c>
      <c r="I235" s="5" t="str" cm="1">
        <f t="array" ref="I235">_xlfn.IFS(
  H235="Mahuva", "Mahuva",
  H235="Jesar", "Mahuva",
  H235="Palitana", "Palitana",
  H235="Gariyadhar", "Palitana",
  H235="Talaja", "Talaja",
  H235="Vallabhipur", "Vallabhipur",
  H235="Umrala", "Vallabhipur",
  H235="Shihor", "Shihor",
  H235="Ghogha", "Bhavnagar",
  H235="Bhavnagar", "Bhavnagar"
)</f>
        <v>Talaja</v>
      </c>
      <c r="J235" s="5" t="s">
        <v>256</v>
      </c>
      <c r="K235" s="5" t="s">
        <v>417</v>
      </c>
      <c r="L235" s="5">
        <v>200234</v>
      </c>
      <c r="M235" s="5">
        <v>1</v>
      </c>
      <c r="N235" s="7">
        <v>45837</v>
      </c>
      <c r="O235" s="7">
        <v>45848</v>
      </c>
      <c r="P235" s="7">
        <v>45849</v>
      </c>
      <c r="Q235" s="7">
        <f t="shared" si="41"/>
        <v>45968</v>
      </c>
      <c r="R235" s="9">
        <v>1634615.63</v>
      </c>
      <c r="S235" s="33"/>
      <c r="T235" s="9">
        <v>1580182.93</v>
      </c>
      <c r="U235" s="10">
        <v>-3.33</v>
      </c>
      <c r="V235" s="10" t="str">
        <f t="shared" si="42"/>
        <v>Below</v>
      </c>
      <c r="W235" s="11" t="str" cm="1">
        <f t="array" ref="W235">NumberToWords(T235)</f>
        <v>Fifteen Lakh Eighty Thousand One Hundred Eighty Two Rupees and Ninety Three Paise Only</v>
      </c>
      <c r="X235" s="10" t="str">
        <f t="shared" si="43"/>
        <v>Division</v>
      </c>
      <c r="Z235" s="9">
        <f t="shared" si="44"/>
        <v>1580182.93</v>
      </c>
      <c r="AA235" s="5" t="s">
        <v>394</v>
      </c>
      <c r="AB235" s="8" t="str">
        <f>_xlfn.XLOOKUP(AA235, 'Agency List'!A$2:A$145, 'Agency List'!B$2:B$145, "Not Found")</f>
        <v xml:space="preserve">(1) Batiya Vishalbhai Vinubhai
(2) Dhandhukiya Umeshbhai </v>
      </c>
      <c r="AC235" s="8" t="str">
        <f>_xlfn.XLOOKUP(AA235, 'Agency List'!A$2:A$145, 'Agency List'!C$2:C$145, "Not Found")</f>
        <v>At. Dihor, Tana Varal Road, Shak Market, Ta. Talaja, Dist. Bhavnagar-364150</v>
      </c>
      <c r="AD235" s="8">
        <f>_xlfn.XLOOKUP(AA235, 'Agency List'!A$2:A$145, 'Agency List'!D$2:D$145, "Not Found")</f>
        <v>9067752267</v>
      </c>
      <c r="AE235" s="7"/>
      <c r="AF235" s="5" t="s">
        <v>817</v>
      </c>
      <c r="AG235" s="5" t="str">
        <f t="shared" si="45"/>
        <v>Bandhkam</v>
      </c>
      <c r="AH235" s="5"/>
      <c r="AI235" s="8"/>
      <c r="AJ235" s="8"/>
      <c r="AL235" s="16">
        <v>4</v>
      </c>
      <c r="AM235" s="12">
        <f t="shared" si="46"/>
        <v>80000</v>
      </c>
      <c r="AN235" s="7">
        <f t="shared" si="47"/>
        <v>46464</v>
      </c>
      <c r="AO235" s="12">
        <f t="shared" si="48"/>
        <v>4000</v>
      </c>
      <c r="AP235" s="12">
        <f t="shared" si="49"/>
        <v>0</v>
      </c>
      <c r="AQ235" s="15">
        <f t="shared" si="50"/>
        <v>46049</v>
      </c>
      <c r="AR235" s="7">
        <f t="shared" si="51"/>
        <v>46404</v>
      </c>
      <c r="AS235" s="5">
        <v>1017</v>
      </c>
      <c r="AT235" s="7">
        <v>45861</v>
      </c>
      <c r="AU235" s="5" t="s">
        <v>78</v>
      </c>
      <c r="AV235" s="17">
        <v>101</v>
      </c>
      <c r="AW235" s="37">
        <v>45894</v>
      </c>
      <c r="AX235" s="5" t="s">
        <v>355</v>
      </c>
      <c r="AY235" s="5" t="s">
        <v>369</v>
      </c>
      <c r="AZ235" s="13">
        <v>44378510403</v>
      </c>
      <c r="BA235" s="12">
        <v>80000</v>
      </c>
      <c r="BB235" s="7">
        <v>45883</v>
      </c>
      <c r="BC235" s="14"/>
      <c r="BD235" s="14"/>
      <c r="BF235" s="12"/>
      <c r="BG235" s="14"/>
      <c r="BH235" s="19">
        <v>45894</v>
      </c>
      <c r="BI235" s="5">
        <v>1186</v>
      </c>
      <c r="BJ235" s="19">
        <v>45894</v>
      </c>
      <c r="BM235" s="18"/>
      <c r="BN235" s="18"/>
      <c r="BO235" s="18"/>
      <c r="BP235" s="18"/>
      <c r="BQ235" s="5"/>
      <c r="BR235" s="18"/>
      <c r="BS235" s="18"/>
      <c r="BT235" s="35">
        <f>BH235+AL235*30</f>
        <v>46014</v>
      </c>
    </row>
    <row r="236" spans="1:72" ht="58" x14ac:dyDescent="0.35">
      <c r="A236" s="5">
        <v>235</v>
      </c>
      <c r="B236" s="5"/>
      <c r="C236" s="5" t="s">
        <v>78</v>
      </c>
      <c r="D236" s="5">
        <v>8</v>
      </c>
      <c r="E236" s="5">
        <v>129</v>
      </c>
      <c r="F236" s="8" t="s">
        <v>446</v>
      </c>
      <c r="G236" s="8"/>
      <c r="H236" s="5" t="s">
        <v>4</v>
      </c>
      <c r="I236" s="5" t="str" cm="1">
        <f t="array" ref="I236">_xlfn.IFS(
  H236="Mahuva", "Mahuva",
  H236="Jesar", "Mahuva",
  H236="Palitana", "Palitana",
  H236="Gariyadhar", "Palitana",
  H236="Talaja", "Talaja",
  H236="Vallabhipur", "Vallabhipur",
  H236="Umrala", "Vallabhipur",
  H236="Shihor", "Shihor",
  H236="Ghogha", "Bhavnagar",
  H236="Bhavnagar", "Bhavnagar"
)</f>
        <v>Talaja</v>
      </c>
      <c r="J236" s="5" t="s">
        <v>256</v>
      </c>
      <c r="K236" s="5" t="s">
        <v>417</v>
      </c>
      <c r="L236" s="5">
        <v>200236</v>
      </c>
      <c r="M236" s="5">
        <v>1</v>
      </c>
      <c r="N236" s="7">
        <v>45837</v>
      </c>
      <c r="O236" s="7">
        <v>45848</v>
      </c>
      <c r="P236" s="7">
        <v>45849</v>
      </c>
      <c r="Q236" s="7">
        <f t="shared" si="41"/>
        <v>45968</v>
      </c>
      <c r="R236" s="9">
        <v>1634615.63</v>
      </c>
      <c r="S236" s="33"/>
      <c r="T236" s="9">
        <v>1522154.07</v>
      </c>
      <c r="U236" s="10">
        <v>-6.88</v>
      </c>
      <c r="V236" s="10" t="str">
        <f t="shared" si="42"/>
        <v>Below</v>
      </c>
      <c r="W236" s="11" t="str" cm="1">
        <f t="array" ref="W236">NumberToWords(T236)</f>
        <v>Fifteen Lakh Twenty Two Thousand One Hundred Fifty Four Rupees and Seven Paise Only</v>
      </c>
      <c r="X236" s="10" t="str">
        <f t="shared" si="43"/>
        <v>Division</v>
      </c>
      <c r="Z236" s="9">
        <f t="shared" si="44"/>
        <v>1522154.07</v>
      </c>
      <c r="AA236" s="5" t="s">
        <v>394</v>
      </c>
      <c r="AB236" s="8" t="str">
        <f>_xlfn.XLOOKUP(AA236, 'Agency List'!A$2:A$145, 'Agency List'!B$2:B$145, "Not Found")</f>
        <v xml:space="preserve">(1) Batiya Vishalbhai Vinubhai
(2) Dhandhukiya Umeshbhai </v>
      </c>
      <c r="AC236" s="8" t="str">
        <f>_xlfn.XLOOKUP(AA236, 'Agency List'!A$2:A$145, 'Agency List'!C$2:C$145, "Not Found")</f>
        <v>At. Dihor, Tana Varal Road, Shak Market, Ta. Talaja, Dist. Bhavnagar-364150</v>
      </c>
      <c r="AD236" s="8">
        <f>_xlfn.XLOOKUP(AA236, 'Agency List'!A$2:A$145, 'Agency List'!D$2:D$145, "Not Found")</f>
        <v>9067752267</v>
      </c>
      <c r="AE236" s="7"/>
      <c r="AF236" s="5" t="s">
        <v>817</v>
      </c>
      <c r="AG236" s="5" t="str">
        <f t="shared" si="45"/>
        <v>Bandhkam</v>
      </c>
      <c r="AH236" s="5"/>
      <c r="AI236" s="8"/>
      <c r="AJ236" s="8"/>
      <c r="AL236" s="16">
        <v>4</v>
      </c>
      <c r="AM236" s="12">
        <f t="shared" si="46"/>
        <v>77000</v>
      </c>
      <c r="AN236" s="7">
        <f t="shared" si="47"/>
        <v>46492</v>
      </c>
      <c r="AO236" s="12">
        <f t="shared" si="48"/>
        <v>3800</v>
      </c>
      <c r="AP236" s="12">
        <f t="shared" si="49"/>
        <v>0</v>
      </c>
      <c r="AQ236" s="15">
        <f t="shared" si="50"/>
        <v>46077</v>
      </c>
      <c r="AR236" s="7">
        <f t="shared" si="51"/>
        <v>46432</v>
      </c>
      <c r="AS236" s="5">
        <v>1018</v>
      </c>
      <c r="AT236" s="7">
        <v>45861</v>
      </c>
      <c r="AU236" s="5" t="s">
        <v>78</v>
      </c>
      <c r="AV236" s="17">
        <v>160</v>
      </c>
      <c r="AW236" s="37">
        <v>45922</v>
      </c>
      <c r="AX236" s="5" t="s">
        <v>355</v>
      </c>
      <c r="AY236" s="5" t="s">
        <v>369</v>
      </c>
      <c r="AZ236" s="13">
        <v>44347236849</v>
      </c>
      <c r="BA236" s="12">
        <v>78000</v>
      </c>
      <c r="BB236" s="7">
        <v>45912</v>
      </c>
      <c r="BC236" s="14"/>
      <c r="BD236" s="14"/>
      <c r="BF236" s="12"/>
      <c r="BG236" s="14"/>
      <c r="BH236" s="19">
        <v>45922</v>
      </c>
      <c r="BI236" s="5">
        <v>1373</v>
      </c>
      <c r="BJ236" s="19">
        <v>45922</v>
      </c>
      <c r="BM236" s="18"/>
      <c r="BN236" s="18"/>
      <c r="BO236" s="18"/>
      <c r="BP236" s="18"/>
      <c r="BQ236" s="5"/>
      <c r="BR236" s="18"/>
      <c r="BS236" s="18"/>
      <c r="BT236" s="35">
        <f>BH236+AL236*30</f>
        <v>46042</v>
      </c>
    </row>
    <row r="237" spans="1:72" ht="43.5" x14ac:dyDescent="0.35">
      <c r="A237" s="5">
        <v>236</v>
      </c>
      <c r="B237" s="5"/>
      <c r="C237" s="5" t="s">
        <v>78</v>
      </c>
      <c r="D237" s="5">
        <v>8</v>
      </c>
      <c r="E237" s="5">
        <v>130</v>
      </c>
      <c r="F237" s="8" t="s">
        <v>447</v>
      </c>
      <c r="G237" s="8"/>
      <c r="H237" s="5" t="s">
        <v>4</v>
      </c>
      <c r="I237" s="5" t="str" cm="1">
        <f t="array" ref="I237">_xlfn.IFS(
  H237="Mahuva", "Mahuva",
  H237="Jesar", "Mahuva",
  H237="Palitana", "Palitana",
  H237="Gariyadhar", "Palitana",
  H237="Talaja", "Talaja",
  H237="Vallabhipur", "Vallabhipur",
  H237="Umrala", "Vallabhipur",
  H237="Shihor", "Shihor",
  H237="Ghogha", "Bhavnagar",
  H237="Bhavnagar", "Bhavnagar"
)</f>
        <v>Talaja</v>
      </c>
      <c r="J237" s="5" t="s">
        <v>256</v>
      </c>
      <c r="K237" s="5" t="s">
        <v>417</v>
      </c>
      <c r="L237" s="5">
        <v>200237</v>
      </c>
      <c r="M237" s="5">
        <v>1</v>
      </c>
      <c r="N237" s="7">
        <v>45837</v>
      </c>
      <c r="O237" s="7">
        <v>45848</v>
      </c>
      <c r="P237" s="7">
        <v>45849</v>
      </c>
      <c r="Q237" s="7">
        <f t="shared" si="41"/>
        <v>45968</v>
      </c>
      <c r="R237" s="9">
        <v>1634615.63</v>
      </c>
      <c r="S237" s="33"/>
      <c r="T237" s="9">
        <v>1607481.01</v>
      </c>
      <c r="U237" s="10">
        <v>-1.66</v>
      </c>
      <c r="V237" s="10" t="str">
        <f t="shared" si="42"/>
        <v>Below</v>
      </c>
      <c r="W237" s="11" t="str" cm="1">
        <f t="array" ref="W237">NumberToWords(T237)</f>
        <v>Sixteen Lakh Seven Thousand Four Hundred Eighty One Rupees and One Paise Only</v>
      </c>
      <c r="X237" s="10" t="str">
        <f t="shared" si="43"/>
        <v>Division</v>
      </c>
      <c r="Z237" s="9">
        <f t="shared" si="44"/>
        <v>1607481.01</v>
      </c>
      <c r="AA237" s="5" t="s">
        <v>414</v>
      </c>
      <c r="AB237" s="8">
        <f>_xlfn.XLOOKUP(AA237, 'Agency List'!A$2:A$145, 'Agency List'!B$2:B$145, "Not Found")</f>
        <v>0</v>
      </c>
      <c r="AC237" s="8" t="str">
        <f>_xlfn.XLOOKUP(AA237, 'Agency List'!A$2:A$145, 'Agency List'!C$2:C$145, "Not Found")</f>
        <v>185, Reliya Plot Vistar, Reliya, Tal. Talaja, Dist. Bhavnagar-364135</v>
      </c>
      <c r="AD237" s="8">
        <f>_xlfn.XLOOKUP(AA237, 'Agency List'!A$2:A$145, 'Agency List'!D$2:D$145, "Not Found")</f>
        <v>9737944545</v>
      </c>
      <c r="AE237" s="7"/>
      <c r="AF237" s="5" t="s">
        <v>817</v>
      </c>
      <c r="AG237" s="5" t="str">
        <f t="shared" si="45"/>
        <v>Bandhkam</v>
      </c>
      <c r="AH237" s="5"/>
      <c r="AI237" s="8"/>
      <c r="AJ237" s="8"/>
      <c r="AL237" s="16">
        <v>4</v>
      </c>
      <c r="AM237" s="12">
        <f t="shared" si="46"/>
        <v>81000</v>
      </c>
      <c r="AN237" s="7">
        <f t="shared" si="47"/>
        <v>46451</v>
      </c>
      <c r="AO237" s="12">
        <f t="shared" si="48"/>
        <v>4000</v>
      </c>
      <c r="AP237" s="12">
        <f t="shared" si="49"/>
        <v>0</v>
      </c>
      <c r="AQ237" s="15">
        <f t="shared" si="50"/>
        <v>46036</v>
      </c>
      <c r="AR237" s="7">
        <f t="shared" si="51"/>
        <v>46391</v>
      </c>
      <c r="AS237" s="5">
        <v>1019</v>
      </c>
      <c r="AT237" s="7">
        <v>45861</v>
      </c>
      <c r="AU237" s="5" t="s">
        <v>78</v>
      </c>
      <c r="AV237" s="17">
        <v>77</v>
      </c>
      <c r="AW237" s="37">
        <v>45881</v>
      </c>
      <c r="AX237" s="5" t="s">
        <v>355</v>
      </c>
      <c r="AY237" s="5" t="s">
        <v>369</v>
      </c>
      <c r="AZ237" s="13">
        <v>44339292582</v>
      </c>
      <c r="BA237" s="12">
        <v>81000</v>
      </c>
      <c r="BB237" s="7">
        <v>45871</v>
      </c>
      <c r="BC237" s="14"/>
      <c r="BD237" s="14"/>
      <c r="BF237" s="12"/>
      <c r="BG237" s="14"/>
      <c r="BH237" s="7">
        <v>45881</v>
      </c>
      <c r="BI237" s="5">
        <v>1055</v>
      </c>
      <c r="BJ237" s="19">
        <v>45881</v>
      </c>
      <c r="BM237" s="18"/>
      <c r="BN237" s="18"/>
      <c r="BO237" s="18"/>
      <c r="BP237" s="18"/>
      <c r="BQ237" s="5"/>
      <c r="BR237" s="18"/>
      <c r="BS237" s="18"/>
      <c r="BT237" s="35"/>
    </row>
    <row r="238" spans="1:72" ht="58" x14ac:dyDescent="0.35">
      <c r="A238" s="5">
        <v>237</v>
      </c>
      <c r="B238" s="5"/>
      <c r="C238" s="5" t="s">
        <v>78</v>
      </c>
      <c r="D238" s="5">
        <v>8</v>
      </c>
      <c r="E238" s="5">
        <v>131</v>
      </c>
      <c r="F238" s="8" t="s">
        <v>448</v>
      </c>
      <c r="G238" s="8"/>
      <c r="H238" s="5" t="s">
        <v>4</v>
      </c>
      <c r="I238" s="5" t="str" cm="1">
        <f t="array" ref="I238">_xlfn.IFS(
  H238="Mahuva", "Mahuva",
  H238="Jesar", "Mahuva",
  H238="Palitana", "Palitana",
  H238="Gariyadhar", "Palitana",
  H238="Talaja", "Talaja",
  H238="Vallabhipur", "Vallabhipur",
  H238="Umrala", "Vallabhipur",
  H238="Shihor", "Shihor",
  H238="Ghogha", "Bhavnagar",
  H238="Bhavnagar", "Bhavnagar"
)</f>
        <v>Talaja</v>
      </c>
      <c r="J238" s="5" t="s">
        <v>256</v>
      </c>
      <c r="K238" s="5" t="s">
        <v>417</v>
      </c>
      <c r="L238" s="5">
        <v>200360</v>
      </c>
      <c r="M238" s="5">
        <v>1</v>
      </c>
      <c r="N238" s="7">
        <v>45837</v>
      </c>
      <c r="O238" s="7">
        <v>45848</v>
      </c>
      <c r="P238" s="7">
        <v>45849</v>
      </c>
      <c r="Q238" s="7">
        <f t="shared" si="41"/>
        <v>45968</v>
      </c>
      <c r="R238" s="9">
        <v>806983.54</v>
      </c>
      <c r="S238" s="33"/>
      <c r="T238" s="9">
        <v>772928.83</v>
      </c>
      <c r="U238" s="10">
        <v>-4.22</v>
      </c>
      <c r="V238" s="10" t="str">
        <f t="shared" si="42"/>
        <v>Below</v>
      </c>
      <c r="W238" s="11" t="str" cm="1">
        <f t="array" ref="W238">NumberToWords(T238)</f>
        <v>Seven Lakh Seventy Two Thousand Nine Hundred Twenty Eight Rupees and Eighty Three Paise Only</v>
      </c>
      <c r="X238" s="10" t="str">
        <f t="shared" si="43"/>
        <v>Division</v>
      </c>
      <c r="Z238" s="9">
        <f t="shared" si="44"/>
        <v>772928.83</v>
      </c>
      <c r="AA238" s="5" t="s">
        <v>413</v>
      </c>
      <c r="AB238" s="8">
        <f>_xlfn.XLOOKUP(AA238, 'Agency List'!A$2:A$145, 'Agency List'!B$2:B$145, "Not Found")</f>
        <v>0</v>
      </c>
      <c r="AC238" s="8" t="str">
        <f>_xlfn.XLOOKUP(AA238, 'Agency List'!A$2:A$145, 'Agency List'!C$2:C$145, "Not Found")</f>
        <v xml:space="preserve">F-8, 1st Floor, Radhe City Center, Bapa Sitaram Chowk, Talaja, Dist. Bhavnagar
</v>
      </c>
      <c r="AD238" s="8">
        <f>_xlfn.XLOOKUP(AA238, 'Agency List'!A$2:A$145, 'Agency List'!D$2:D$145, "Not Found")</f>
        <v>7984290006</v>
      </c>
      <c r="AE238" s="7"/>
      <c r="AF238" s="5" t="s">
        <v>817</v>
      </c>
      <c r="AG238" s="5" t="str">
        <f t="shared" si="45"/>
        <v>Bandhkam</v>
      </c>
      <c r="AH238" s="5"/>
      <c r="AI238" s="8"/>
      <c r="AJ238" s="8"/>
      <c r="AL238" s="16">
        <v>3</v>
      </c>
      <c r="AM238" s="12">
        <f t="shared" si="46"/>
        <v>39000</v>
      </c>
      <c r="AN238" s="7">
        <f t="shared" si="47"/>
        <v>46441</v>
      </c>
      <c r="AO238" s="12">
        <f t="shared" si="48"/>
        <v>2000</v>
      </c>
      <c r="AP238" s="12">
        <f t="shared" si="49"/>
        <v>0</v>
      </c>
      <c r="AQ238" s="15">
        <f t="shared" si="50"/>
        <v>46026</v>
      </c>
      <c r="AR238" s="7">
        <f t="shared" si="51"/>
        <v>46381</v>
      </c>
      <c r="AS238" s="5">
        <v>1020</v>
      </c>
      <c r="AT238" s="7">
        <v>45861</v>
      </c>
      <c r="AU238" s="5" t="s">
        <v>78</v>
      </c>
      <c r="AV238" s="17">
        <v>129</v>
      </c>
      <c r="AW238" s="37">
        <v>45901</v>
      </c>
      <c r="AX238" s="5" t="s">
        <v>355</v>
      </c>
      <c r="AY238" s="5" t="s">
        <v>369</v>
      </c>
      <c r="AZ238" s="13">
        <v>44344833241</v>
      </c>
      <c r="BA238" s="12">
        <v>39000</v>
      </c>
      <c r="BB238" s="7">
        <v>45873</v>
      </c>
      <c r="BC238" s="14"/>
      <c r="BD238" s="14"/>
      <c r="BF238" s="12"/>
      <c r="BG238" s="14"/>
      <c r="BH238" s="37">
        <v>45901</v>
      </c>
      <c r="BI238" s="5">
        <v>1236</v>
      </c>
      <c r="BJ238" s="19">
        <v>45901</v>
      </c>
      <c r="BM238" s="18"/>
      <c r="BN238" s="18"/>
      <c r="BO238" s="18"/>
      <c r="BP238" s="18"/>
      <c r="BQ238" s="5"/>
      <c r="BR238" s="18"/>
      <c r="BS238" s="18"/>
      <c r="BT238" s="35">
        <f>BH238+AL238*30</f>
        <v>45991</v>
      </c>
    </row>
    <row r="239" spans="1:72" ht="43.5" x14ac:dyDescent="0.35">
      <c r="A239" s="5">
        <v>238</v>
      </c>
      <c r="B239" s="5"/>
      <c r="C239" s="5" t="s">
        <v>78</v>
      </c>
      <c r="D239" s="5">
        <v>8</v>
      </c>
      <c r="E239" s="5">
        <v>132</v>
      </c>
      <c r="F239" s="8" t="s">
        <v>439</v>
      </c>
      <c r="G239" s="8"/>
      <c r="H239" s="5" t="s">
        <v>4</v>
      </c>
      <c r="I239" s="5" t="str" cm="1">
        <f t="array" ref="I239">_xlfn.IFS(
  H239="Mahuva", "Mahuva",
  H239="Jesar", "Mahuva",
  H239="Palitana", "Palitana",
  H239="Gariyadhar", "Palitana",
  H239="Talaja", "Talaja",
  H239="Vallabhipur", "Vallabhipur",
  H239="Umrala", "Vallabhipur",
  H239="Shihor", "Shihor",
  H239="Ghogha", "Bhavnagar",
  H239="Bhavnagar", "Bhavnagar"
)</f>
        <v>Talaja</v>
      </c>
      <c r="J239" s="5" t="s">
        <v>256</v>
      </c>
      <c r="K239" s="5" t="s">
        <v>417</v>
      </c>
      <c r="L239" s="5">
        <v>200362</v>
      </c>
      <c r="M239" s="5">
        <v>1</v>
      </c>
      <c r="N239" s="7">
        <v>45837</v>
      </c>
      <c r="O239" s="7">
        <v>45848</v>
      </c>
      <c r="P239" s="7">
        <v>45849</v>
      </c>
      <c r="Q239" s="7">
        <f t="shared" si="41"/>
        <v>45968</v>
      </c>
      <c r="R239" s="9">
        <v>806983.54</v>
      </c>
      <c r="S239" s="33"/>
      <c r="T239" s="9">
        <v>776318.17</v>
      </c>
      <c r="U239" s="10">
        <v>-3.8</v>
      </c>
      <c r="V239" s="10" t="str">
        <f t="shared" si="42"/>
        <v>Below</v>
      </c>
      <c r="W239" s="11" t="str" cm="1">
        <f t="array" ref="W239">NumberToWords(T239)</f>
        <v>Seven Lakh Seventy Six Thousand Three Hundred Eighteen Rupees and Seventeen Paise Only</v>
      </c>
      <c r="X239" s="10" t="str">
        <f t="shared" si="43"/>
        <v>Division</v>
      </c>
      <c r="Z239" s="9">
        <f t="shared" si="44"/>
        <v>776318.17</v>
      </c>
      <c r="AA239" s="5" t="s">
        <v>174</v>
      </c>
      <c r="AB239" s="8" t="str">
        <f>_xlfn.XLOOKUP(AA239, 'Agency List'!A$2:A$145, 'Agency List'!B$2:B$145, "Not Found")</f>
        <v>NANKUBHAI DUDABHAI BARAL</v>
      </c>
      <c r="AC239" s="8" t="str">
        <f>_xlfn.XLOOKUP(AA239, 'Agency List'!A$2:A$145, 'Agency List'!C$2:C$145, "Not Found")</f>
        <v>UMARLA, Ta. TALAJA, Dist. BHAVNAGAR-364150</v>
      </c>
      <c r="AD239" s="8">
        <f>_xlfn.XLOOKUP(AA239, 'Agency List'!A$2:A$145, 'Agency List'!D$2:D$145, "Not Found")</f>
        <v>9510897273</v>
      </c>
      <c r="AE239" s="7"/>
      <c r="AF239" s="5" t="s">
        <v>817</v>
      </c>
      <c r="AG239" s="5" t="str">
        <f t="shared" si="45"/>
        <v>Bandhkam</v>
      </c>
      <c r="AH239" s="5"/>
      <c r="AI239" s="8"/>
      <c r="AJ239" s="8"/>
      <c r="AL239" s="16">
        <v>3</v>
      </c>
      <c r="AM239" s="12">
        <f t="shared" si="46"/>
        <v>39000</v>
      </c>
      <c r="AN239" s="7">
        <f t="shared" si="47"/>
        <v>46421</v>
      </c>
      <c r="AO239" s="12">
        <f t="shared" si="48"/>
        <v>2000</v>
      </c>
      <c r="AP239" s="12">
        <f t="shared" si="49"/>
        <v>0</v>
      </c>
      <c r="AQ239" s="15">
        <f t="shared" si="50"/>
        <v>46006</v>
      </c>
      <c r="AR239" s="7">
        <f t="shared" si="51"/>
        <v>46361</v>
      </c>
      <c r="AS239" s="5">
        <v>1021</v>
      </c>
      <c r="AT239" s="7">
        <v>45861</v>
      </c>
      <c r="AU239" s="5" t="s">
        <v>78</v>
      </c>
      <c r="AV239" s="17">
        <v>79</v>
      </c>
      <c r="AW239" s="37">
        <v>45881</v>
      </c>
      <c r="AX239" s="5" t="s">
        <v>355</v>
      </c>
      <c r="AY239" s="5" t="s">
        <v>356</v>
      </c>
      <c r="AZ239" s="13">
        <v>78048938022</v>
      </c>
      <c r="BA239" s="12">
        <v>39000</v>
      </c>
      <c r="BB239" s="7">
        <v>45880</v>
      </c>
      <c r="BC239" s="14"/>
      <c r="BD239" s="14"/>
      <c r="BF239" s="12"/>
      <c r="BG239" s="14"/>
      <c r="BH239" s="7">
        <v>45881</v>
      </c>
      <c r="BI239" s="5">
        <v>1057</v>
      </c>
      <c r="BJ239" s="19">
        <v>45881</v>
      </c>
      <c r="BM239" s="18"/>
      <c r="BN239" s="18"/>
      <c r="BO239" s="18"/>
      <c r="BP239" s="18"/>
      <c r="BQ239" s="5"/>
      <c r="BR239" s="18"/>
      <c r="BS239" s="18"/>
      <c r="BT239" s="35"/>
    </row>
    <row r="240" spans="1:72" ht="43.5" x14ac:dyDescent="0.35">
      <c r="A240" s="5">
        <v>239</v>
      </c>
      <c r="B240" s="5"/>
      <c r="C240" s="5" t="s">
        <v>78</v>
      </c>
      <c r="D240" s="5">
        <v>8</v>
      </c>
      <c r="E240" s="5">
        <v>133</v>
      </c>
      <c r="F240" s="8" t="s">
        <v>440</v>
      </c>
      <c r="G240" s="8"/>
      <c r="H240" s="5" t="s">
        <v>4</v>
      </c>
      <c r="I240" s="5" t="str" cm="1">
        <f t="array" ref="I240">_xlfn.IFS(
  H240="Mahuva", "Mahuva",
  H240="Jesar", "Mahuva",
  H240="Palitana", "Palitana",
  H240="Gariyadhar", "Palitana",
  H240="Talaja", "Talaja",
  H240="Vallabhipur", "Vallabhipur",
  H240="Umrala", "Vallabhipur",
  H240="Shihor", "Shihor",
  H240="Ghogha", "Bhavnagar",
  H240="Bhavnagar", "Bhavnagar"
)</f>
        <v>Talaja</v>
      </c>
      <c r="J240" s="5" t="s">
        <v>256</v>
      </c>
      <c r="K240" s="5" t="s">
        <v>417</v>
      </c>
      <c r="L240" s="5">
        <v>200365</v>
      </c>
      <c r="M240" s="5">
        <v>1</v>
      </c>
      <c r="N240" s="7">
        <v>45837</v>
      </c>
      <c r="O240" s="7">
        <v>45848</v>
      </c>
      <c r="P240" s="7">
        <v>45849</v>
      </c>
      <c r="Q240" s="7">
        <f t="shared" si="41"/>
        <v>45968</v>
      </c>
      <c r="R240" s="9">
        <v>806983.54</v>
      </c>
      <c r="S240" s="33"/>
      <c r="T240" s="9">
        <v>765746.68</v>
      </c>
      <c r="U240" s="10">
        <v>-5.1100000000000003</v>
      </c>
      <c r="V240" s="10" t="str">
        <f t="shared" si="42"/>
        <v>Below</v>
      </c>
      <c r="W240" s="11" t="str" cm="1">
        <f t="array" ref="W240">NumberToWords(T240)</f>
        <v>Seven Lakh Sixty Five Thousand Seven Hundred Forty Six Rupees and Sixty Eight Paise Only</v>
      </c>
      <c r="X240" s="10" t="str">
        <f t="shared" si="43"/>
        <v>Division</v>
      </c>
      <c r="Z240" s="9">
        <f t="shared" si="44"/>
        <v>765746.68</v>
      </c>
      <c r="AA240" s="5" t="s">
        <v>174</v>
      </c>
      <c r="AB240" s="8" t="str">
        <f>_xlfn.XLOOKUP(AA240, 'Agency List'!A$2:A$145, 'Agency List'!B$2:B$145, "Not Found")</f>
        <v>NANKUBHAI DUDABHAI BARAL</v>
      </c>
      <c r="AC240" s="8" t="str">
        <f>_xlfn.XLOOKUP(AA240, 'Agency List'!A$2:A$145, 'Agency List'!C$2:C$145, "Not Found")</f>
        <v>UMARLA, Ta. TALAJA, Dist. BHAVNAGAR-364150</v>
      </c>
      <c r="AD240" s="8">
        <f>_xlfn.XLOOKUP(AA240, 'Agency List'!A$2:A$145, 'Agency List'!D$2:D$145, "Not Found")</f>
        <v>9510897273</v>
      </c>
      <c r="AE240" s="7"/>
      <c r="AF240" s="5" t="s">
        <v>817</v>
      </c>
      <c r="AG240" s="5" t="str">
        <f t="shared" si="45"/>
        <v>Bandhkam</v>
      </c>
      <c r="AH240" s="5"/>
      <c r="AI240" s="8"/>
      <c r="AJ240" s="8"/>
      <c r="AL240" s="16">
        <v>3</v>
      </c>
      <c r="AM240" s="12">
        <f t="shared" si="46"/>
        <v>39000</v>
      </c>
      <c r="AN240" s="7">
        <f t="shared" si="47"/>
        <v>46421</v>
      </c>
      <c r="AO240" s="12">
        <f t="shared" si="48"/>
        <v>2000</v>
      </c>
      <c r="AP240" s="12">
        <f t="shared" si="49"/>
        <v>0</v>
      </c>
      <c r="AQ240" s="15">
        <f t="shared" si="50"/>
        <v>46006</v>
      </c>
      <c r="AR240" s="7">
        <f t="shared" si="51"/>
        <v>46361</v>
      </c>
      <c r="AS240" s="5">
        <v>1022</v>
      </c>
      <c r="AT240" s="7">
        <v>45861</v>
      </c>
      <c r="AU240" s="5" t="s">
        <v>78</v>
      </c>
      <c r="AV240" s="17">
        <v>78</v>
      </c>
      <c r="AW240" s="37">
        <v>45881</v>
      </c>
      <c r="AX240" s="5" t="s">
        <v>355</v>
      </c>
      <c r="AY240" s="5" t="s">
        <v>356</v>
      </c>
      <c r="AZ240" s="13">
        <v>78048938044</v>
      </c>
      <c r="BA240" s="12">
        <v>39000</v>
      </c>
      <c r="BB240" s="7">
        <v>45880</v>
      </c>
      <c r="BC240" s="14"/>
      <c r="BD240" s="14"/>
      <c r="BF240" s="12"/>
      <c r="BG240" s="14"/>
      <c r="BH240" s="7">
        <v>45881</v>
      </c>
      <c r="BI240" s="5">
        <v>1056</v>
      </c>
      <c r="BJ240" s="19">
        <v>45881</v>
      </c>
      <c r="BM240" s="18"/>
      <c r="BN240" s="18"/>
      <c r="BO240" s="18"/>
      <c r="BP240" s="18"/>
      <c r="BQ240" s="5"/>
      <c r="BR240" s="18"/>
      <c r="BS240" s="18"/>
      <c r="BT240" s="35"/>
    </row>
    <row r="241" spans="1:72" ht="58" x14ac:dyDescent="0.35">
      <c r="A241" s="5">
        <v>240</v>
      </c>
      <c r="B241" s="5"/>
      <c r="C241" s="5" t="s">
        <v>78</v>
      </c>
      <c r="D241" s="5">
        <v>8</v>
      </c>
      <c r="E241" s="5">
        <v>134</v>
      </c>
      <c r="F241" s="8" t="s">
        <v>449</v>
      </c>
      <c r="G241" s="8"/>
      <c r="H241" s="5" t="s">
        <v>4</v>
      </c>
      <c r="I241" s="5" t="str" cm="1">
        <f t="array" ref="I241">_xlfn.IFS(
  H241="Mahuva", "Mahuva",
  H241="Jesar", "Mahuva",
  H241="Palitana", "Palitana",
  H241="Gariyadhar", "Palitana",
  H241="Talaja", "Talaja",
  H241="Vallabhipur", "Vallabhipur",
  H241="Umrala", "Vallabhipur",
  H241="Shihor", "Shihor",
  H241="Ghogha", "Bhavnagar",
  H241="Bhavnagar", "Bhavnagar"
)</f>
        <v>Talaja</v>
      </c>
      <c r="J241" s="5" t="s">
        <v>256</v>
      </c>
      <c r="K241" s="5" t="s">
        <v>417</v>
      </c>
      <c r="L241" s="5">
        <v>200369</v>
      </c>
      <c r="M241" s="5">
        <v>1</v>
      </c>
      <c r="N241" s="7">
        <v>45837</v>
      </c>
      <c r="O241" s="7">
        <v>45848</v>
      </c>
      <c r="P241" s="7">
        <v>45849</v>
      </c>
      <c r="Q241" s="7">
        <f t="shared" si="41"/>
        <v>45968</v>
      </c>
      <c r="R241" s="9">
        <v>806983.54</v>
      </c>
      <c r="S241" s="33"/>
      <c r="T241" s="9">
        <v>767602.74</v>
      </c>
      <c r="U241" s="10">
        <v>-4.88</v>
      </c>
      <c r="V241" s="10" t="str">
        <f t="shared" si="42"/>
        <v>Below</v>
      </c>
      <c r="W241" s="11" t="str" cm="1">
        <f t="array" ref="W241">NumberToWords(T241)</f>
        <v>Seven Lakh Sixty Seven Thousand Six Hundred Two Rupees and Seventy Four Paise Only</v>
      </c>
      <c r="X241" s="10" t="str">
        <f t="shared" si="43"/>
        <v>Division</v>
      </c>
      <c r="Z241" s="9">
        <f t="shared" si="44"/>
        <v>767602.74</v>
      </c>
      <c r="AA241" s="5" t="s">
        <v>394</v>
      </c>
      <c r="AB241" s="8" t="str">
        <f>_xlfn.XLOOKUP(AA241, 'Agency List'!A$2:A$145, 'Agency List'!B$2:B$145, "Not Found")</f>
        <v xml:space="preserve">(1) Batiya Vishalbhai Vinubhai
(2) Dhandhukiya Umeshbhai </v>
      </c>
      <c r="AC241" s="8" t="str">
        <f>_xlfn.XLOOKUP(AA241, 'Agency List'!A$2:A$145, 'Agency List'!C$2:C$145, "Not Found")</f>
        <v>At. Dihor, Tana Varal Road, Shak Market, Ta. Talaja, Dist. Bhavnagar-364150</v>
      </c>
      <c r="AD241" s="8">
        <f>_xlfn.XLOOKUP(AA241, 'Agency List'!A$2:A$145, 'Agency List'!D$2:D$145, "Not Found")</f>
        <v>9067752267</v>
      </c>
      <c r="AE241" s="7"/>
      <c r="AF241" s="5" t="s">
        <v>817</v>
      </c>
      <c r="AG241" s="5" t="str">
        <f t="shared" si="45"/>
        <v>Bandhkam</v>
      </c>
      <c r="AH241" s="5"/>
      <c r="AI241" s="8"/>
      <c r="AJ241" s="8"/>
      <c r="AL241" s="16">
        <v>3</v>
      </c>
      <c r="AM241" s="12">
        <f t="shared" si="46"/>
        <v>39000</v>
      </c>
      <c r="AN241" s="7">
        <f t="shared" si="47"/>
        <v>46069</v>
      </c>
      <c r="AO241" s="12">
        <f t="shared" si="48"/>
        <v>2000</v>
      </c>
      <c r="AP241" s="12">
        <f t="shared" si="49"/>
        <v>0</v>
      </c>
      <c r="AQ241" s="15">
        <f t="shared" si="50"/>
        <v>45654</v>
      </c>
      <c r="AR241" s="7">
        <f t="shared" si="51"/>
        <v>46009</v>
      </c>
      <c r="AS241" s="5">
        <v>1023</v>
      </c>
      <c r="AT241" s="7">
        <v>45861</v>
      </c>
      <c r="AU241" s="5" t="s">
        <v>78</v>
      </c>
      <c r="AV241" s="17">
        <v>102</v>
      </c>
      <c r="AW241" s="37">
        <v>45894</v>
      </c>
      <c r="AX241" s="5" t="s">
        <v>355</v>
      </c>
      <c r="AY241" s="5" t="s">
        <v>369</v>
      </c>
      <c r="AZ241" s="13">
        <v>44378495825</v>
      </c>
      <c r="BA241" s="12">
        <v>39000</v>
      </c>
      <c r="BB241" s="7">
        <v>45883</v>
      </c>
      <c r="BC241" s="14"/>
      <c r="BD241" s="14"/>
      <c r="BF241" s="12"/>
      <c r="BG241" s="14"/>
      <c r="BH241" s="19">
        <v>45529</v>
      </c>
      <c r="BI241" s="5">
        <v>1187</v>
      </c>
      <c r="BJ241" s="19">
        <v>45894</v>
      </c>
      <c r="BM241" s="18"/>
      <c r="BN241" s="18"/>
      <c r="BO241" s="18"/>
      <c r="BP241" s="18"/>
      <c r="BQ241" s="5"/>
      <c r="BR241" s="18"/>
      <c r="BS241" s="18"/>
      <c r="BT241" s="35">
        <f>BH241+AL241*30</f>
        <v>45619</v>
      </c>
    </row>
    <row r="242" spans="1:72" ht="43.5" x14ac:dyDescent="0.35">
      <c r="A242" s="5">
        <v>241</v>
      </c>
      <c r="B242" s="5"/>
      <c r="C242" s="5" t="s">
        <v>78</v>
      </c>
      <c r="D242" s="5">
        <v>8</v>
      </c>
      <c r="E242" s="5">
        <v>135</v>
      </c>
      <c r="F242" s="8" t="s">
        <v>450</v>
      </c>
      <c r="G242" s="8"/>
      <c r="H242" s="5" t="s">
        <v>4</v>
      </c>
      <c r="I242" s="5" t="str" cm="1">
        <f t="array" ref="I242">_xlfn.IFS(
  H242="Mahuva", "Mahuva",
  H242="Jesar", "Mahuva",
  H242="Palitana", "Palitana",
  H242="Gariyadhar", "Palitana",
  H242="Talaja", "Talaja",
  H242="Vallabhipur", "Vallabhipur",
  H242="Umrala", "Vallabhipur",
  H242="Shihor", "Shihor",
  H242="Ghogha", "Bhavnagar",
  H242="Bhavnagar", "Bhavnagar"
)</f>
        <v>Talaja</v>
      </c>
      <c r="J242" s="5" t="s">
        <v>256</v>
      </c>
      <c r="K242" s="5" t="s">
        <v>417</v>
      </c>
      <c r="L242" s="5">
        <v>200373</v>
      </c>
      <c r="M242" s="5">
        <v>1</v>
      </c>
      <c r="N242" s="7">
        <v>45837</v>
      </c>
      <c r="O242" s="7">
        <v>45848</v>
      </c>
      <c r="P242" s="7">
        <v>45849</v>
      </c>
      <c r="Q242" s="7">
        <f t="shared" si="41"/>
        <v>45968</v>
      </c>
      <c r="R242" s="9">
        <v>806983.54</v>
      </c>
      <c r="S242" s="33"/>
      <c r="T242" s="9">
        <v>796250.66</v>
      </c>
      <c r="U242" s="10">
        <v>-1.33</v>
      </c>
      <c r="V242" s="10" t="str">
        <f t="shared" si="42"/>
        <v>Below</v>
      </c>
      <c r="W242" s="11" t="str" cm="1">
        <f t="array" ref="W242">NumberToWords(T242)</f>
        <v>Seven Lakh Ninety Six Thousand Two Hundred Fifty Rupees and Sixty Six Paise Only</v>
      </c>
      <c r="X242" s="10" t="str">
        <f t="shared" si="43"/>
        <v>Division</v>
      </c>
      <c r="Z242" s="9">
        <f t="shared" si="44"/>
        <v>796250.66</v>
      </c>
      <c r="AA242" s="5" t="s">
        <v>414</v>
      </c>
      <c r="AB242" s="8">
        <f>_xlfn.XLOOKUP(AA242, 'Agency List'!A$2:A$145, 'Agency List'!B$2:B$145, "Not Found")</f>
        <v>0</v>
      </c>
      <c r="AC242" s="8" t="str">
        <f>_xlfn.XLOOKUP(AA242, 'Agency List'!A$2:A$145, 'Agency List'!C$2:C$145, "Not Found")</f>
        <v>185, Reliya Plot Vistar, Reliya, Tal. Talaja, Dist. Bhavnagar-364135</v>
      </c>
      <c r="AD242" s="8">
        <f>_xlfn.XLOOKUP(AA242, 'Agency List'!A$2:A$145, 'Agency List'!D$2:D$145, "Not Found")</f>
        <v>9737944545</v>
      </c>
      <c r="AE242" s="7"/>
      <c r="AF242" s="5" t="s">
        <v>817</v>
      </c>
      <c r="AG242" s="5" t="str">
        <f t="shared" si="45"/>
        <v>Bandhkam</v>
      </c>
      <c r="AH242" s="5"/>
      <c r="AI242" s="8"/>
      <c r="AJ242" s="8"/>
      <c r="AL242" s="16">
        <v>3</v>
      </c>
      <c r="AM242" s="12">
        <f t="shared" si="46"/>
        <v>40000</v>
      </c>
      <c r="AN242" s="7">
        <f t="shared" si="47"/>
        <v>46421</v>
      </c>
      <c r="AO242" s="12">
        <f t="shared" si="48"/>
        <v>2000</v>
      </c>
      <c r="AP242" s="12">
        <f t="shared" si="49"/>
        <v>0</v>
      </c>
      <c r="AQ242" s="15">
        <f t="shared" si="50"/>
        <v>46006</v>
      </c>
      <c r="AR242" s="7">
        <f t="shared" si="51"/>
        <v>46361</v>
      </c>
      <c r="AS242" s="5">
        <v>1024</v>
      </c>
      <c r="AT242" s="7">
        <v>45861</v>
      </c>
      <c r="AU242" s="5" t="s">
        <v>78</v>
      </c>
      <c r="AV242" s="17">
        <v>76</v>
      </c>
      <c r="AW242" s="37">
        <v>45881</v>
      </c>
      <c r="AX242" s="5" t="s">
        <v>355</v>
      </c>
      <c r="AY242" s="5" t="s">
        <v>369</v>
      </c>
      <c r="AZ242" s="13">
        <v>44339498163</v>
      </c>
      <c r="BA242" s="12">
        <v>40000</v>
      </c>
      <c r="BB242" s="7">
        <v>45871</v>
      </c>
      <c r="BC242" s="14"/>
      <c r="BD242" s="14"/>
      <c r="BF242" s="12"/>
      <c r="BG242" s="14"/>
      <c r="BH242" s="7">
        <v>45881</v>
      </c>
      <c r="BI242" s="5">
        <v>1054</v>
      </c>
      <c r="BJ242" s="19">
        <v>45881</v>
      </c>
      <c r="BM242" s="18"/>
      <c r="BN242" s="18"/>
      <c r="BO242" s="18"/>
      <c r="BP242" s="18"/>
      <c r="BQ242" s="5"/>
      <c r="BR242" s="18"/>
      <c r="BS242" s="18"/>
      <c r="BT242" s="35"/>
    </row>
    <row r="243" spans="1:72" ht="29" x14ac:dyDescent="0.35">
      <c r="A243" s="5">
        <v>242</v>
      </c>
      <c r="B243" s="5"/>
      <c r="C243" s="5" t="s">
        <v>78</v>
      </c>
      <c r="D243" s="5">
        <v>8</v>
      </c>
      <c r="E243" s="5">
        <v>136</v>
      </c>
      <c r="F243" s="8" t="s">
        <v>419</v>
      </c>
      <c r="G243" s="8"/>
      <c r="H243" s="5" t="s">
        <v>2</v>
      </c>
      <c r="I243" s="5" t="str" cm="1">
        <f t="array" ref="I243">_xlfn.IFS(
  H243="Mahuva", "Mahuva",
  H243="Jesar", "Mahuva",
  H243="Palitana", "Palitana",
  H243="Gariyadhar", "Palitana",
  H243="Talaja", "Talaja",
  H243="Vallabhipur", "Vallabhipur",
  H243="Umrala", "Vallabhipur",
  H243="Shihor", "Shihor",
  H243="Ghogha", "Bhavnagar",
  H243="Bhavnagar", "Bhavnagar"
)</f>
        <v>Vallabhipur</v>
      </c>
      <c r="J243" s="5" t="s">
        <v>256</v>
      </c>
      <c r="K243" s="5" t="s">
        <v>417</v>
      </c>
      <c r="L243" s="5">
        <v>200240</v>
      </c>
      <c r="M243" s="5">
        <v>1</v>
      </c>
      <c r="N243" s="7">
        <v>45837</v>
      </c>
      <c r="O243" s="7">
        <v>45848</v>
      </c>
      <c r="P243" s="7">
        <v>45849</v>
      </c>
      <c r="Q243" s="7">
        <f t="shared" si="41"/>
        <v>45968</v>
      </c>
      <c r="R243" s="9">
        <v>1634615.63</v>
      </c>
      <c r="S243" s="33" t="s">
        <v>233</v>
      </c>
      <c r="U243" s="10"/>
      <c r="V243" s="10" t="str">
        <f t="shared" si="42"/>
        <v>Equals</v>
      </c>
      <c r="W243" s="11" t="str" cm="1">
        <f t="array" ref="W243">NumberToWords(T243)</f>
        <v>Zero Rupees Only</v>
      </c>
      <c r="X243" s="10" t="str">
        <f t="shared" si="43"/>
        <v>Division</v>
      </c>
      <c r="Z243" s="9">
        <f t="shared" si="44"/>
        <v>0</v>
      </c>
      <c r="AB243" s="8">
        <f>_xlfn.XLOOKUP(AA243, 'Agency List'!A$2:A$145, 'Agency List'!B$2:B$145, "Not Found")</f>
        <v>0</v>
      </c>
      <c r="AC243" s="8">
        <f>_xlfn.XLOOKUP(AA243, 'Agency List'!A$2:A$145, 'Agency List'!C$2:C$145, "Not Found")</f>
        <v>0</v>
      </c>
      <c r="AD243" s="8">
        <f>_xlfn.XLOOKUP(AA243, 'Agency List'!A$2:A$145, 'Agency List'!D$2:D$145, "Not Found")</f>
        <v>0</v>
      </c>
      <c r="AE243" s="7"/>
      <c r="AF243" s="5" t="s">
        <v>817</v>
      </c>
      <c r="AG243" s="5" t="str">
        <f t="shared" si="45"/>
        <v>Bandhkam</v>
      </c>
      <c r="AH243" s="5"/>
      <c r="AI243" s="8"/>
      <c r="AJ243" s="8"/>
      <c r="AL243" s="16"/>
      <c r="AM243" s="12">
        <f t="shared" si="46"/>
        <v>0</v>
      </c>
      <c r="AN243" s="7">
        <f t="shared" si="47"/>
        <v>450</v>
      </c>
      <c r="AO243" s="12">
        <f t="shared" si="48"/>
        <v>0</v>
      </c>
      <c r="AP243" s="12">
        <f t="shared" si="49"/>
        <v>0</v>
      </c>
      <c r="AQ243" s="15">
        <f t="shared" si="50"/>
        <v>35</v>
      </c>
      <c r="AR243" s="7">
        <f t="shared" si="51"/>
        <v>390</v>
      </c>
      <c r="AS243" s="5"/>
      <c r="AU243" s="5"/>
      <c r="AV243" s="17"/>
      <c r="AW243" s="17"/>
      <c r="AX243" s="5"/>
      <c r="AY243" s="5"/>
      <c r="AZ243" s="13"/>
      <c r="BA243" s="12"/>
      <c r="BB243" s="7"/>
      <c r="BC243" s="14"/>
      <c r="BD243" s="14"/>
      <c r="BF243" s="12"/>
      <c r="BG243" s="14"/>
      <c r="BH243" s="19"/>
      <c r="BI243" s="5"/>
      <c r="BM243" s="18"/>
      <c r="BN243" s="18"/>
      <c r="BO243" s="18"/>
      <c r="BP243" s="18"/>
      <c r="BQ243" s="5"/>
      <c r="BR243" s="18"/>
      <c r="BS243" s="18"/>
      <c r="BT243" s="35"/>
    </row>
    <row r="244" spans="1:72" ht="43.5" x14ac:dyDescent="0.35">
      <c r="A244" s="5">
        <v>243</v>
      </c>
      <c r="B244" s="5"/>
      <c r="C244" s="5" t="s">
        <v>78</v>
      </c>
      <c r="D244" s="5">
        <v>8</v>
      </c>
      <c r="E244" s="5">
        <v>137</v>
      </c>
      <c r="F244" s="8" t="s">
        <v>420</v>
      </c>
      <c r="G244" s="8"/>
      <c r="H244" s="5" t="s">
        <v>2</v>
      </c>
      <c r="I244" s="5" t="str" cm="1">
        <f t="array" ref="I244">_xlfn.IFS(
  H244="Mahuva", "Mahuva",
  H244="Jesar", "Mahuva",
  H244="Palitana", "Palitana",
  H244="Gariyadhar", "Palitana",
  H244="Talaja", "Talaja",
  H244="Vallabhipur", "Vallabhipur",
  H244="Umrala", "Vallabhipur",
  H244="Shihor", "Shihor",
  H244="Ghogha", "Bhavnagar",
  H244="Bhavnagar", "Bhavnagar"
)</f>
        <v>Vallabhipur</v>
      </c>
      <c r="J244" s="5" t="s">
        <v>256</v>
      </c>
      <c r="K244" s="5" t="s">
        <v>417</v>
      </c>
      <c r="M244" s="5">
        <v>1</v>
      </c>
      <c r="N244" s="7">
        <v>45837</v>
      </c>
      <c r="O244" s="7">
        <v>45848</v>
      </c>
      <c r="P244" s="7">
        <v>45849</v>
      </c>
      <c r="Q244" s="7">
        <f t="shared" si="41"/>
        <v>45968</v>
      </c>
      <c r="R244" s="9">
        <v>1634615.63</v>
      </c>
      <c r="S244" s="33" t="s">
        <v>233</v>
      </c>
      <c r="U244" s="10"/>
      <c r="V244" s="10" t="str">
        <f t="shared" si="42"/>
        <v>Equals</v>
      </c>
      <c r="W244" s="11" t="str" cm="1">
        <f t="array" ref="W244">NumberToWords(T244)</f>
        <v>Zero Rupees Only</v>
      </c>
      <c r="X244" s="10" t="str">
        <f t="shared" si="43"/>
        <v>Division</v>
      </c>
      <c r="Z244" s="9">
        <f t="shared" si="44"/>
        <v>0</v>
      </c>
      <c r="AB244" s="8">
        <f>_xlfn.XLOOKUP(AA244, 'Agency List'!A$2:A$145, 'Agency List'!B$2:B$145, "Not Found")</f>
        <v>0</v>
      </c>
      <c r="AC244" s="8">
        <f>_xlfn.XLOOKUP(AA244, 'Agency List'!A$2:A$145, 'Agency List'!C$2:C$145, "Not Found")</f>
        <v>0</v>
      </c>
      <c r="AD244" s="8">
        <f>_xlfn.XLOOKUP(AA244, 'Agency List'!A$2:A$145, 'Agency List'!D$2:D$145, "Not Found")</f>
        <v>0</v>
      </c>
      <c r="AE244" s="7"/>
      <c r="AF244" s="5" t="s">
        <v>817</v>
      </c>
      <c r="AG244" s="5" t="str">
        <f t="shared" si="45"/>
        <v>Bandhkam</v>
      </c>
      <c r="AH244" s="5"/>
      <c r="AI244" s="8"/>
      <c r="AJ244" s="8"/>
      <c r="AL244" s="16"/>
      <c r="AM244" s="12">
        <f t="shared" si="46"/>
        <v>0</v>
      </c>
      <c r="AN244" s="7">
        <f t="shared" si="47"/>
        <v>450</v>
      </c>
      <c r="AO244" s="12">
        <f t="shared" si="48"/>
        <v>0</v>
      </c>
      <c r="AP244" s="12">
        <f t="shared" si="49"/>
        <v>0</v>
      </c>
      <c r="AQ244" s="15">
        <f t="shared" si="50"/>
        <v>35</v>
      </c>
      <c r="AR244" s="7">
        <f t="shared" si="51"/>
        <v>390</v>
      </c>
      <c r="AS244" s="5"/>
      <c r="AU244" s="5"/>
      <c r="AV244" s="17"/>
      <c r="AW244" s="17"/>
      <c r="AX244" s="5"/>
      <c r="AY244" s="5"/>
      <c r="AZ244" s="13"/>
      <c r="BA244" s="12"/>
      <c r="BB244" s="7"/>
      <c r="BC244" s="14"/>
      <c r="BD244" s="14"/>
      <c r="BF244" s="12"/>
      <c r="BG244" s="14"/>
      <c r="BH244" s="19"/>
      <c r="BI244" s="5"/>
      <c r="BM244" s="18"/>
      <c r="BN244" s="18"/>
      <c r="BO244" s="18"/>
      <c r="BP244" s="18"/>
      <c r="BQ244" s="5"/>
      <c r="BR244" s="18"/>
      <c r="BS244" s="18"/>
      <c r="BT244" s="35"/>
    </row>
    <row r="245" spans="1:72" ht="43.5" x14ac:dyDescent="0.35">
      <c r="A245" s="5">
        <v>244</v>
      </c>
      <c r="B245" s="5"/>
      <c r="C245" s="5" t="s">
        <v>78</v>
      </c>
      <c r="D245" s="5">
        <v>8</v>
      </c>
      <c r="E245" s="5">
        <v>138</v>
      </c>
      <c r="F245" s="8" t="s">
        <v>451</v>
      </c>
      <c r="G245" s="8"/>
      <c r="H245" s="5" t="s">
        <v>11</v>
      </c>
      <c r="I245" s="5" t="str" cm="1">
        <f t="array" ref="I245">_xlfn.IFS(
  H245="Mahuva", "Mahuva",
  H245="Jesar", "Mahuva",
  H245="Palitana", "Palitana",
  H245="Gariyadhar", "Palitana",
  H245="Talaja", "Talaja",
  H245="Vallabhipur", "Vallabhipur",
  H245="Umrala", "Vallabhipur",
  H245="Shihor", "Shihor",
  H245="Ghogha", "Bhavnagar",
  H245="Bhavnagar", "Bhavnagar"
)</f>
        <v>Vallabhipur</v>
      </c>
      <c r="J245" s="5" t="s">
        <v>256</v>
      </c>
      <c r="K245" s="5" t="s">
        <v>417</v>
      </c>
      <c r="L245" s="5">
        <v>200376</v>
      </c>
      <c r="M245" s="5">
        <v>1</v>
      </c>
      <c r="N245" s="7">
        <v>45837</v>
      </c>
      <c r="O245" s="7">
        <v>45848</v>
      </c>
      <c r="P245" s="7">
        <v>45849</v>
      </c>
      <c r="Q245" s="7">
        <f t="shared" si="41"/>
        <v>45968</v>
      </c>
      <c r="R245" s="9">
        <v>806983.54</v>
      </c>
      <c r="S245" s="33"/>
      <c r="T245" s="9">
        <v>741214.38</v>
      </c>
      <c r="U245" s="10">
        <v>-8.15</v>
      </c>
      <c r="V245" s="10" t="str">
        <f t="shared" si="42"/>
        <v>Below</v>
      </c>
      <c r="W245" s="11" t="str" cm="1">
        <f t="array" ref="W245">NumberToWords(T245)</f>
        <v>Seven Lakh Forty One Thousand Two Hundred Fourteen Rupees and Thirty Eight Paise Only</v>
      </c>
      <c r="X245" s="10" t="str">
        <f t="shared" si="43"/>
        <v>Division</v>
      </c>
      <c r="Z245" s="9">
        <f t="shared" si="44"/>
        <v>741214.38</v>
      </c>
      <c r="AA245" s="5" t="s">
        <v>415</v>
      </c>
      <c r="AB245" s="8" t="str">
        <f>_xlfn.XLOOKUP(AA245, 'Agency List'!A$2:A$145, 'Agency List'!B$2:B$145, "Not Found")</f>
        <v>KOTAR PRAFULKUMAR RAMESHBHAI</v>
      </c>
      <c r="AC245" s="8" t="str">
        <f>_xlfn.XLOOKUP(AA245, 'Agency List'!A$2:A$145, 'Agency List'!C$2:C$145, "Not Found")</f>
        <v>Plot No. 15, Survey No. 166/1, GIDC, At. Timbi, Tal. Umrala, Dist. Bhavnagar- 364320</v>
      </c>
      <c r="AD245" s="8">
        <f>_xlfn.XLOOKUP(AA245, 'Agency List'!A$2:A$145, 'Agency List'!D$2:D$145, "Not Found")</f>
        <v>9662631888</v>
      </c>
      <c r="AE245" s="7"/>
      <c r="AF245" s="5" t="s">
        <v>817</v>
      </c>
      <c r="AG245" s="5" t="str">
        <f t="shared" si="45"/>
        <v>Bandhkam</v>
      </c>
      <c r="AH245" s="5"/>
      <c r="AI245" s="8"/>
      <c r="AJ245" s="8"/>
      <c r="AL245" s="16">
        <v>3</v>
      </c>
      <c r="AM245" s="12">
        <f t="shared" si="46"/>
        <v>38000</v>
      </c>
      <c r="AN245" s="7">
        <f t="shared" si="47"/>
        <v>46426</v>
      </c>
      <c r="AO245" s="12">
        <f t="shared" si="48"/>
        <v>1900</v>
      </c>
      <c r="AP245" s="12">
        <f t="shared" si="49"/>
        <v>0</v>
      </c>
      <c r="AQ245" s="15">
        <f t="shared" si="50"/>
        <v>46011</v>
      </c>
      <c r="AR245" s="7">
        <f t="shared" si="51"/>
        <v>46366</v>
      </c>
      <c r="AS245" s="5">
        <v>1025</v>
      </c>
      <c r="AT245" s="7">
        <v>45861</v>
      </c>
      <c r="AU245" s="5" t="s">
        <v>78</v>
      </c>
      <c r="AV245" s="17">
        <v>80</v>
      </c>
      <c r="AW245" s="37">
        <v>45881</v>
      </c>
      <c r="AX245" s="5" t="s">
        <v>355</v>
      </c>
      <c r="AY245" s="5" t="s">
        <v>369</v>
      </c>
      <c r="AZ245" s="13">
        <v>44344794120</v>
      </c>
      <c r="BA245" s="12">
        <v>38000</v>
      </c>
      <c r="BB245" s="7">
        <v>45873</v>
      </c>
      <c r="BC245" s="14"/>
      <c r="BD245" s="14"/>
      <c r="BF245" s="12"/>
      <c r="BG245" s="14"/>
      <c r="BH245" s="7">
        <v>45886</v>
      </c>
      <c r="BI245" s="5">
        <v>1058</v>
      </c>
      <c r="BJ245" s="19">
        <v>45881</v>
      </c>
      <c r="BM245" s="18"/>
      <c r="BN245" s="18"/>
      <c r="BO245" s="18"/>
      <c r="BP245" s="18"/>
      <c r="BQ245" s="5"/>
      <c r="BR245" s="18"/>
      <c r="BS245" s="18"/>
      <c r="BT245" s="35">
        <f>BH245+AL245*30</f>
        <v>45976</v>
      </c>
    </row>
    <row r="246" spans="1:72" ht="43.5" x14ac:dyDescent="0.35">
      <c r="A246" s="5">
        <v>245</v>
      </c>
      <c r="B246" s="5"/>
      <c r="C246" s="5" t="s">
        <v>78</v>
      </c>
      <c r="D246" s="5">
        <v>8</v>
      </c>
      <c r="E246" s="5">
        <v>139</v>
      </c>
      <c r="F246" s="8" t="s">
        <v>452</v>
      </c>
      <c r="G246" s="8"/>
      <c r="H246" s="5" t="s">
        <v>11</v>
      </c>
      <c r="I246" s="5" t="str" cm="1">
        <f t="array" ref="I246">_xlfn.IFS(
  H246="Mahuva", "Mahuva",
  H246="Jesar", "Mahuva",
  H246="Palitana", "Palitana",
  H246="Gariyadhar", "Palitana",
  H246="Talaja", "Talaja",
  H246="Vallabhipur", "Vallabhipur",
  H246="Umrala", "Vallabhipur",
  H246="Shihor", "Shihor",
  H246="Ghogha", "Bhavnagar",
  H246="Bhavnagar", "Bhavnagar"
)</f>
        <v>Vallabhipur</v>
      </c>
      <c r="J246" s="5" t="s">
        <v>256</v>
      </c>
      <c r="K246" s="5" t="s">
        <v>417</v>
      </c>
      <c r="L246" s="5">
        <v>200380</v>
      </c>
      <c r="M246" s="5">
        <v>1</v>
      </c>
      <c r="N246" s="7">
        <v>45837</v>
      </c>
      <c r="O246" s="7">
        <v>45848</v>
      </c>
      <c r="P246" s="7">
        <v>45849</v>
      </c>
      <c r="Q246" s="7">
        <f t="shared" si="41"/>
        <v>45968</v>
      </c>
      <c r="R246" s="9">
        <v>806983.54</v>
      </c>
      <c r="S246" s="33"/>
      <c r="T246" s="9">
        <v>705707.11</v>
      </c>
      <c r="U246" s="10">
        <v>-12.55</v>
      </c>
      <c r="V246" s="10" t="str">
        <f t="shared" si="42"/>
        <v>Below</v>
      </c>
      <c r="W246" s="11" t="str" cm="1">
        <f t="array" ref="W246">NumberToWords(T246)</f>
        <v>Seven Lakh Five Thousand Seven Hundred Seven Rupees and Eleven Paise Only</v>
      </c>
      <c r="X246" s="10" t="str">
        <f t="shared" si="43"/>
        <v>Division</v>
      </c>
      <c r="Z246" s="9">
        <f t="shared" si="44"/>
        <v>705707.11</v>
      </c>
      <c r="AA246" s="5" t="s">
        <v>415</v>
      </c>
      <c r="AB246" s="8" t="str">
        <f>_xlfn.XLOOKUP(AA246, 'Agency List'!A$2:A$145, 'Agency List'!B$2:B$145, "Not Found")</f>
        <v>KOTAR PRAFULKUMAR RAMESHBHAI</v>
      </c>
      <c r="AC246" s="8" t="str">
        <f>_xlfn.XLOOKUP(AA246, 'Agency List'!A$2:A$145, 'Agency List'!C$2:C$145, "Not Found")</f>
        <v>Plot No. 15, Survey No. 166/1, GIDC, At. Timbi, Tal. Umrala, Dist. Bhavnagar- 364320</v>
      </c>
      <c r="AD246" s="8">
        <f>_xlfn.XLOOKUP(AA246, 'Agency List'!A$2:A$145, 'Agency List'!D$2:D$145, "Not Found")</f>
        <v>9662631888</v>
      </c>
      <c r="AE246" s="7"/>
      <c r="AF246" s="5" t="s">
        <v>817</v>
      </c>
      <c r="AG246" s="5" t="str">
        <f t="shared" si="45"/>
        <v>Bandhkam</v>
      </c>
      <c r="AH246" s="5"/>
      <c r="AI246" s="8"/>
      <c r="AJ246" s="8"/>
      <c r="AL246" s="16">
        <v>3</v>
      </c>
      <c r="AM246" s="12">
        <f t="shared" si="46"/>
        <v>36000</v>
      </c>
      <c r="AN246" s="7">
        <f t="shared" si="47"/>
        <v>46431</v>
      </c>
      <c r="AO246" s="12">
        <f t="shared" si="48"/>
        <v>2100</v>
      </c>
      <c r="AP246" s="12">
        <f t="shared" si="49"/>
        <v>5000</v>
      </c>
      <c r="AQ246" s="15">
        <f t="shared" si="50"/>
        <v>46016</v>
      </c>
      <c r="AR246" s="7">
        <f t="shared" si="51"/>
        <v>46371</v>
      </c>
      <c r="AS246" s="5">
        <v>1026</v>
      </c>
      <c r="AT246" s="7">
        <v>45861</v>
      </c>
      <c r="AU246" s="5" t="s">
        <v>78</v>
      </c>
      <c r="AV246" s="17">
        <v>100</v>
      </c>
      <c r="AW246" s="37">
        <v>45891</v>
      </c>
      <c r="AX246" s="5" t="s">
        <v>355</v>
      </c>
      <c r="AY246" s="5" t="s">
        <v>369</v>
      </c>
      <c r="AZ246" s="13">
        <v>44344808918</v>
      </c>
      <c r="BA246" s="12">
        <v>36000</v>
      </c>
      <c r="BB246" s="7">
        <v>45873</v>
      </c>
      <c r="BC246" s="5" t="s">
        <v>355</v>
      </c>
      <c r="BD246" s="5" t="s">
        <v>369</v>
      </c>
      <c r="BE246" s="13">
        <v>44388132154</v>
      </c>
      <c r="BF246" s="12">
        <v>5000</v>
      </c>
      <c r="BG246" s="7">
        <v>45888</v>
      </c>
      <c r="BH246" s="7">
        <v>45891</v>
      </c>
      <c r="BI246" s="5">
        <v>1185</v>
      </c>
      <c r="BJ246" s="19">
        <v>45891</v>
      </c>
      <c r="BM246" s="18"/>
      <c r="BN246" s="18"/>
      <c r="BO246" s="18"/>
      <c r="BP246" s="18"/>
      <c r="BQ246" s="5"/>
      <c r="BR246" s="18"/>
      <c r="BS246" s="18"/>
      <c r="BT246" s="35">
        <f>BH246+AL246*30</f>
        <v>45981</v>
      </c>
    </row>
    <row r="247" spans="1:72" ht="87" x14ac:dyDescent="0.35">
      <c r="A247" s="5">
        <v>246</v>
      </c>
      <c r="B247" s="5"/>
      <c r="C247" s="5" t="s">
        <v>78</v>
      </c>
      <c r="D247" s="5">
        <v>8</v>
      </c>
      <c r="E247" s="5">
        <v>140</v>
      </c>
      <c r="F247" s="8" t="s">
        <v>686</v>
      </c>
      <c r="G247" s="8"/>
      <c r="H247" s="5" t="s">
        <v>1</v>
      </c>
      <c r="I247" s="5" t="str" cm="1">
        <f t="array" ref="I247">_xlfn.IFS(
  H247="Mahuva", "Mahuva",
  H247="Jesar", "Mahuva",
  H247="Palitana", "Palitana",
  H247="Gariyadhar", "Palitana",
  H247="Talaja", "Talaja",
  H247="Vallabhipur", "Vallabhipur",
  H247="Umrala", "Vallabhipur",
  H247="Shihor", "Shihor",
  H247="Ghogha", "Bhavnagar",
  H247="Bhavnagar", "Bhavnagar"
)</f>
        <v>Bhavnagar</v>
      </c>
      <c r="J247" s="5" t="s">
        <v>256</v>
      </c>
      <c r="K247" s="5" t="s">
        <v>705</v>
      </c>
      <c r="L247" s="5">
        <v>200405</v>
      </c>
      <c r="M247" s="5">
        <v>1</v>
      </c>
      <c r="N247" s="7">
        <v>45837</v>
      </c>
      <c r="O247" s="7">
        <v>45848</v>
      </c>
      <c r="P247" s="7">
        <v>45849</v>
      </c>
      <c r="Q247" s="7">
        <f t="shared" si="41"/>
        <v>45968</v>
      </c>
      <c r="R247" s="9">
        <v>2084326.82</v>
      </c>
      <c r="S247" s="33"/>
      <c r="T247" s="9">
        <v>2063483.55</v>
      </c>
      <c r="U247" s="10">
        <v>-1</v>
      </c>
      <c r="V247" s="10" t="str">
        <f t="shared" si="42"/>
        <v>Below</v>
      </c>
      <c r="W247" s="11" t="str" cm="1">
        <f t="array" ref="W247">NumberToWords(T247)</f>
        <v>Twenty Lakh Sixty Three Thousand Four Hundred Eighty Three Rupees and Fifty Five Paise Only</v>
      </c>
      <c r="X247" s="10" t="str">
        <f t="shared" si="43"/>
        <v>Division</v>
      </c>
      <c r="Z247" s="9">
        <f t="shared" si="44"/>
        <v>2063483.55</v>
      </c>
      <c r="AA247" s="5" t="s">
        <v>145</v>
      </c>
      <c r="AB247" s="8">
        <f>_xlfn.XLOOKUP(AA247, 'Agency List'!A$2:A$145, 'Agency List'!B$2:B$145, "Not Found")</f>
        <v>0</v>
      </c>
      <c r="AC247" s="8" t="str">
        <f>_xlfn.XLOOKUP(AA247, 'Agency List'!A$2:A$145, 'Agency List'!C$2:C$145, "Not Found")</f>
        <v>MOTI JAGDHAR, MAHUVA, 
BHAVNAGAR-364295</v>
      </c>
      <c r="AD247" s="8">
        <f>_xlfn.XLOOKUP(AA247, 'Agency List'!A$2:A$145, 'Agency List'!D$2:D$145, "Not Found")</f>
        <v>7573988808</v>
      </c>
      <c r="AE247" s="7"/>
      <c r="AF247" s="5"/>
      <c r="AG247" s="5" t="str">
        <f t="shared" si="45"/>
        <v>Bandhkam</v>
      </c>
      <c r="AH247" s="5"/>
      <c r="AI247" s="8"/>
      <c r="AJ247" s="8"/>
      <c r="AL247" s="16">
        <v>4</v>
      </c>
      <c r="AM247" s="12">
        <f t="shared" si="46"/>
        <v>104000</v>
      </c>
      <c r="AN247" s="7">
        <f t="shared" si="47"/>
        <v>46485</v>
      </c>
      <c r="AO247" s="12">
        <f t="shared" si="48"/>
        <v>5100</v>
      </c>
      <c r="AP247" s="12">
        <f t="shared" si="49"/>
        <v>0</v>
      </c>
      <c r="AQ247" s="15">
        <f t="shared" si="50"/>
        <v>46070</v>
      </c>
      <c r="AR247" s="7">
        <f t="shared" si="51"/>
        <v>46425</v>
      </c>
      <c r="AS247" s="5">
        <v>1205</v>
      </c>
      <c r="AT247" s="7">
        <v>45864</v>
      </c>
      <c r="AU247" s="5"/>
      <c r="AV247" s="17"/>
      <c r="AW247" s="17"/>
      <c r="AX247" s="5"/>
      <c r="AY247" s="5"/>
      <c r="AZ247" s="13"/>
      <c r="BA247" s="12"/>
      <c r="BB247" s="7"/>
      <c r="BC247" s="14"/>
      <c r="BD247" s="14"/>
      <c r="BF247" s="12"/>
      <c r="BG247" s="14"/>
      <c r="BH247" s="19">
        <v>45915</v>
      </c>
      <c r="BI247" s="5"/>
      <c r="BK247" s="5">
        <v>25</v>
      </c>
      <c r="BL247" s="7">
        <v>45659</v>
      </c>
      <c r="BM247" s="18"/>
      <c r="BN247" s="18"/>
      <c r="BO247" s="18"/>
      <c r="BP247" s="18"/>
      <c r="BQ247" s="5"/>
      <c r="BR247" s="18"/>
      <c r="BS247" s="18"/>
      <c r="BT247" s="35"/>
    </row>
    <row r="248" spans="1:72" ht="58" x14ac:dyDescent="0.35">
      <c r="A248" s="5">
        <v>247</v>
      </c>
      <c r="B248" s="5"/>
      <c r="C248" s="5" t="s">
        <v>78</v>
      </c>
      <c r="D248" s="5">
        <v>8</v>
      </c>
      <c r="E248" s="5">
        <v>141</v>
      </c>
      <c r="F248" s="8" t="s">
        <v>687</v>
      </c>
      <c r="G248" s="8"/>
      <c r="H248" s="5" t="s">
        <v>4</v>
      </c>
      <c r="I248" s="5" t="str" cm="1">
        <f t="array" ref="I248">_xlfn.IFS(
  H248="Mahuva", "Mahuva",
  H248="Jesar", "Mahuva",
  H248="Palitana", "Palitana",
  H248="Gariyadhar", "Palitana",
  H248="Talaja", "Talaja",
  H248="Vallabhipur", "Vallabhipur",
  H248="Umrala", "Vallabhipur",
  H248="Shihor", "Shihor",
  H248="Ghogha", "Bhavnagar",
  H248="Bhavnagar", "Bhavnagar"
)</f>
        <v>Talaja</v>
      </c>
      <c r="J248" s="5" t="s">
        <v>256</v>
      </c>
      <c r="K248" s="5" t="s">
        <v>624</v>
      </c>
      <c r="L248" s="5">
        <v>200415</v>
      </c>
      <c r="M248" s="5"/>
      <c r="N248" s="7">
        <v>45837</v>
      </c>
      <c r="O248" s="7">
        <v>45848</v>
      </c>
      <c r="P248" s="7">
        <v>45849</v>
      </c>
      <c r="Q248" s="7">
        <f t="shared" si="41"/>
        <v>45968</v>
      </c>
      <c r="R248" s="9">
        <v>1024912.96</v>
      </c>
      <c r="S248" s="33"/>
      <c r="T248" s="9">
        <v>981661.63</v>
      </c>
      <c r="U248" s="10">
        <v>-4.22</v>
      </c>
      <c r="V248" s="10" t="str">
        <f t="shared" si="42"/>
        <v>Below</v>
      </c>
      <c r="W248" s="11" t="str" cm="1">
        <f t="array" ref="W248">NumberToWords(T248)</f>
        <v>Nine Lakh Eighty One Thousand Six Hundred Sixty One Rupees and Sixty Three Paise Only</v>
      </c>
      <c r="X248" s="10" t="str">
        <f t="shared" si="43"/>
        <v>Division</v>
      </c>
      <c r="Z248" s="9">
        <f t="shared" si="44"/>
        <v>981661.63</v>
      </c>
      <c r="AA248" s="5" t="s">
        <v>413</v>
      </c>
      <c r="AB248" s="8">
        <f>_xlfn.XLOOKUP(AA248, 'Agency List'!A$2:A$145, 'Agency List'!B$2:B$145, "Not Found")</f>
        <v>0</v>
      </c>
      <c r="AC248" s="8" t="str">
        <f>_xlfn.XLOOKUP(AA248, 'Agency List'!A$2:A$145, 'Agency List'!C$2:C$145, "Not Found")</f>
        <v xml:space="preserve">F-8, 1st Floor, Radhe City Center, Bapa Sitaram Chowk, Talaja, Dist. Bhavnagar
</v>
      </c>
      <c r="AD248" s="8">
        <f>_xlfn.XLOOKUP(AA248, 'Agency List'!A$2:A$145, 'Agency List'!D$2:D$145, "Not Found")</f>
        <v>7984290006</v>
      </c>
      <c r="AE248" s="7"/>
      <c r="AF248" s="5"/>
      <c r="AG248" s="5" t="str">
        <f t="shared" si="45"/>
        <v>Bandhkam</v>
      </c>
      <c r="AH248" s="5"/>
      <c r="AI248" s="8"/>
      <c r="AJ248" s="8"/>
      <c r="AL248" s="16">
        <v>4</v>
      </c>
      <c r="AM248" s="12">
        <f t="shared" si="46"/>
        <v>50000</v>
      </c>
      <c r="AN248" s="7">
        <f t="shared" si="47"/>
        <v>46485</v>
      </c>
      <c r="AO248" s="12">
        <f t="shared" si="48"/>
        <v>2500</v>
      </c>
      <c r="AP248" s="12">
        <f t="shared" si="49"/>
        <v>0</v>
      </c>
      <c r="AQ248" s="15">
        <f t="shared" si="50"/>
        <v>46070</v>
      </c>
      <c r="AR248" s="7">
        <f t="shared" si="51"/>
        <v>46425</v>
      </c>
      <c r="AS248" s="5">
        <v>1206</v>
      </c>
      <c r="AT248" s="7">
        <v>45864</v>
      </c>
      <c r="AU248" s="5"/>
      <c r="AV248" s="17"/>
      <c r="AW248" s="17"/>
      <c r="AX248" s="5"/>
      <c r="AY248" s="5"/>
      <c r="AZ248" s="13"/>
      <c r="BA248" s="12"/>
      <c r="BB248" s="7"/>
      <c r="BC248" s="14"/>
      <c r="BD248" s="14"/>
      <c r="BF248" s="12"/>
      <c r="BG248" s="14"/>
      <c r="BH248" s="19">
        <v>45915</v>
      </c>
      <c r="BI248" s="5"/>
      <c r="BK248" s="5">
        <v>24</v>
      </c>
      <c r="BL248" s="7">
        <v>45659</v>
      </c>
      <c r="BM248" s="18"/>
      <c r="BN248" s="18"/>
      <c r="BO248" s="18"/>
      <c r="BP248" s="18"/>
      <c r="BQ248" s="5"/>
      <c r="BR248" s="18"/>
      <c r="BS248" s="18"/>
      <c r="BT248" s="35"/>
    </row>
    <row r="249" spans="1:72" ht="58" x14ac:dyDescent="0.35">
      <c r="A249" s="5">
        <v>248</v>
      </c>
      <c r="B249" s="5"/>
      <c r="C249" s="5" t="s">
        <v>78</v>
      </c>
      <c r="D249" s="5">
        <v>9</v>
      </c>
      <c r="E249" s="5">
        <v>1</v>
      </c>
      <c r="F249" s="8" t="s">
        <v>372</v>
      </c>
      <c r="G249" s="8"/>
      <c r="H249" s="5" t="s">
        <v>12</v>
      </c>
      <c r="I249" s="5" t="str" cm="1">
        <f t="array" ref="I249">_xlfn.IFS(
  H249="Mahuva", "Mahuva",
  H249="Jesar", "Mahuva",
  H249="Palitana", "Palitana",
  H249="Gariyadhar", "Palitana",
  H249="Talaja", "Talaja",
  H249="Vallabhipur", "Vallabhipur",
  H249="Umrala", "Vallabhipur",
  H249="Shihor", "Shihor",
  H249="Ghogha", "Bhavnagar",
  H249="Bhavnagar", "Bhavnagar"
)</f>
        <v>Mahuva</v>
      </c>
      <c r="J249" s="5" t="s">
        <v>21</v>
      </c>
      <c r="K249" s="5"/>
      <c r="L249" s="5">
        <v>199597</v>
      </c>
      <c r="M249" s="5">
        <v>2</v>
      </c>
      <c r="N249" s="7">
        <v>45841</v>
      </c>
      <c r="O249" s="7">
        <v>45852</v>
      </c>
      <c r="P249" s="7">
        <v>45853</v>
      </c>
      <c r="Q249" s="7">
        <f t="shared" si="41"/>
        <v>45972</v>
      </c>
      <c r="R249" s="9">
        <v>16081866.5</v>
      </c>
      <c r="S249" s="33"/>
      <c r="T249" s="9">
        <v>18116222.609999999</v>
      </c>
      <c r="U249" s="10">
        <v>12.65</v>
      </c>
      <c r="V249" s="10" t="str">
        <f t="shared" si="42"/>
        <v>Above</v>
      </c>
      <c r="W249" s="11" t="str" cm="1">
        <f t="array" ref="W249">NumberToWords(T249)</f>
        <v>One Crore Eighty One Lakh Sixteen Thousand Two Hundred Twenty Two Rupees and Sixty One Paise Only</v>
      </c>
      <c r="X249" s="10" t="str">
        <f t="shared" si="43"/>
        <v>Circle</v>
      </c>
      <c r="Y249" s="9">
        <v>468077.87</v>
      </c>
      <c r="Z249" s="9">
        <f t="shared" si="44"/>
        <v>18584300.48</v>
      </c>
      <c r="AA249" s="5" t="s">
        <v>374</v>
      </c>
      <c r="AB249" s="8">
        <f>_xlfn.XLOOKUP(AA249, 'Agency List'!A$2:A$145, 'Agency List'!B$2:B$145, "Not Found")</f>
        <v>0</v>
      </c>
      <c r="AC249" s="8" t="str">
        <f>_xlfn.XLOOKUP(AA249, 'Agency List'!A$2:A$145, 'Agency List'!C$2:C$145, "Not Found")</f>
        <v>4th Floor, Akshar Plaza-1, Diksha Nagar, Zanzarda Chokadi, Junagadh- 362001</v>
      </c>
      <c r="AD249" s="8">
        <f>_xlfn.XLOOKUP(AA249, 'Agency List'!A$2:A$145, 'Agency List'!D$2:D$145, "Not Found")</f>
        <v>9825220799</v>
      </c>
      <c r="AE249" s="7">
        <v>45863</v>
      </c>
      <c r="AF249" s="5" t="s">
        <v>821</v>
      </c>
      <c r="AG249" s="5" t="str">
        <f t="shared" si="45"/>
        <v>NA</v>
      </c>
      <c r="AH249" s="54"/>
      <c r="AI249" s="49" t="s">
        <v>69</v>
      </c>
      <c r="AJ249" s="20" t="s">
        <v>711</v>
      </c>
      <c r="AK249" s="7">
        <v>45890</v>
      </c>
      <c r="AL249" s="16">
        <v>6</v>
      </c>
      <c r="AM249" s="12">
        <f t="shared" si="46"/>
        <v>906000</v>
      </c>
      <c r="AN249" s="7">
        <f t="shared" si="47"/>
        <v>47319</v>
      </c>
      <c r="AO249" s="12">
        <f t="shared" si="48"/>
        <v>44400</v>
      </c>
      <c r="AP249" s="12">
        <f t="shared" si="49"/>
        <v>0</v>
      </c>
      <c r="AQ249" s="15">
        <f t="shared" si="50"/>
        <v>46184</v>
      </c>
      <c r="AR249" s="7">
        <f t="shared" si="51"/>
        <v>47259</v>
      </c>
      <c r="AS249" s="5">
        <v>1263</v>
      </c>
      <c r="AT249" s="7">
        <v>45904</v>
      </c>
      <c r="AU249" s="5" t="s">
        <v>78</v>
      </c>
      <c r="AV249" s="17">
        <v>199</v>
      </c>
      <c r="AW249" s="37">
        <v>45969</v>
      </c>
      <c r="AX249" s="5" t="s">
        <v>359</v>
      </c>
      <c r="AY249" s="5" t="s">
        <v>458</v>
      </c>
      <c r="AZ249" s="13" t="s">
        <v>818</v>
      </c>
      <c r="BA249" s="12">
        <v>906000</v>
      </c>
      <c r="BB249" s="7">
        <v>45920</v>
      </c>
      <c r="BC249" s="14"/>
      <c r="BD249" s="14"/>
      <c r="BF249" s="12"/>
      <c r="BG249" s="14"/>
      <c r="BH249" s="19">
        <v>45969</v>
      </c>
      <c r="BI249" s="5">
        <v>1504</v>
      </c>
      <c r="BJ249" s="19">
        <v>45969</v>
      </c>
      <c r="BM249" s="18"/>
      <c r="BN249" s="18"/>
      <c r="BO249" s="18"/>
      <c r="BP249" s="18"/>
      <c r="BQ249" s="5"/>
      <c r="BR249" s="18"/>
      <c r="BS249" s="18"/>
      <c r="BT249" s="35">
        <f t="shared" ref="BT249:BT263" si="52">EDATE(BH249,AL249)-1</f>
        <v>46149</v>
      </c>
    </row>
    <row r="250" spans="1:72" ht="43.5" x14ac:dyDescent="0.35">
      <c r="A250" s="5">
        <v>249</v>
      </c>
      <c r="B250" s="5"/>
      <c r="C250" s="5" t="s">
        <v>78</v>
      </c>
      <c r="D250" s="5">
        <v>9</v>
      </c>
      <c r="E250" s="5">
        <v>2</v>
      </c>
      <c r="F250" s="8" t="s">
        <v>1051</v>
      </c>
      <c r="G250" s="8" t="s">
        <v>388</v>
      </c>
      <c r="H250" s="5" t="s">
        <v>13</v>
      </c>
      <c r="I250" s="5" t="str" cm="1">
        <f t="array" ref="I250">_xlfn.IFS(
  H250="Mahuva", "Mahuva",
  H250="Jesar", "Mahuva",
  H250="Palitana", "Palitana",
  H250="Gariyadhar", "Palitana",
  H250="Talaja", "Talaja",
  H250="Vallabhipur", "Vallabhipur",
  H250="Umrala", "Vallabhipur",
  H250="Shihor", "Shihor",
  H250="Ghogha", "Bhavnagar",
  H250="Bhavnagar", "Bhavnagar"
)</f>
        <v>Shihor</v>
      </c>
      <c r="J250" s="5" t="s">
        <v>21</v>
      </c>
      <c r="K250" s="5"/>
      <c r="L250" s="5">
        <v>201032</v>
      </c>
      <c r="M250" s="5">
        <v>1</v>
      </c>
      <c r="N250" s="7">
        <v>45841</v>
      </c>
      <c r="O250" s="7">
        <v>45852</v>
      </c>
      <c r="P250" s="7">
        <v>45853</v>
      </c>
      <c r="Q250" s="7">
        <f t="shared" si="41"/>
        <v>45972</v>
      </c>
      <c r="R250" s="9">
        <v>112916877.26000001</v>
      </c>
      <c r="S250" s="33"/>
      <c r="T250" s="9">
        <v>94929218.709999993</v>
      </c>
      <c r="U250" s="10">
        <v>-15.93</v>
      </c>
      <c r="V250" s="10" t="str">
        <f t="shared" si="42"/>
        <v>Below</v>
      </c>
      <c r="W250" s="11" t="str" cm="1">
        <f t="array" ref="W250">NumberToWords(T250)</f>
        <v>Nine Crore Forty Nine Lakh Twenty Nine Thousand Two Hundred Eighteen Rupees and Seventy One Paise Only</v>
      </c>
      <c r="X250" s="10" t="str">
        <f t="shared" si="43"/>
        <v>Government</v>
      </c>
      <c r="Z250" s="9">
        <f t="shared" si="44"/>
        <v>94929218.709999993</v>
      </c>
      <c r="AA250" s="5" t="s">
        <v>183</v>
      </c>
      <c r="AB250" s="8" t="str">
        <f>_xlfn.XLOOKUP(AA250, 'Agency List'!A$2:A$145, 'Agency List'!B$2:B$145, "Not Found")</f>
        <v>HITENDRASINH GAMBHIRSINH ZALA</v>
      </c>
      <c r="AC250" s="8" t="str">
        <f>_xlfn.XLOOKUP(AA250, 'Agency List'!A$2:A$145, 'Agency List'!C$2:C$145, "Not Found")</f>
        <v>A-204, LEELA EFCEE, WAGHAWADI ROAD, BHAVNAGAR-364001</v>
      </c>
      <c r="AD250" s="8">
        <f>_xlfn.XLOOKUP(AA250, 'Agency List'!A$2:A$145, 'Agency List'!D$2:D$145, "Not Found")</f>
        <v>9328564566</v>
      </c>
      <c r="AE250" s="7">
        <v>45873</v>
      </c>
      <c r="AF250" s="5" t="s">
        <v>940</v>
      </c>
      <c r="AG250" s="5" t="str">
        <f t="shared" si="45"/>
        <v>Karobari</v>
      </c>
      <c r="AH250" s="58">
        <v>45962</v>
      </c>
      <c r="AI250" s="49" t="s">
        <v>231</v>
      </c>
      <c r="AJ250" s="8" t="s">
        <v>715</v>
      </c>
      <c r="AK250" s="7">
        <v>45903</v>
      </c>
      <c r="AL250" s="16">
        <v>11</v>
      </c>
      <c r="AM250" s="12">
        <f t="shared" si="46"/>
        <v>4747000</v>
      </c>
      <c r="AN250" s="7">
        <f t="shared" si="47"/>
        <v>47531</v>
      </c>
      <c r="AO250" s="12">
        <f t="shared" si="48"/>
        <v>298300</v>
      </c>
      <c r="AP250" s="12">
        <f t="shared" si="49"/>
        <v>1340000</v>
      </c>
      <c r="AQ250" s="15">
        <f t="shared" si="50"/>
        <v>46396</v>
      </c>
      <c r="AR250" s="7">
        <f t="shared" si="51"/>
        <v>47471</v>
      </c>
      <c r="AS250" s="5">
        <v>1258</v>
      </c>
      <c r="AT250" s="7">
        <v>45903</v>
      </c>
      <c r="AU250" s="5" t="s">
        <v>78</v>
      </c>
      <c r="AV250" s="17">
        <v>258</v>
      </c>
      <c r="AW250" s="59">
        <v>46029</v>
      </c>
      <c r="AX250" s="5" t="s">
        <v>359</v>
      </c>
      <c r="AY250" s="5" t="s">
        <v>458</v>
      </c>
      <c r="AZ250" s="13" t="s">
        <v>1052</v>
      </c>
      <c r="BA250" s="12">
        <v>4747000</v>
      </c>
      <c r="BB250" s="7">
        <v>45979</v>
      </c>
      <c r="BC250" s="5" t="s">
        <v>359</v>
      </c>
      <c r="BD250" s="5" t="s">
        <v>458</v>
      </c>
      <c r="BE250" s="13" t="s">
        <v>1053</v>
      </c>
      <c r="BF250" s="12">
        <v>1340000</v>
      </c>
      <c r="BG250" s="7">
        <v>46334</v>
      </c>
      <c r="BH250" s="19">
        <v>46031</v>
      </c>
      <c r="BI250" s="5">
        <v>35</v>
      </c>
      <c r="BJ250" s="19">
        <v>46031</v>
      </c>
      <c r="BK250" s="5">
        <v>1765</v>
      </c>
      <c r="BL250" s="7">
        <v>46011</v>
      </c>
      <c r="BM250" s="18"/>
      <c r="BN250" s="18"/>
      <c r="BO250" s="18"/>
      <c r="BP250" s="18"/>
      <c r="BQ250" s="5"/>
      <c r="BR250" s="18"/>
      <c r="BS250" s="18"/>
      <c r="BT250" s="35">
        <f t="shared" si="52"/>
        <v>46364</v>
      </c>
    </row>
    <row r="251" spans="1:72" ht="87" x14ac:dyDescent="0.35">
      <c r="A251" s="5">
        <v>250</v>
      </c>
      <c r="B251" s="5"/>
      <c r="C251" s="5" t="s">
        <v>78</v>
      </c>
      <c r="D251" s="5">
        <v>9</v>
      </c>
      <c r="E251" s="5">
        <v>3</v>
      </c>
      <c r="F251" s="8" t="s">
        <v>373</v>
      </c>
      <c r="G251" s="8"/>
      <c r="H251" s="5" t="s">
        <v>1</v>
      </c>
      <c r="I251" s="5" t="str" cm="1">
        <f t="array" ref="I251">_xlfn.IFS(
  H251="Mahuva", "Mahuva",
  H251="Jesar", "Mahuva",
  H251="Palitana", "Palitana",
  H251="Gariyadhar", "Palitana",
  H251="Talaja", "Talaja",
  H251="Vallabhipur", "Vallabhipur",
  H251="Umrala", "Vallabhipur",
  H251="Shihor", "Shihor",
  H251="Ghogha", "Bhavnagar",
  H251="Bhavnagar", "Bhavnagar"
)</f>
        <v>Bhavnagar</v>
      </c>
      <c r="J251" s="5" t="s">
        <v>21</v>
      </c>
      <c r="K251" s="5"/>
      <c r="L251" s="5">
        <v>200884</v>
      </c>
      <c r="M251" s="5">
        <v>1</v>
      </c>
      <c r="N251" s="7">
        <v>45841</v>
      </c>
      <c r="O251" s="7">
        <v>45852</v>
      </c>
      <c r="P251" s="7">
        <v>45853</v>
      </c>
      <c r="Q251" s="7">
        <f t="shared" si="41"/>
        <v>45972</v>
      </c>
      <c r="R251" s="9">
        <v>63362712.479999997</v>
      </c>
      <c r="S251" s="33"/>
      <c r="T251" s="9">
        <v>53668217.469999999</v>
      </c>
      <c r="U251" s="10">
        <v>-15.3</v>
      </c>
      <c r="V251" s="10" t="str">
        <f t="shared" si="42"/>
        <v>Below</v>
      </c>
      <c r="W251" s="11" t="str" cm="1">
        <f t="array" ref="W251">NumberToWords(T251)</f>
        <v>Five Crore Thirty Six Lakh Sixty Eight Thousand Two Hundred Seventeen Rupees and Forty Seven Paise Only</v>
      </c>
      <c r="X251" s="10" t="str">
        <f t="shared" si="43"/>
        <v>Government</v>
      </c>
      <c r="Z251" s="9">
        <f t="shared" si="44"/>
        <v>53668217.469999999</v>
      </c>
      <c r="AA251" s="5" t="s">
        <v>223</v>
      </c>
      <c r="AB251" s="8">
        <f>_xlfn.XLOOKUP(AA251, 'Agency List'!A$2:A$145, 'Agency List'!B$2:B$145, "Not Found")</f>
        <v>0</v>
      </c>
      <c r="AC251" s="8" t="str">
        <f>_xlfn.XLOOKUP(AA251, 'Agency List'!A$2:A$145, 'Agency List'!C$2:C$145, "Not Found")</f>
        <v>70, Hari Darshan Township, Subhashnagar, Bhavnagar</v>
      </c>
      <c r="AD251" s="8">
        <f>_xlfn.XLOOKUP(AA251, 'Agency List'!A$2:A$145, 'Agency List'!D$2:D$145, "Not Found")</f>
        <v>9825209897</v>
      </c>
      <c r="AE251" s="7">
        <v>45863</v>
      </c>
      <c r="AF251" s="5" t="s">
        <v>821</v>
      </c>
      <c r="AG251" s="5" t="str">
        <f t="shared" si="45"/>
        <v>NA</v>
      </c>
      <c r="AH251" s="54"/>
      <c r="AI251" s="49" t="s">
        <v>231</v>
      </c>
      <c r="AJ251" s="8" t="s">
        <v>755</v>
      </c>
      <c r="AK251" s="7">
        <v>45901</v>
      </c>
      <c r="AL251" s="16">
        <v>11</v>
      </c>
      <c r="AM251" s="12">
        <f t="shared" si="46"/>
        <v>2684000</v>
      </c>
      <c r="AN251" s="7">
        <f t="shared" si="47"/>
        <v>47445</v>
      </c>
      <c r="AO251" s="12">
        <f t="shared" si="48"/>
        <v>164500</v>
      </c>
      <c r="AP251" s="12">
        <f t="shared" si="49"/>
        <v>672000</v>
      </c>
      <c r="AQ251" s="15">
        <f t="shared" si="50"/>
        <v>46310</v>
      </c>
      <c r="AR251" s="7">
        <f t="shared" si="51"/>
        <v>47385</v>
      </c>
      <c r="AS251" s="5">
        <v>1353</v>
      </c>
      <c r="AT251" s="7">
        <v>45922</v>
      </c>
      <c r="AU251" s="5"/>
      <c r="AV251" s="17"/>
      <c r="AW251" s="17"/>
      <c r="AX251" s="5"/>
      <c r="AY251" s="5"/>
      <c r="AZ251" s="13"/>
      <c r="BA251" s="12"/>
      <c r="BB251" s="7"/>
      <c r="BC251" s="14"/>
      <c r="BD251" s="14"/>
      <c r="BF251" s="12" t="s">
        <v>845</v>
      </c>
      <c r="BG251" s="14"/>
      <c r="BH251" s="19">
        <v>45945</v>
      </c>
      <c r="BI251" s="5"/>
      <c r="BK251" s="5">
        <v>1766</v>
      </c>
      <c r="BL251" s="7">
        <v>46011</v>
      </c>
      <c r="BM251" s="18"/>
      <c r="BN251" s="18"/>
      <c r="BO251" s="18"/>
      <c r="BP251" s="18"/>
      <c r="BQ251" s="5"/>
      <c r="BR251" s="18"/>
      <c r="BS251" s="18"/>
      <c r="BT251" s="35">
        <f t="shared" si="52"/>
        <v>46279</v>
      </c>
    </row>
    <row r="252" spans="1:72" ht="58" x14ac:dyDescent="0.35">
      <c r="A252" s="5">
        <v>251</v>
      </c>
      <c r="B252" s="5"/>
      <c r="C252" s="5" t="s">
        <v>78</v>
      </c>
      <c r="D252" s="5">
        <v>9</v>
      </c>
      <c r="E252" s="5">
        <v>4</v>
      </c>
      <c r="F252" s="8" t="s">
        <v>375</v>
      </c>
      <c r="G252" s="8" t="s">
        <v>389</v>
      </c>
      <c r="H252" s="5" t="s">
        <v>1</v>
      </c>
      <c r="I252" s="5" t="str" cm="1">
        <f t="array" ref="I252">_xlfn.IFS(
  H252="Mahuva", "Mahuva",
  H252="Jesar", "Mahuva",
  H252="Palitana", "Palitana",
  H252="Gariyadhar", "Palitana",
  H252="Talaja", "Talaja",
  H252="Vallabhipur", "Vallabhipur",
  H252="Umrala", "Vallabhipur",
  H252="Shihor", "Shihor",
  H252="Ghogha", "Bhavnagar",
  H252="Bhavnagar", "Bhavnagar"
)</f>
        <v>Bhavnagar</v>
      </c>
      <c r="J252" s="5" t="s">
        <v>21</v>
      </c>
      <c r="K252" s="5"/>
      <c r="L252" s="5">
        <v>200894</v>
      </c>
      <c r="M252" s="5">
        <v>1</v>
      </c>
      <c r="N252" s="7">
        <v>45841</v>
      </c>
      <c r="O252" s="7">
        <v>45852</v>
      </c>
      <c r="P252" s="7">
        <v>45853</v>
      </c>
      <c r="Q252" s="7">
        <f t="shared" si="41"/>
        <v>45972</v>
      </c>
      <c r="R252" s="9">
        <v>12069061.77</v>
      </c>
      <c r="S252" s="33"/>
      <c r="T252" s="9">
        <v>8932312.6199999992</v>
      </c>
      <c r="U252" s="10">
        <v>-25.99</v>
      </c>
      <c r="V252" s="10" t="str">
        <f t="shared" si="42"/>
        <v>Below</v>
      </c>
      <c r="W252" s="11" t="str" cm="1">
        <f t="array" ref="W252">NumberToWords(T252)</f>
        <v>Eighty Nine Lakh Thirty Two Thousand Three Hundred Twelve Rupees and Sixty Two Paise Only</v>
      </c>
      <c r="X252" s="10" t="str">
        <f t="shared" si="43"/>
        <v>Circle</v>
      </c>
      <c r="Z252" s="9">
        <f t="shared" si="44"/>
        <v>8932312.6199999992</v>
      </c>
      <c r="AA252" s="5" t="s">
        <v>222</v>
      </c>
      <c r="AB252" s="8">
        <f>_xlfn.XLOOKUP(AA252, 'Agency List'!A$2:A$145, 'Agency List'!B$2:B$145, "Not Found")</f>
        <v>0</v>
      </c>
      <c r="AC252" s="8" t="str">
        <f>_xlfn.XLOOKUP(AA252, 'Agency List'!A$2:A$145, 'Agency List'!C$2:C$145, "Not Found")</f>
        <v>"Ashapura Nivas", Shivaji Nagar, Talaja, Ta. Talaja Dist. Bhavnagar</v>
      </c>
      <c r="AD252" s="8">
        <f>_xlfn.XLOOKUP(AA252, 'Agency List'!A$2:A$145, 'Agency List'!D$2:D$145, "Not Found")</f>
        <v>9638310999</v>
      </c>
      <c r="AE252" s="7">
        <v>45863</v>
      </c>
      <c r="AF252" s="5" t="s">
        <v>821</v>
      </c>
      <c r="AG252" s="5" t="str">
        <f t="shared" si="45"/>
        <v>NA</v>
      </c>
      <c r="AH252" s="54"/>
      <c r="AI252" s="49" t="s">
        <v>69</v>
      </c>
      <c r="AJ252" s="20" t="s">
        <v>607</v>
      </c>
      <c r="AK252" s="7">
        <v>45877</v>
      </c>
      <c r="AL252" s="16">
        <v>6</v>
      </c>
      <c r="AM252" s="12">
        <f t="shared" si="46"/>
        <v>447000</v>
      </c>
      <c r="AN252" s="7">
        <f t="shared" si="47"/>
        <v>47324</v>
      </c>
      <c r="AO252" s="12">
        <f t="shared" si="48"/>
        <v>50300</v>
      </c>
      <c r="AP252" s="12">
        <f t="shared" si="49"/>
        <v>579000</v>
      </c>
      <c r="AQ252" s="15">
        <f t="shared" si="50"/>
        <v>46189</v>
      </c>
      <c r="AR252" s="7">
        <f t="shared" si="51"/>
        <v>47264</v>
      </c>
      <c r="AS252" s="5">
        <v>1257</v>
      </c>
      <c r="AT252" s="7">
        <v>45903</v>
      </c>
      <c r="AU252" s="5" t="s">
        <v>78</v>
      </c>
      <c r="AV252" s="17">
        <v>203</v>
      </c>
      <c r="AW252" s="37">
        <v>45974</v>
      </c>
      <c r="AX252" s="5" t="s">
        <v>355</v>
      </c>
      <c r="AY252" s="5" t="s">
        <v>458</v>
      </c>
      <c r="AZ252" s="45" t="s">
        <v>838</v>
      </c>
      <c r="BA252" s="12">
        <v>447000</v>
      </c>
      <c r="BB252" s="7">
        <v>45964</v>
      </c>
      <c r="BC252" s="5" t="s">
        <v>355</v>
      </c>
      <c r="BD252" s="5" t="s">
        <v>458</v>
      </c>
      <c r="BE252" s="45" t="s">
        <v>839</v>
      </c>
      <c r="BF252" s="12">
        <v>579000</v>
      </c>
      <c r="BG252" s="7">
        <v>45964</v>
      </c>
      <c r="BH252" s="19">
        <v>45974</v>
      </c>
      <c r="BI252" s="5">
        <v>1525</v>
      </c>
      <c r="BJ252" s="19">
        <v>45974</v>
      </c>
      <c r="BM252" s="18"/>
      <c r="BN252" s="18"/>
      <c r="BO252" s="18"/>
      <c r="BP252" s="18"/>
      <c r="BQ252" s="5"/>
      <c r="BR252" s="18"/>
      <c r="BS252" s="18"/>
      <c r="BT252" s="35">
        <f t="shared" si="52"/>
        <v>46154</v>
      </c>
    </row>
    <row r="253" spans="1:72" ht="43.5" x14ac:dyDescent="0.35">
      <c r="A253" s="5">
        <v>252</v>
      </c>
      <c r="B253" s="5"/>
      <c r="C253" s="5" t="s">
        <v>78</v>
      </c>
      <c r="D253" s="5">
        <v>9</v>
      </c>
      <c r="E253" s="5">
        <v>5</v>
      </c>
      <c r="F253" s="8" t="s">
        <v>381</v>
      </c>
      <c r="G253" s="8"/>
      <c r="H253" s="5" t="s">
        <v>13</v>
      </c>
      <c r="I253" s="5" t="str" cm="1">
        <f t="array" ref="I253">_xlfn.IFS(
  H253="Mahuva", "Mahuva",
  H253="Jesar", "Mahuva",
  H253="Palitana", "Palitana",
  H253="Gariyadhar", "Palitana",
  H253="Talaja", "Talaja",
  H253="Vallabhipur", "Vallabhipur",
  H253="Umrala", "Vallabhipur",
  H253="Shihor", "Shihor",
  H253="Ghogha", "Bhavnagar",
  H253="Bhavnagar", "Bhavnagar"
)</f>
        <v>Shihor</v>
      </c>
      <c r="J253" s="5" t="s">
        <v>21</v>
      </c>
      <c r="K253" s="5"/>
      <c r="L253" s="5">
        <v>199598</v>
      </c>
      <c r="M253" s="5">
        <v>1</v>
      </c>
      <c r="N253" s="7">
        <v>45841</v>
      </c>
      <c r="O253" s="7">
        <v>45852</v>
      </c>
      <c r="P253" s="7">
        <v>45853</v>
      </c>
      <c r="Q253" s="7">
        <f t="shared" si="41"/>
        <v>45972</v>
      </c>
      <c r="R253" s="9">
        <v>31383339.899999999</v>
      </c>
      <c r="S253" s="33"/>
      <c r="T253" s="9">
        <v>25288695.289999999</v>
      </c>
      <c r="U253" s="10">
        <v>-19.420000000000002</v>
      </c>
      <c r="V253" s="10" t="str">
        <f t="shared" si="42"/>
        <v>Below</v>
      </c>
      <c r="W253" s="11" t="str" cm="1">
        <f t="array" ref="W253">NumberToWords(T253)</f>
        <v>Two Crore Fifty Two Lakh Eighty Eight Thousand Six Hundred Ninety Five Rupees and Twenty Nine Paise Only</v>
      </c>
      <c r="X253" s="10" t="str">
        <f t="shared" si="43"/>
        <v>Government</v>
      </c>
      <c r="Z253" s="9">
        <f t="shared" si="44"/>
        <v>25288695.289999999</v>
      </c>
      <c r="AA253" s="5" t="s">
        <v>155</v>
      </c>
      <c r="AB253" s="8" t="str">
        <f>_xlfn.XLOOKUP(AA253, 'Agency List'!A$2:A$145, 'Agency List'!B$2:B$145, "Not Found")</f>
        <v>GULABSINH LAKHUBHAI SARVAIYA</v>
      </c>
      <c r="AC253" s="8" t="str">
        <f>_xlfn.XLOOKUP(AA253, 'Agency List'!A$2:A$145, 'Agency List'!C$2:C$145, "Not Found")</f>
        <v>PLOT NO. 1 A-16, Shere Panjab Pachhal, Santkrupa valo khancho, chitra GIDC, BHAVNAGAR-364004</v>
      </c>
      <c r="AD253" s="8">
        <f>_xlfn.XLOOKUP(AA253, 'Agency List'!A$2:A$145, 'Agency List'!D$2:D$145, "Not Found")</f>
        <v>9428857071</v>
      </c>
      <c r="AE253" s="7">
        <v>45863</v>
      </c>
      <c r="AF253" s="5" t="s">
        <v>821</v>
      </c>
      <c r="AG253" s="5" t="str">
        <f t="shared" si="45"/>
        <v>NA</v>
      </c>
      <c r="AH253" s="54"/>
      <c r="AI253" s="50" t="s">
        <v>231</v>
      </c>
      <c r="AJ253" s="8" t="s">
        <v>712</v>
      </c>
      <c r="AK253" s="7">
        <v>45887</v>
      </c>
      <c r="AL253" s="16">
        <v>10</v>
      </c>
      <c r="AM253" s="12">
        <f t="shared" si="46"/>
        <v>1265000</v>
      </c>
      <c r="AN253" s="7">
        <f t="shared" si="47"/>
        <v>47415</v>
      </c>
      <c r="AO253" s="12">
        <f t="shared" si="48"/>
        <v>91000</v>
      </c>
      <c r="AP253" s="12">
        <f t="shared" si="49"/>
        <v>592000</v>
      </c>
      <c r="AQ253" s="15">
        <f t="shared" si="50"/>
        <v>46280</v>
      </c>
      <c r="AR253" s="7">
        <f t="shared" si="51"/>
        <v>47355</v>
      </c>
      <c r="AS253" s="5">
        <v>1262</v>
      </c>
      <c r="AT253" s="7">
        <v>45904</v>
      </c>
      <c r="AU253" s="5"/>
      <c r="AV253" s="17"/>
      <c r="AW253" s="17"/>
      <c r="AX253" s="5"/>
      <c r="AY253" s="5"/>
      <c r="AZ253" s="13"/>
      <c r="BA253" s="12"/>
      <c r="BB253" s="7"/>
      <c r="BC253" s="14"/>
      <c r="BD253" s="14"/>
      <c r="BF253" s="12"/>
      <c r="BG253" s="14"/>
      <c r="BH253" s="19">
        <v>45945</v>
      </c>
      <c r="BI253" s="5"/>
      <c r="BK253" s="5">
        <v>1760</v>
      </c>
      <c r="BL253" s="7">
        <v>46011</v>
      </c>
      <c r="BM253" s="18"/>
      <c r="BN253" s="18"/>
      <c r="BO253" s="18"/>
      <c r="BP253" s="18"/>
      <c r="BQ253" s="5"/>
      <c r="BR253" s="18"/>
      <c r="BS253" s="18"/>
      <c r="BT253" s="35">
        <f t="shared" si="52"/>
        <v>46248</v>
      </c>
    </row>
    <row r="254" spans="1:72" ht="43.5" x14ac:dyDescent="0.35">
      <c r="A254" s="5">
        <v>253</v>
      </c>
      <c r="B254" s="5"/>
      <c r="C254" s="5" t="s">
        <v>78</v>
      </c>
      <c r="D254" s="5">
        <v>9</v>
      </c>
      <c r="E254" s="5">
        <v>6</v>
      </c>
      <c r="F254" s="8" t="s">
        <v>376</v>
      </c>
      <c r="G254" s="8"/>
      <c r="H254" s="5" t="s">
        <v>13</v>
      </c>
      <c r="I254" s="5" t="str" cm="1">
        <f t="array" ref="I254">_xlfn.IFS(
  H254="Mahuva", "Mahuva",
  H254="Jesar", "Mahuva",
  H254="Palitana", "Palitana",
  H254="Gariyadhar", "Palitana",
  H254="Talaja", "Talaja",
  H254="Vallabhipur", "Vallabhipur",
  H254="Umrala", "Vallabhipur",
  H254="Shihor", "Shihor",
  H254="Ghogha", "Bhavnagar",
  H254="Bhavnagar", "Bhavnagar"
)</f>
        <v>Shihor</v>
      </c>
      <c r="J254" s="5" t="s">
        <v>21</v>
      </c>
      <c r="K254" s="5"/>
      <c r="L254" s="5">
        <v>199599</v>
      </c>
      <c r="M254" s="5">
        <v>1</v>
      </c>
      <c r="N254" s="7">
        <v>45841</v>
      </c>
      <c r="O254" s="7">
        <v>45852</v>
      </c>
      <c r="P254" s="7">
        <v>45853</v>
      </c>
      <c r="Q254" s="7">
        <f t="shared" si="41"/>
        <v>45972</v>
      </c>
      <c r="R254" s="9">
        <v>14529445.869999999</v>
      </c>
      <c r="S254" s="33"/>
      <c r="T254" s="9">
        <v>12560705.949999999</v>
      </c>
      <c r="U254" s="10">
        <v>-13.55</v>
      </c>
      <c r="V254" s="10" t="str">
        <f t="shared" si="42"/>
        <v>Below</v>
      </c>
      <c r="W254" s="11" t="str" cm="1">
        <f t="array" ref="W254">NumberToWords(T254)</f>
        <v>One Crore Twenty Five Lakh Sixty Thousand Seven Hundred Five Rupees and Ninety Five Paise Only</v>
      </c>
      <c r="X254" s="10" t="str">
        <f t="shared" si="43"/>
        <v>Circle</v>
      </c>
      <c r="Z254" s="9">
        <f t="shared" si="44"/>
        <v>12560705.949999999</v>
      </c>
      <c r="AA254" s="5" t="s">
        <v>81</v>
      </c>
      <c r="AB254" s="8">
        <f>_xlfn.XLOOKUP(AA254, 'Agency List'!A$2:A$145, 'Agency List'!B$2:B$145, "Not Found")</f>
        <v>0</v>
      </c>
      <c r="AC254" s="8" t="str">
        <f>_xlfn.XLOOKUP(AA254, 'Agency List'!A$2:A$145, 'Agency List'!C$2:C$145, "Not Found")</f>
        <v>AT JALALPUR, TA. GADHADA, DIST. BOTAD - 364740</v>
      </c>
      <c r="AD254" s="8">
        <f>_xlfn.XLOOKUP(AA254, 'Agency List'!A$2:A$145, 'Agency List'!D$2:D$145, "Not Found")</f>
        <v>8849179437</v>
      </c>
      <c r="AE254" s="7">
        <v>45863</v>
      </c>
      <c r="AF254" s="5" t="s">
        <v>821</v>
      </c>
      <c r="AG254" s="5" t="str">
        <f t="shared" si="45"/>
        <v>NA</v>
      </c>
      <c r="AH254" s="54"/>
      <c r="AI254" s="49" t="s">
        <v>69</v>
      </c>
      <c r="AJ254" s="20" t="s">
        <v>606</v>
      </c>
      <c r="AK254" s="7">
        <v>45877</v>
      </c>
      <c r="AL254" s="16">
        <v>8</v>
      </c>
      <c r="AM254" s="12">
        <f t="shared" si="46"/>
        <v>629000</v>
      </c>
      <c r="AN254" s="7">
        <f t="shared" si="47"/>
        <v>47355</v>
      </c>
      <c r="AO254" s="12">
        <f t="shared" si="48"/>
        <v>36000</v>
      </c>
      <c r="AP254" s="12">
        <f t="shared" si="49"/>
        <v>104000</v>
      </c>
      <c r="AQ254" s="15">
        <f t="shared" si="50"/>
        <v>46220</v>
      </c>
      <c r="AR254" s="7">
        <f t="shared" si="51"/>
        <v>47295</v>
      </c>
      <c r="AS254" s="5">
        <v>1256</v>
      </c>
      <c r="AT254" s="7">
        <v>45903</v>
      </c>
      <c r="AU254" s="5"/>
      <c r="AV254" s="17"/>
      <c r="AW254" s="17"/>
      <c r="AX254" s="5"/>
      <c r="AY254" s="5"/>
      <c r="AZ254" s="13"/>
      <c r="BA254" s="12"/>
      <c r="BB254" s="7"/>
      <c r="BC254" s="14"/>
      <c r="BD254" s="14"/>
      <c r="BF254" s="12"/>
      <c r="BG254" s="14"/>
      <c r="BH254" s="19">
        <v>45945</v>
      </c>
      <c r="BI254" s="5"/>
      <c r="BK254" s="5">
        <v>1761</v>
      </c>
      <c r="BL254" s="7">
        <v>46011</v>
      </c>
      <c r="BM254" s="18"/>
      <c r="BN254" s="18"/>
      <c r="BO254" s="18"/>
      <c r="BP254" s="18"/>
      <c r="BQ254" s="5"/>
      <c r="BR254" s="18"/>
      <c r="BS254" s="18"/>
      <c r="BT254" s="35">
        <f t="shared" si="52"/>
        <v>46187</v>
      </c>
    </row>
    <row r="255" spans="1:72" ht="43.5" x14ac:dyDescent="0.35">
      <c r="A255" s="5">
        <v>254</v>
      </c>
      <c r="B255" s="5"/>
      <c r="C255" s="5" t="s">
        <v>78</v>
      </c>
      <c r="D255" s="5">
        <v>9</v>
      </c>
      <c r="E255" s="5">
        <v>7</v>
      </c>
      <c r="F255" s="8" t="s">
        <v>380</v>
      </c>
      <c r="G255" s="8"/>
      <c r="H255" s="5" t="s">
        <v>13</v>
      </c>
      <c r="I255" s="5" t="str" cm="1">
        <f t="array" ref="I255">_xlfn.IFS(
  H255="Mahuva", "Mahuva",
  H255="Jesar", "Mahuva",
  H255="Palitana", "Palitana",
  H255="Gariyadhar", "Palitana",
  H255="Talaja", "Talaja",
  H255="Vallabhipur", "Vallabhipur",
  H255="Umrala", "Vallabhipur",
  H255="Shihor", "Shihor",
  H255="Ghogha", "Bhavnagar",
  H255="Bhavnagar", "Bhavnagar"
)</f>
        <v>Shihor</v>
      </c>
      <c r="J255" s="5" t="s">
        <v>21</v>
      </c>
      <c r="K255" s="5"/>
      <c r="L255" s="5">
        <v>199600</v>
      </c>
      <c r="M255" s="5">
        <v>1</v>
      </c>
      <c r="N255" s="7">
        <v>45841</v>
      </c>
      <c r="O255" s="7">
        <v>45852</v>
      </c>
      <c r="P255" s="7">
        <v>45853</v>
      </c>
      <c r="Q255" s="7">
        <f t="shared" si="41"/>
        <v>45972</v>
      </c>
      <c r="R255" s="9">
        <v>21473015.379999999</v>
      </c>
      <c r="S255" s="33"/>
      <c r="T255" s="9">
        <v>18786741.16</v>
      </c>
      <c r="U255" s="10">
        <v>-12.51</v>
      </c>
      <c r="V255" s="10" t="str">
        <f t="shared" si="42"/>
        <v>Below</v>
      </c>
      <c r="W255" s="11" t="str" cm="1">
        <f t="array" ref="W255">NumberToWords(T255)</f>
        <v>One Crore Eighty Seven Lakh Eighty Six Thousand Seven Hundred Forty One Rupees and Sixteen Paise Only</v>
      </c>
      <c r="X255" s="10" t="str">
        <f t="shared" si="43"/>
        <v>Circle</v>
      </c>
      <c r="Z255" s="9">
        <f t="shared" si="44"/>
        <v>18786741.16</v>
      </c>
      <c r="AA255" s="5" t="s">
        <v>223</v>
      </c>
      <c r="AB255" s="8">
        <f>_xlfn.XLOOKUP(AA255, 'Agency List'!A$2:A$145, 'Agency List'!B$2:B$145, "Not Found")</f>
        <v>0</v>
      </c>
      <c r="AC255" s="8" t="str">
        <f>_xlfn.XLOOKUP(AA255, 'Agency List'!A$2:A$145, 'Agency List'!C$2:C$145, "Not Found")</f>
        <v>70, Hari Darshan Township, Subhashnagar, Bhavnagar</v>
      </c>
      <c r="AD255" s="8">
        <f>_xlfn.XLOOKUP(AA255, 'Agency List'!A$2:A$145, 'Agency List'!D$2:D$145, "Not Found")</f>
        <v>9825209897</v>
      </c>
      <c r="AE255" s="7">
        <v>45863</v>
      </c>
      <c r="AF255" s="5" t="s">
        <v>821</v>
      </c>
      <c r="AG255" s="5" t="str">
        <f t="shared" si="45"/>
        <v>NA</v>
      </c>
      <c r="AH255" s="54"/>
      <c r="AI255" s="50" t="s">
        <v>231</v>
      </c>
      <c r="AJ255" s="8" t="s">
        <v>713</v>
      </c>
      <c r="AK255" s="7">
        <v>45887</v>
      </c>
      <c r="AL255" s="16">
        <v>8</v>
      </c>
      <c r="AM255" s="12">
        <f t="shared" si="46"/>
        <v>940000</v>
      </c>
      <c r="AN255" s="7">
        <f t="shared" si="47"/>
        <v>47355</v>
      </c>
      <c r="AO255" s="12">
        <f t="shared" si="48"/>
        <v>51400</v>
      </c>
      <c r="AP255" s="12">
        <f t="shared" si="49"/>
        <v>108000</v>
      </c>
      <c r="AQ255" s="15">
        <f t="shared" si="50"/>
        <v>46220</v>
      </c>
      <c r="AR255" s="7">
        <f t="shared" si="51"/>
        <v>47295</v>
      </c>
      <c r="AS255" s="5">
        <v>1261</v>
      </c>
      <c r="AT255" s="7">
        <v>45904</v>
      </c>
      <c r="AU255" s="5"/>
      <c r="AV255" s="17"/>
      <c r="AW255" s="17"/>
      <c r="AX255" s="5"/>
      <c r="AY255" s="5"/>
      <c r="AZ255" s="13"/>
      <c r="BA255" s="12"/>
      <c r="BB255" s="7"/>
      <c r="BC255" s="14"/>
      <c r="BD255" s="14"/>
      <c r="BF255" s="12"/>
      <c r="BG255" s="14"/>
      <c r="BH255" s="19">
        <v>45945</v>
      </c>
      <c r="BI255" s="5"/>
      <c r="BK255" s="5">
        <v>1762</v>
      </c>
      <c r="BL255" s="7">
        <v>46011</v>
      </c>
      <c r="BM255" s="18"/>
      <c r="BN255" s="18"/>
      <c r="BO255" s="18"/>
      <c r="BP255" s="18"/>
      <c r="BQ255" s="5"/>
      <c r="BR255" s="18"/>
      <c r="BS255" s="18"/>
      <c r="BT255" s="35">
        <f t="shared" si="52"/>
        <v>46187</v>
      </c>
    </row>
    <row r="256" spans="1:72" ht="43.5" x14ac:dyDescent="0.35">
      <c r="A256" s="5">
        <v>255</v>
      </c>
      <c r="B256" s="5"/>
      <c r="C256" s="5" t="s">
        <v>78</v>
      </c>
      <c r="D256" s="5">
        <v>9</v>
      </c>
      <c r="E256" s="5">
        <v>8</v>
      </c>
      <c r="F256" s="8" t="s">
        <v>387</v>
      </c>
      <c r="G256" s="8"/>
      <c r="H256" s="5" t="s">
        <v>4</v>
      </c>
      <c r="I256" s="5" t="str" cm="1">
        <f t="array" ref="I256">_xlfn.IFS(
  H256="Mahuva", "Mahuva",
  H256="Jesar", "Mahuva",
  H256="Palitana", "Palitana",
  H256="Gariyadhar", "Palitana",
  H256="Talaja", "Talaja",
  H256="Vallabhipur", "Vallabhipur",
  H256="Umrala", "Vallabhipur",
  H256="Shihor", "Shihor",
  H256="Ghogha", "Bhavnagar",
  H256="Bhavnagar", "Bhavnagar"
)</f>
        <v>Talaja</v>
      </c>
      <c r="J256" s="5" t="s">
        <v>21</v>
      </c>
      <c r="K256" s="5"/>
      <c r="L256" s="5">
        <v>199601</v>
      </c>
      <c r="M256" s="5">
        <v>1</v>
      </c>
      <c r="N256" s="7">
        <v>45841</v>
      </c>
      <c r="O256" s="7">
        <v>45852</v>
      </c>
      <c r="P256" s="7">
        <v>45853</v>
      </c>
      <c r="Q256" s="7">
        <f t="shared" si="41"/>
        <v>45972</v>
      </c>
      <c r="R256" s="9">
        <v>21756202.609999999</v>
      </c>
      <c r="S256" s="33" t="s">
        <v>233</v>
      </c>
      <c r="U256" s="10"/>
      <c r="V256" s="10" t="str">
        <f t="shared" si="42"/>
        <v>Equals</v>
      </c>
      <c r="W256" s="11" t="str" cm="1">
        <f t="array" ref="W256">NumberToWords(T256)</f>
        <v>Zero Rupees Only</v>
      </c>
      <c r="X256" s="10" t="str">
        <f t="shared" si="43"/>
        <v>Division</v>
      </c>
      <c r="Z256" s="9">
        <f t="shared" si="44"/>
        <v>0</v>
      </c>
      <c r="AB256" s="8">
        <f>_xlfn.XLOOKUP(AA256, 'Agency List'!A$2:A$145, 'Agency List'!B$2:B$145, "Not Found")</f>
        <v>0</v>
      </c>
      <c r="AC256" s="8">
        <f>_xlfn.XLOOKUP(AA256, 'Agency List'!A$2:A$145, 'Agency List'!C$2:C$145, "Not Found")</f>
        <v>0</v>
      </c>
      <c r="AD256" s="8">
        <f>_xlfn.XLOOKUP(AA256, 'Agency List'!A$2:A$145, 'Agency List'!D$2:D$145, "Not Found")</f>
        <v>0</v>
      </c>
      <c r="AE256" s="7"/>
      <c r="AF256" s="48"/>
      <c r="AG256" s="5" t="str">
        <f t="shared" si="45"/>
        <v>Bandhkam</v>
      </c>
      <c r="AH256" s="54"/>
      <c r="AI256" s="49"/>
      <c r="AJ256" s="8"/>
      <c r="AL256" s="16"/>
      <c r="AM256" s="12">
        <f t="shared" si="46"/>
        <v>0</v>
      </c>
      <c r="AN256" s="7">
        <f t="shared" si="47"/>
        <v>1170</v>
      </c>
      <c r="AO256" s="12">
        <f t="shared" si="48"/>
        <v>0</v>
      </c>
      <c r="AP256" s="12">
        <f t="shared" si="49"/>
        <v>0</v>
      </c>
      <c r="AQ256" s="15">
        <f t="shared" si="50"/>
        <v>35</v>
      </c>
      <c r="AR256" s="7">
        <f t="shared" si="51"/>
        <v>1110</v>
      </c>
      <c r="AS256" s="5"/>
      <c r="AU256" s="5"/>
      <c r="AV256" s="17"/>
      <c r="AW256" s="17"/>
      <c r="AX256" s="5"/>
      <c r="AY256" s="5"/>
      <c r="AZ256" s="13"/>
      <c r="BA256" s="12"/>
      <c r="BB256" s="7"/>
      <c r="BC256" s="14"/>
      <c r="BD256" s="14"/>
      <c r="BF256" s="12"/>
      <c r="BG256" s="14"/>
      <c r="BH256" s="19"/>
      <c r="BI256" s="5"/>
      <c r="BM256" s="18"/>
      <c r="BN256" s="18"/>
      <c r="BO256" s="18"/>
      <c r="BP256" s="18"/>
      <c r="BQ256" s="5"/>
      <c r="BR256" s="18"/>
      <c r="BS256" s="18"/>
      <c r="BT256" s="35">
        <f t="shared" si="52"/>
        <v>-1</v>
      </c>
    </row>
    <row r="257" spans="1:72" ht="29" x14ac:dyDescent="0.35">
      <c r="A257" s="5">
        <v>256</v>
      </c>
      <c r="B257" s="5"/>
      <c r="C257" s="5" t="s">
        <v>78</v>
      </c>
      <c r="D257" s="5">
        <v>9</v>
      </c>
      <c r="E257" s="5">
        <v>9</v>
      </c>
      <c r="F257" s="8" t="s">
        <v>386</v>
      </c>
      <c r="G257" s="8"/>
      <c r="H257" s="5" t="s">
        <v>4</v>
      </c>
      <c r="I257" s="5" t="str" cm="1">
        <f t="array" ref="I257">_xlfn.IFS(
  H257="Mahuva", "Mahuva",
  H257="Jesar", "Mahuva",
  H257="Palitana", "Palitana",
  H257="Gariyadhar", "Palitana",
  H257="Talaja", "Talaja",
  H257="Vallabhipur", "Vallabhipur",
  H257="Umrala", "Vallabhipur",
  H257="Shihor", "Shihor",
  H257="Ghogha", "Bhavnagar",
  H257="Bhavnagar", "Bhavnagar"
)</f>
        <v>Talaja</v>
      </c>
      <c r="J257" s="5" t="s">
        <v>21</v>
      </c>
      <c r="K257" s="5"/>
      <c r="L257" s="5">
        <v>199602</v>
      </c>
      <c r="M257" s="5">
        <v>1</v>
      </c>
      <c r="N257" s="7">
        <v>45841</v>
      </c>
      <c r="O257" s="7">
        <v>45852</v>
      </c>
      <c r="P257" s="7">
        <v>45853</v>
      </c>
      <c r="Q257" s="7">
        <f t="shared" si="41"/>
        <v>45972</v>
      </c>
      <c r="R257" s="9">
        <v>13636075.76</v>
      </c>
      <c r="S257" s="33" t="s">
        <v>233</v>
      </c>
      <c r="U257" s="10"/>
      <c r="V257" s="10" t="str">
        <f t="shared" si="42"/>
        <v>Equals</v>
      </c>
      <c r="W257" s="11" t="str" cm="1">
        <f t="array" ref="W257">NumberToWords(T257)</f>
        <v>Zero Rupees Only</v>
      </c>
      <c r="X257" s="10" t="str">
        <f t="shared" si="43"/>
        <v>Division</v>
      </c>
      <c r="Z257" s="9">
        <f t="shared" si="44"/>
        <v>0</v>
      </c>
      <c r="AB257" s="8">
        <f>_xlfn.XLOOKUP(AA257, 'Agency List'!A$2:A$145, 'Agency List'!B$2:B$145, "Not Found")</f>
        <v>0</v>
      </c>
      <c r="AC257" s="8">
        <f>_xlfn.XLOOKUP(AA257, 'Agency List'!A$2:A$145, 'Agency List'!C$2:C$145, "Not Found")</f>
        <v>0</v>
      </c>
      <c r="AD257" s="8">
        <f>_xlfn.XLOOKUP(AA257, 'Agency List'!A$2:A$145, 'Agency List'!D$2:D$145, "Not Found")</f>
        <v>0</v>
      </c>
      <c r="AE257" s="7"/>
      <c r="AF257" s="48"/>
      <c r="AG257" s="5" t="str">
        <f t="shared" si="45"/>
        <v>Bandhkam</v>
      </c>
      <c r="AH257" s="54"/>
      <c r="AI257" s="49"/>
      <c r="AJ257" s="8"/>
      <c r="AL257" s="16"/>
      <c r="AM257" s="12">
        <f t="shared" si="46"/>
        <v>0</v>
      </c>
      <c r="AN257" s="7">
        <f t="shared" si="47"/>
        <v>1170</v>
      </c>
      <c r="AO257" s="12">
        <f t="shared" si="48"/>
        <v>0</v>
      </c>
      <c r="AP257" s="12">
        <f t="shared" si="49"/>
        <v>0</v>
      </c>
      <c r="AQ257" s="15">
        <f t="shared" si="50"/>
        <v>35</v>
      </c>
      <c r="AR257" s="7">
        <f t="shared" si="51"/>
        <v>1110</v>
      </c>
      <c r="AS257" s="5"/>
      <c r="AU257" s="5"/>
      <c r="AV257" s="17"/>
      <c r="AW257" s="17"/>
      <c r="AX257" s="5"/>
      <c r="AY257" s="5"/>
      <c r="AZ257" s="13"/>
      <c r="BA257" s="12"/>
      <c r="BB257" s="7"/>
      <c r="BC257" s="14"/>
      <c r="BD257" s="14"/>
      <c r="BF257" s="12"/>
      <c r="BG257" s="14"/>
      <c r="BH257" s="19"/>
      <c r="BI257" s="5"/>
      <c r="BM257" s="18"/>
      <c r="BN257" s="18"/>
      <c r="BO257" s="18"/>
      <c r="BP257" s="18"/>
      <c r="BQ257" s="5"/>
      <c r="BR257" s="18"/>
      <c r="BS257" s="18"/>
      <c r="BT257" s="35">
        <f t="shared" si="52"/>
        <v>-1</v>
      </c>
    </row>
    <row r="258" spans="1:72" ht="43.5" x14ac:dyDescent="0.35">
      <c r="A258" s="5">
        <v>257</v>
      </c>
      <c r="B258" s="5"/>
      <c r="C258" s="5" t="s">
        <v>78</v>
      </c>
      <c r="D258" s="5">
        <v>9</v>
      </c>
      <c r="E258" s="5">
        <v>10</v>
      </c>
      <c r="F258" s="8" t="s">
        <v>379</v>
      </c>
      <c r="G258" s="8"/>
      <c r="H258" s="5" t="s">
        <v>257</v>
      </c>
      <c r="I258" s="5" t="str" cm="1">
        <f t="array" ref="I258">_xlfn.IFS(
  H258="Mahuva", "Mahuva",
  H258="Jesar", "Mahuva",
  H258="Palitana", "Palitana",
  H258="Gariyadhar", "Palitana",
  H258="Talaja", "Talaja",
  H258="Vallabhipur", "Vallabhipur",
  H258="Umrala", "Vallabhipur",
  H258="Shihor", "Shihor",
  H258="Ghogha", "Bhavnagar",
  H258="Bhavnagar", "Bhavnagar"
)</f>
        <v>Palitana</v>
      </c>
      <c r="J258" s="5" t="s">
        <v>21</v>
      </c>
      <c r="K258" s="5"/>
      <c r="L258" s="5">
        <v>199603</v>
      </c>
      <c r="M258" s="5">
        <v>1</v>
      </c>
      <c r="N258" s="7">
        <v>45841</v>
      </c>
      <c r="O258" s="7">
        <v>45852</v>
      </c>
      <c r="P258" s="7">
        <v>45853</v>
      </c>
      <c r="Q258" s="7">
        <f t="shared" ref="Q258:Q321" si="53">O258+120</f>
        <v>45972</v>
      </c>
      <c r="R258" s="9">
        <v>41947449.920000002</v>
      </c>
      <c r="S258" s="33"/>
      <c r="T258" s="9">
        <v>33864176.32</v>
      </c>
      <c r="U258" s="10">
        <v>-19.27</v>
      </c>
      <c r="V258" s="10" t="str">
        <f t="shared" ref="V258:V321" si="54">IF(U258&lt;0,"Below",IF(U258&gt;0,"Above","Equals"))</f>
        <v>Below</v>
      </c>
      <c r="W258" s="11" t="str" cm="1">
        <f t="array" ref="W258">NumberToWords(T258)</f>
        <v>Three Crore Thirty Eight Lakh Sixty Four Thousand One Hundred Seventy Six Rupees and Thirty Two Paise Only</v>
      </c>
      <c r="X258" s="10" t="str">
        <f t="shared" ref="X258:X321" si="55">IF(T258&lt;5000000,"Division",IF(T258&lt;=20000000,"Circle","Government"))</f>
        <v>Government</v>
      </c>
      <c r="Z258" s="9">
        <f t="shared" ref="Z258:Z321" si="56">T258+Y258</f>
        <v>33864176.32</v>
      </c>
      <c r="AA258" s="5" t="s">
        <v>18</v>
      </c>
      <c r="AB258" s="8">
        <f>_xlfn.XLOOKUP(AA258, 'Agency List'!A$2:A$145, 'Agency List'!B$2:B$145, "Not Found")</f>
        <v>0</v>
      </c>
      <c r="AC258" s="8" t="str">
        <f>_xlfn.XLOOKUP(AA258, 'Agency List'!A$2:A$145, 'Agency List'!C$2:C$145, "Not Found")</f>
        <v>Shop No. 131/B, First Floor, Shiva Belssing-2, Opp. BMC Office, Bhavnagar</v>
      </c>
      <c r="AD258" s="8">
        <f>_xlfn.XLOOKUP(AA258, 'Agency List'!A$2:A$145, 'Agency List'!D$2:D$145, "Not Found")</f>
        <v>9925888787</v>
      </c>
      <c r="AE258" s="7">
        <v>45863</v>
      </c>
      <c r="AF258" s="5" t="s">
        <v>821</v>
      </c>
      <c r="AG258" s="5" t="str">
        <f t="shared" ref="AG258:AG321" si="57">IF(AND(
   AF258&lt;&gt;"5054 MMGSY NORMAL",
   AF258&lt;&gt;"3054 MMGSY NORMAL",
   AF258&lt;&gt;"5054 MMGSY SCSP",
   AF258&lt;&gt;"5054 Suvidhapath"
),
   IF(T258&gt;2500000,"Karobari","Bandhkam"),
   "NA"
)</f>
        <v>NA</v>
      </c>
      <c r="AH258" s="48"/>
      <c r="AI258" s="8" t="s">
        <v>231</v>
      </c>
      <c r="AJ258" s="8" t="s">
        <v>756</v>
      </c>
      <c r="AK258" s="7">
        <v>45901</v>
      </c>
      <c r="AL258" s="16">
        <v>10</v>
      </c>
      <c r="AM258" s="12">
        <f t="shared" ref="AM258:AM321" si="58">CEILING(T258*5/100, 1000)</f>
        <v>1694000</v>
      </c>
      <c r="AN258" s="7">
        <f t="shared" ref="AN258:AN321" si="59">AR258+60</f>
        <v>47507</v>
      </c>
      <c r="AO258" s="12">
        <f t="shared" ref="AO258:AO321" si="60">CEILING(((AM258+AP258)*4.9/100),100)</f>
        <v>121200</v>
      </c>
      <c r="AP258" s="12">
        <f t="shared" ref="AP258:AP321" si="61">IF(U258&lt;-20,(CEILING(((R258*90/100)-T258)*30/100, 1000)),IF(U258&lt;-10,(CEILING(((R258*90/100)-T258)*20/100, 1000)),0))</f>
        <v>778000</v>
      </c>
      <c r="AQ258" s="15">
        <f t="shared" ref="AQ258:AQ321" si="62">BH258+AL258*30+35</f>
        <v>46372</v>
      </c>
      <c r="AR258" s="7">
        <f t="shared" ref="AR258:AR321" si="63" xml:space="preserve">   IF(R258&gt;10000000,
      BH258 + AL258*30 + 36*30 + 30,
      BH258 + AL258*30 + 12*30 + 30
   )</f>
        <v>47447</v>
      </c>
      <c r="AS258" s="5">
        <v>1354</v>
      </c>
      <c r="AT258" s="7">
        <v>45922</v>
      </c>
      <c r="AU258" s="5" t="s">
        <v>78</v>
      </c>
      <c r="AV258" s="17">
        <v>263</v>
      </c>
      <c r="AW258" s="37">
        <v>46037</v>
      </c>
      <c r="AX258" s="5" t="s">
        <v>359</v>
      </c>
      <c r="AY258" s="5" t="s">
        <v>609</v>
      </c>
      <c r="AZ258" s="13" t="s">
        <v>1066</v>
      </c>
      <c r="BA258" s="12">
        <v>1694000</v>
      </c>
      <c r="BB258" s="7">
        <v>46017</v>
      </c>
      <c r="BC258" s="5" t="s">
        <v>359</v>
      </c>
      <c r="BD258" s="5" t="s">
        <v>609</v>
      </c>
      <c r="BE258" s="13" t="s">
        <v>1067</v>
      </c>
      <c r="BF258" s="12">
        <v>778000</v>
      </c>
      <c r="BG258" s="7">
        <v>46017</v>
      </c>
      <c r="BH258" s="19">
        <v>46037</v>
      </c>
      <c r="BI258" s="5">
        <v>47</v>
      </c>
      <c r="BJ258" s="19">
        <v>46037</v>
      </c>
      <c r="BK258" s="5">
        <v>1758</v>
      </c>
      <c r="BL258" s="7">
        <v>46011</v>
      </c>
      <c r="BM258" s="18"/>
      <c r="BN258" s="18"/>
      <c r="BO258" s="18"/>
      <c r="BP258" s="18"/>
      <c r="BQ258" s="5"/>
      <c r="BR258" s="18"/>
      <c r="BS258" s="18"/>
      <c r="BT258" s="35">
        <f t="shared" si="52"/>
        <v>46340</v>
      </c>
    </row>
    <row r="259" spans="1:72" ht="43.5" x14ac:dyDescent="0.35">
      <c r="A259" s="5">
        <v>258</v>
      </c>
      <c r="B259" s="5"/>
      <c r="C259" s="5" t="s">
        <v>78</v>
      </c>
      <c r="D259" s="5">
        <v>9</v>
      </c>
      <c r="E259" s="5">
        <v>11</v>
      </c>
      <c r="F259" s="8" t="s">
        <v>378</v>
      </c>
      <c r="G259" s="8"/>
      <c r="H259" s="5" t="s">
        <v>12</v>
      </c>
      <c r="I259" s="5" t="str" cm="1">
        <f t="array" ref="I259">_xlfn.IFS(
  H259="Mahuva", "Mahuva",
  H259="Jesar", "Mahuva",
  H259="Palitana", "Palitana",
  H259="Gariyadhar", "Palitana",
  H259="Talaja", "Talaja",
  H259="Vallabhipur", "Vallabhipur",
  H259="Umrala", "Vallabhipur",
  H259="Shihor", "Shihor",
  H259="Ghogha", "Bhavnagar",
  H259="Bhavnagar", "Bhavnagar"
)</f>
        <v>Mahuva</v>
      </c>
      <c r="J259" s="5" t="s">
        <v>21</v>
      </c>
      <c r="K259" s="5"/>
      <c r="L259" s="5">
        <v>199604</v>
      </c>
      <c r="M259" s="5">
        <v>1</v>
      </c>
      <c r="N259" s="7">
        <v>45841</v>
      </c>
      <c r="O259" s="7">
        <v>45852</v>
      </c>
      <c r="P259" s="7">
        <v>45853</v>
      </c>
      <c r="Q259" s="7">
        <f t="shared" si="53"/>
        <v>45972</v>
      </c>
      <c r="R259" s="9">
        <v>10473002.869999999</v>
      </c>
      <c r="S259" s="33"/>
      <c r="T259" s="9">
        <v>11075200.539999999</v>
      </c>
      <c r="U259" s="10">
        <v>5.75</v>
      </c>
      <c r="V259" s="10" t="str">
        <f t="shared" si="54"/>
        <v>Above</v>
      </c>
      <c r="W259" s="11" t="str" cm="1">
        <f t="array" ref="W259">NumberToWords(T259)</f>
        <v>One Crore Ten Lakh Seventy Five Thousand Two Hundred Rupees and Fifty Four Paise Only</v>
      </c>
      <c r="X259" s="10" t="str">
        <f t="shared" si="55"/>
        <v>Circle</v>
      </c>
      <c r="Z259" s="9">
        <f t="shared" si="56"/>
        <v>11075200.539999999</v>
      </c>
      <c r="AA259" s="5" t="s">
        <v>18</v>
      </c>
      <c r="AB259" s="8">
        <f>_xlfn.XLOOKUP(AA259, 'Agency List'!A$2:A$145, 'Agency List'!B$2:B$145, "Not Found")</f>
        <v>0</v>
      </c>
      <c r="AC259" s="8" t="str">
        <f>_xlfn.XLOOKUP(AA259, 'Agency List'!A$2:A$145, 'Agency List'!C$2:C$145, "Not Found")</f>
        <v>Shop No. 131/B, First Floor, Shiva Belssing-2, Opp. BMC Office, Bhavnagar</v>
      </c>
      <c r="AD259" s="8">
        <f>_xlfn.XLOOKUP(AA259, 'Agency List'!A$2:A$145, 'Agency List'!D$2:D$145, "Not Found")</f>
        <v>9925888787</v>
      </c>
      <c r="AE259" s="7">
        <v>45863</v>
      </c>
      <c r="AF259" s="5" t="s">
        <v>821</v>
      </c>
      <c r="AG259" s="5" t="str">
        <f t="shared" si="57"/>
        <v>NA</v>
      </c>
      <c r="AH259" s="48"/>
      <c r="AI259" s="8" t="s">
        <v>69</v>
      </c>
      <c r="AJ259" s="20" t="s">
        <v>608</v>
      </c>
      <c r="AK259" s="7">
        <v>45877</v>
      </c>
      <c r="AL259" s="16">
        <v>6</v>
      </c>
      <c r="AM259" s="12">
        <f t="shared" si="58"/>
        <v>554000</v>
      </c>
      <c r="AN259" s="7">
        <f t="shared" si="59"/>
        <v>47364</v>
      </c>
      <c r="AO259" s="12">
        <f t="shared" si="60"/>
        <v>27200</v>
      </c>
      <c r="AP259" s="12">
        <f t="shared" si="61"/>
        <v>0</v>
      </c>
      <c r="AQ259" s="15">
        <f t="shared" si="62"/>
        <v>46229</v>
      </c>
      <c r="AR259" s="7">
        <f t="shared" si="63"/>
        <v>47304</v>
      </c>
      <c r="AS259" s="5">
        <v>1254</v>
      </c>
      <c r="AT259" s="7">
        <v>45903</v>
      </c>
      <c r="AU259" s="5" t="s">
        <v>78</v>
      </c>
      <c r="AV259" s="17">
        <v>245</v>
      </c>
      <c r="AW259" s="37">
        <v>46014</v>
      </c>
      <c r="AX259" s="5" t="s">
        <v>359</v>
      </c>
      <c r="AY259" s="5" t="s">
        <v>609</v>
      </c>
      <c r="AZ259" s="13" t="s">
        <v>947</v>
      </c>
      <c r="BA259" s="12">
        <v>554000</v>
      </c>
      <c r="BB259" s="7">
        <v>46011</v>
      </c>
      <c r="BC259" s="14"/>
      <c r="BD259" s="14"/>
      <c r="BF259" s="12"/>
      <c r="BG259" s="14"/>
      <c r="BH259" s="19">
        <v>46014</v>
      </c>
      <c r="BI259" s="5">
        <v>1789</v>
      </c>
      <c r="BJ259" s="19">
        <v>46014</v>
      </c>
      <c r="BK259" s="5">
        <v>1763</v>
      </c>
      <c r="BL259" s="7">
        <v>46011</v>
      </c>
      <c r="BM259" s="18"/>
      <c r="BN259" s="18"/>
      <c r="BO259" s="18"/>
      <c r="BP259" s="18"/>
      <c r="BQ259" s="5"/>
      <c r="BR259" s="18"/>
      <c r="BS259" s="18"/>
      <c r="BT259" s="35">
        <f t="shared" si="52"/>
        <v>46195</v>
      </c>
    </row>
    <row r="260" spans="1:72" ht="58" x14ac:dyDescent="0.35">
      <c r="A260" s="5">
        <v>259</v>
      </c>
      <c r="B260" s="5"/>
      <c r="C260" s="5" t="s">
        <v>78</v>
      </c>
      <c r="D260" s="5">
        <v>9</v>
      </c>
      <c r="E260" s="5">
        <v>12</v>
      </c>
      <c r="F260" s="8" t="s">
        <v>377</v>
      </c>
      <c r="G260" s="8"/>
      <c r="H260" s="5" t="s">
        <v>257</v>
      </c>
      <c r="I260" s="5" t="str" cm="1">
        <f t="array" ref="I260">_xlfn.IFS(
  H260="Mahuva", "Mahuva",
  H260="Jesar", "Mahuva",
  H260="Palitana", "Palitana",
  H260="Gariyadhar", "Palitana",
  H260="Talaja", "Talaja",
  H260="Vallabhipur", "Vallabhipur",
  H260="Umrala", "Vallabhipur",
  H260="Shihor", "Shihor",
  H260="Ghogha", "Bhavnagar",
  H260="Bhavnagar", "Bhavnagar"
)</f>
        <v>Palitana</v>
      </c>
      <c r="J260" s="5" t="s">
        <v>21</v>
      </c>
      <c r="K260" s="5"/>
      <c r="L260" s="5">
        <v>199605</v>
      </c>
      <c r="M260" s="5">
        <v>1</v>
      </c>
      <c r="N260" s="7">
        <v>45841</v>
      </c>
      <c r="O260" s="7">
        <v>45852</v>
      </c>
      <c r="P260" s="7">
        <v>45853</v>
      </c>
      <c r="Q260" s="7">
        <f t="shared" si="53"/>
        <v>45972</v>
      </c>
      <c r="R260" s="9">
        <v>27666802.899999999</v>
      </c>
      <c r="S260" s="33"/>
      <c r="T260" s="9">
        <v>21884441.09</v>
      </c>
      <c r="U260" s="10">
        <v>-20.9</v>
      </c>
      <c r="V260" s="10" t="str">
        <f t="shared" si="54"/>
        <v>Below</v>
      </c>
      <c r="W260" s="11" t="str" cm="1">
        <f t="array" ref="W260">NumberToWords(T260)</f>
        <v>Two Crore Eighteen Lakh Eighty Four Thousand Four Hundred Forty One Rupees and Nine Paise Only</v>
      </c>
      <c r="X260" s="10" t="str">
        <f t="shared" si="55"/>
        <v>Government</v>
      </c>
      <c r="Z260" s="9">
        <f t="shared" si="56"/>
        <v>21884441.09</v>
      </c>
      <c r="AA260" s="5" t="s">
        <v>1068</v>
      </c>
      <c r="AB260" s="8">
        <f>_xlfn.XLOOKUP(AA260, 'Agency List'!A$2:A$145, 'Agency List'!B$2:B$145, "Not Found")</f>
        <v>0</v>
      </c>
      <c r="AC260" s="8" t="str">
        <f>_xlfn.XLOOKUP(AA260, 'Agency List'!A$2:A$145, 'Agency List'!C$2:C$145, "Not Found")</f>
        <v>404, Amazing Star, Opp. Vishvamitri Society, Mahavir Chowk, Chikuwadi, Varachha Road, Surat-395006</v>
      </c>
      <c r="AD260" s="8">
        <f>_xlfn.XLOOKUP(AA260, 'Agency List'!A$2:A$145, 'Agency List'!D$2:D$145, "Not Found")</f>
        <v>9409511301</v>
      </c>
      <c r="AE260" s="7">
        <v>45863</v>
      </c>
      <c r="AF260" s="48" t="s">
        <v>821</v>
      </c>
      <c r="AG260" s="5" t="str">
        <f t="shared" si="57"/>
        <v>NA</v>
      </c>
      <c r="AH260" s="54"/>
      <c r="AI260" s="50" t="s">
        <v>231</v>
      </c>
      <c r="AJ260" s="8" t="s">
        <v>714</v>
      </c>
      <c r="AK260" s="7">
        <v>45887</v>
      </c>
      <c r="AL260" s="16">
        <v>10</v>
      </c>
      <c r="AM260" s="12">
        <f t="shared" si="58"/>
        <v>1095000</v>
      </c>
      <c r="AN260" s="7">
        <f t="shared" si="59"/>
        <v>47507</v>
      </c>
      <c r="AO260" s="12">
        <f t="shared" si="60"/>
        <v>98000</v>
      </c>
      <c r="AP260" s="12">
        <f t="shared" si="61"/>
        <v>905000</v>
      </c>
      <c r="AQ260" s="15">
        <f t="shared" si="62"/>
        <v>46372</v>
      </c>
      <c r="AR260" s="7">
        <f t="shared" si="63"/>
        <v>47447</v>
      </c>
      <c r="AS260" s="5">
        <v>1260</v>
      </c>
      <c r="AT260" s="7">
        <v>45904</v>
      </c>
      <c r="AU260" s="5" t="s">
        <v>78</v>
      </c>
      <c r="AV260" s="17">
        <v>264</v>
      </c>
      <c r="AW260" s="37">
        <v>46037</v>
      </c>
      <c r="AX260" s="5" t="s">
        <v>359</v>
      </c>
      <c r="AY260" s="5" t="s">
        <v>458</v>
      </c>
      <c r="AZ260" s="13" t="s">
        <v>1070</v>
      </c>
      <c r="BA260" s="12">
        <v>1095000</v>
      </c>
      <c r="BB260" s="7">
        <v>46007</v>
      </c>
      <c r="BC260" s="5" t="s">
        <v>359</v>
      </c>
      <c r="BD260" s="5" t="s">
        <v>458</v>
      </c>
      <c r="BE260" s="13" t="s">
        <v>1071</v>
      </c>
      <c r="BF260" s="12">
        <v>905000</v>
      </c>
      <c r="BG260" s="7">
        <v>46007</v>
      </c>
      <c r="BH260" s="19">
        <v>46037</v>
      </c>
      <c r="BI260" s="5">
        <v>48</v>
      </c>
      <c r="BJ260" s="19">
        <v>46037</v>
      </c>
      <c r="BK260" s="5">
        <v>1759</v>
      </c>
      <c r="BL260" s="7">
        <v>46011</v>
      </c>
      <c r="BM260" s="18"/>
      <c r="BN260" s="18"/>
      <c r="BO260" s="18"/>
      <c r="BP260" s="18"/>
      <c r="BQ260" s="5"/>
      <c r="BR260" s="18"/>
      <c r="BS260" s="18"/>
      <c r="BT260" s="35">
        <f t="shared" si="52"/>
        <v>46340</v>
      </c>
    </row>
    <row r="261" spans="1:72" ht="43.5" x14ac:dyDescent="0.35">
      <c r="A261" s="5">
        <v>260</v>
      </c>
      <c r="B261" s="5"/>
      <c r="C261" s="5" t="s">
        <v>78</v>
      </c>
      <c r="D261" s="5">
        <v>9</v>
      </c>
      <c r="E261" s="5">
        <v>13</v>
      </c>
      <c r="F261" s="8" t="s">
        <v>383</v>
      </c>
      <c r="G261" s="8"/>
      <c r="H261" s="5" t="s">
        <v>13</v>
      </c>
      <c r="I261" s="5" t="str" cm="1">
        <f t="array" ref="I261">_xlfn.IFS(
  H261="Mahuva", "Mahuva",
  H261="Jesar", "Mahuva",
  H261="Palitana", "Palitana",
  H261="Gariyadhar", "Palitana",
  H261="Talaja", "Talaja",
  H261="Vallabhipur", "Vallabhipur",
  H261="Umrala", "Vallabhipur",
  H261="Shihor", "Shihor",
  H261="Ghogha", "Bhavnagar",
  H261="Bhavnagar", "Bhavnagar"
)</f>
        <v>Shihor</v>
      </c>
      <c r="J261" s="5" t="s">
        <v>21</v>
      </c>
      <c r="K261" s="5"/>
      <c r="L261" s="5">
        <v>199608</v>
      </c>
      <c r="M261" s="5">
        <v>1</v>
      </c>
      <c r="N261" s="7">
        <v>45841</v>
      </c>
      <c r="O261" s="7">
        <v>45852</v>
      </c>
      <c r="P261" s="7">
        <v>45853</v>
      </c>
      <c r="Q261" s="7">
        <f t="shared" si="53"/>
        <v>45972</v>
      </c>
      <c r="R261" s="9">
        <v>7466411.8799999999</v>
      </c>
      <c r="S261" s="33"/>
      <c r="T261" s="9">
        <v>5811855.0099999998</v>
      </c>
      <c r="U261" s="10">
        <v>-22.16</v>
      </c>
      <c r="V261" s="10" t="str">
        <f t="shared" si="54"/>
        <v>Below</v>
      </c>
      <c r="W261" s="11" t="str" cm="1">
        <f t="array" ref="W261">NumberToWords(T261)</f>
        <v>Fifty Eight Lakh Eleven Thousand Eight Hundred Fifty Five Rupees and One Paise Only</v>
      </c>
      <c r="X261" s="10" t="str">
        <f t="shared" si="55"/>
        <v>Circle</v>
      </c>
      <c r="Z261" s="9">
        <f t="shared" si="56"/>
        <v>5811855.0099999998</v>
      </c>
      <c r="AA261" s="5" t="s">
        <v>384</v>
      </c>
      <c r="AB261" s="8">
        <f>_xlfn.XLOOKUP(AA261, 'Agency List'!A$2:A$145, 'Agency List'!B$2:B$145, "Not Found")</f>
        <v>0</v>
      </c>
      <c r="AC261" s="8" t="str">
        <f>_xlfn.XLOOKUP(AA261, 'Agency List'!A$2:A$145, 'Agency List'!C$2:C$145, "Not Found")</f>
        <v>At Gadhula, Ta. Shihor, Dist. Bhavnagar - 364230</v>
      </c>
      <c r="AD261" s="8">
        <f>_xlfn.XLOOKUP(AA261, 'Agency List'!A$2:A$145, 'Agency List'!D$2:D$145, "Not Found")</f>
        <v>9979347794</v>
      </c>
      <c r="AE261" s="7">
        <v>45863</v>
      </c>
      <c r="AF261" s="48" t="s">
        <v>811</v>
      </c>
      <c r="AG261" s="5" t="str">
        <f t="shared" si="57"/>
        <v>NA</v>
      </c>
      <c r="AH261" s="54"/>
      <c r="AI261" s="49" t="s">
        <v>69</v>
      </c>
      <c r="AJ261" s="20" t="s">
        <v>689</v>
      </c>
      <c r="AK261" s="7">
        <v>45877</v>
      </c>
      <c r="AL261" s="16">
        <v>6</v>
      </c>
      <c r="AM261" s="12">
        <f t="shared" si="58"/>
        <v>291000</v>
      </c>
      <c r="AN261" s="7">
        <f t="shared" si="59"/>
        <v>46575</v>
      </c>
      <c r="AO261" s="12">
        <f t="shared" si="60"/>
        <v>27700</v>
      </c>
      <c r="AP261" s="12">
        <f t="shared" si="61"/>
        <v>273000</v>
      </c>
      <c r="AQ261" s="15">
        <f t="shared" si="62"/>
        <v>46160</v>
      </c>
      <c r="AR261" s="7">
        <f t="shared" si="63"/>
        <v>46515</v>
      </c>
      <c r="AS261" s="5">
        <v>1220</v>
      </c>
      <c r="AT261" s="7">
        <v>45898</v>
      </c>
      <c r="AU261" s="5" t="s">
        <v>78</v>
      </c>
      <c r="AV261" s="17">
        <v>190</v>
      </c>
      <c r="AW261" s="37">
        <v>45943</v>
      </c>
      <c r="AX261" s="5" t="s">
        <v>355</v>
      </c>
      <c r="AY261" s="5" t="s">
        <v>369</v>
      </c>
      <c r="AZ261" s="13">
        <v>44461392653</v>
      </c>
      <c r="BA261" s="12">
        <v>291000</v>
      </c>
      <c r="BB261" s="7">
        <v>45911</v>
      </c>
      <c r="BC261" s="5" t="s">
        <v>355</v>
      </c>
      <c r="BD261" s="5" t="s">
        <v>369</v>
      </c>
      <c r="BE261" s="13">
        <v>44461391773</v>
      </c>
      <c r="BF261" s="12">
        <v>273000</v>
      </c>
      <c r="BG261" s="7">
        <v>45911</v>
      </c>
      <c r="BH261" s="19">
        <v>45945</v>
      </c>
      <c r="BI261" s="5">
        <v>1474</v>
      </c>
      <c r="BJ261" s="19">
        <v>45943</v>
      </c>
      <c r="BM261" s="18"/>
      <c r="BN261" s="18"/>
      <c r="BO261" s="18"/>
      <c r="BP261" s="18"/>
      <c r="BQ261" s="5"/>
      <c r="BR261" s="18"/>
      <c r="BS261" s="18"/>
      <c r="BT261" s="35">
        <f t="shared" si="52"/>
        <v>46126</v>
      </c>
    </row>
    <row r="262" spans="1:72" ht="43.5" x14ac:dyDescent="0.35">
      <c r="A262" s="5">
        <v>261</v>
      </c>
      <c r="B262" s="5"/>
      <c r="C262" s="5" t="s">
        <v>78</v>
      </c>
      <c r="D262" s="5">
        <v>9</v>
      </c>
      <c r="E262" s="5">
        <v>14</v>
      </c>
      <c r="F262" s="8" t="s">
        <v>390</v>
      </c>
      <c r="G262" s="8" t="s">
        <v>391</v>
      </c>
      <c r="H262" s="5" t="s">
        <v>4</v>
      </c>
      <c r="I262" s="5" t="str" cm="1">
        <f t="array" ref="I262">_xlfn.IFS(
  H262="Mahuva", "Mahuva",
  H262="Jesar", "Mahuva",
  H262="Palitana", "Palitana",
  H262="Gariyadhar", "Palitana",
  H262="Talaja", "Talaja",
  H262="Vallabhipur", "Vallabhipur",
  H262="Umrala", "Vallabhipur",
  H262="Shihor", "Shihor",
  H262="Ghogha", "Bhavnagar",
  H262="Bhavnagar", "Bhavnagar"
)</f>
        <v>Talaja</v>
      </c>
      <c r="J262" s="5" t="s">
        <v>21</v>
      </c>
      <c r="K262" s="5"/>
      <c r="M262" s="5">
        <v>2</v>
      </c>
      <c r="N262" s="7">
        <v>45841</v>
      </c>
      <c r="O262" s="7">
        <v>45852</v>
      </c>
      <c r="P262" s="7">
        <v>45853</v>
      </c>
      <c r="Q262" s="7">
        <f t="shared" si="53"/>
        <v>45972</v>
      </c>
      <c r="R262" s="9">
        <v>55033209.789999999</v>
      </c>
      <c r="S262" s="33" t="s">
        <v>233</v>
      </c>
      <c r="U262" s="10"/>
      <c r="V262" s="10" t="str">
        <f t="shared" si="54"/>
        <v>Equals</v>
      </c>
      <c r="W262" s="11" t="str" cm="1">
        <f t="array" ref="W262">NumberToWords(T262)</f>
        <v>Zero Rupees Only</v>
      </c>
      <c r="X262" s="10" t="str">
        <f t="shared" si="55"/>
        <v>Division</v>
      </c>
      <c r="Z262" s="9">
        <f t="shared" si="56"/>
        <v>0</v>
      </c>
      <c r="AB262" s="8">
        <f>_xlfn.XLOOKUP(AA262, 'Agency List'!A$2:A$145, 'Agency List'!B$2:B$145, "Not Found")</f>
        <v>0</v>
      </c>
      <c r="AC262" s="8">
        <f>_xlfn.XLOOKUP(AA262, 'Agency List'!A$2:A$145, 'Agency List'!C$2:C$145, "Not Found")</f>
        <v>0</v>
      </c>
      <c r="AD262" s="8">
        <f>_xlfn.XLOOKUP(AA262, 'Agency List'!A$2:A$145, 'Agency List'!D$2:D$145, "Not Found")</f>
        <v>0</v>
      </c>
      <c r="AE262" s="7"/>
      <c r="AF262" s="48"/>
      <c r="AG262" s="5" t="str">
        <f t="shared" si="57"/>
        <v>Bandhkam</v>
      </c>
      <c r="AH262" s="54"/>
      <c r="AI262" s="49"/>
      <c r="AJ262" s="8"/>
      <c r="AL262" s="16"/>
      <c r="AM262" s="12">
        <f t="shared" si="58"/>
        <v>0</v>
      </c>
      <c r="AN262" s="7">
        <f t="shared" si="59"/>
        <v>47115</v>
      </c>
      <c r="AO262" s="12">
        <f t="shared" si="60"/>
        <v>0</v>
      </c>
      <c r="AP262" s="12">
        <f t="shared" si="61"/>
        <v>0</v>
      </c>
      <c r="AQ262" s="15">
        <f t="shared" si="62"/>
        <v>45980</v>
      </c>
      <c r="AR262" s="7">
        <f t="shared" si="63"/>
        <v>47055</v>
      </c>
      <c r="AS262" s="5"/>
      <c r="AU262" s="5"/>
      <c r="AV262" s="17"/>
      <c r="AW262" s="17"/>
      <c r="AX262" s="5"/>
      <c r="AY262" s="5"/>
      <c r="AZ262" s="13"/>
      <c r="BA262" s="12"/>
      <c r="BB262" s="7"/>
      <c r="BC262" s="14"/>
      <c r="BD262" s="14"/>
      <c r="BF262" s="12"/>
      <c r="BG262" s="14"/>
      <c r="BH262" s="19">
        <v>45945</v>
      </c>
      <c r="BI262" s="5"/>
      <c r="BM262" s="18"/>
      <c r="BN262" s="18"/>
      <c r="BO262" s="18"/>
      <c r="BP262" s="18"/>
      <c r="BQ262" s="5"/>
      <c r="BR262" s="18"/>
      <c r="BS262" s="18"/>
      <c r="BT262" s="35">
        <f t="shared" si="52"/>
        <v>45944</v>
      </c>
    </row>
    <row r="263" spans="1:72" ht="58" x14ac:dyDescent="0.35">
      <c r="A263" s="5">
        <v>262</v>
      </c>
      <c r="B263" s="5"/>
      <c r="C263" s="5" t="s">
        <v>78</v>
      </c>
      <c r="D263" s="5">
        <v>9</v>
      </c>
      <c r="E263" s="5">
        <v>15</v>
      </c>
      <c r="F263" s="8" t="s">
        <v>385</v>
      </c>
      <c r="G263" s="8"/>
      <c r="H263" s="5" t="s">
        <v>4</v>
      </c>
      <c r="I263" s="5" t="str" cm="1">
        <f t="array" ref="I263">_xlfn.IFS(
  H263="Mahuva", "Mahuva",
  H263="Jesar", "Mahuva",
  H263="Palitana", "Palitana",
  H263="Gariyadhar", "Palitana",
  H263="Talaja", "Talaja",
  H263="Vallabhipur", "Vallabhipur",
  H263="Umrala", "Vallabhipur",
  H263="Shihor", "Shihor",
  H263="Ghogha", "Bhavnagar",
  H263="Bhavnagar", "Bhavnagar"
)</f>
        <v>Talaja</v>
      </c>
      <c r="J263" s="5" t="s">
        <v>21</v>
      </c>
      <c r="K263" s="5"/>
      <c r="L263" s="5">
        <v>199607</v>
      </c>
      <c r="M263" s="5">
        <v>2</v>
      </c>
      <c r="N263" s="7">
        <v>45841</v>
      </c>
      <c r="O263" s="7">
        <v>45852</v>
      </c>
      <c r="P263" s="7">
        <v>45853</v>
      </c>
      <c r="Q263" s="7">
        <f t="shared" si="53"/>
        <v>45972</v>
      </c>
      <c r="R263" s="9">
        <v>22338543.73</v>
      </c>
      <c r="S263" s="33"/>
      <c r="T263" s="9">
        <v>27029637.91</v>
      </c>
      <c r="U263" s="10">
        <v>21</v>
      </c>
      <c r="V263" s="10" t="str">
        <f t="shared" si="54"/>
        <v>Above</v>
      </c>
      <c r="W263" s="11" t="str" cm="1">
        <f t="array" ref="W263">NumberToWords(T263)</f>
        <v>Two Crore Seventy Lakh Twenty Nine Thousand Six Hundred Thirty Seven Rupees and Ninety One Paise Only</v>
      </c>
      <c r="X263" s="10" t="str">
        <f t="shared" si="55"/>
        <v>Government</v>
      </c>
      <c r="Z263" s="9">
        <f t="shared" si="56"/>
        <v>27029637.91</v>
      </c>
      <c r="AA263" s="5" t="s">
        <v>80</v>
      </c>
      <c r="AB263" s="8" t="str">
        <f>_xlfn.XLOOKUP(AA263, 'Agency List'!A$2:A$145, 'Agency List'!B$2:B$145, "Not Found")</f>
        <v>BHADRESHSINH BHAGWATSING GOHIL</v>
      </c>
      <c r="AC263" s="8" t="str">
        <f>_xlfn.XLOOKUP(AA263, 'Agency List'!A$2:A$145, 'Agency List'!C$2:C$145, "Not Found")</f>
        <v>A/8, AKSHARDEEP COMPLEX, OPP. DEEPAK MEMORIAL HALL, SANSKAR MANDAL, BHAVNAGAR-364002</v>
      </c>
      <c r="AD263" s="8">
        <f>_xlfn.XLOOKUP(AA263, 'Agency List'!A$2:A$145, 'Agency List'!D$2:D$145, "Not Found")</f>
        <v>9925209999</v>
      </c>
      <c r="AE263" s="7">
        <v>45863</v>
      </c>
      <c r="AF263" s="48" t="s">
        <v>821</v>
      </c>
      <c r="AG263" s="5" t="str">
        <f t="shared" si="57"/>
        <v>NA</v>
      </c>
      <c r="AH263" s="54"/>
      <c r="AI263" s="50" t="s">
        <v>231</v>
      </c>
      <c r="AJ263" s="8" t="s">
        <v>690</v>
      </c>
      <c r="AK263" s="7">
        <v>45881</v>
      </c>
      <c r="AL263" s="16">
        <v>8</v>
      </c>
      <c r="AM263" s="12">
        <f t="shared" si="58"/>
        <v>1352000</v>
      </c>
      <c r="AN263" s="7">
        <f t="shared" si="59"/>
        <v>47455</v>
      </c>
      <c r="AO263" s="12">
        <f t="shared" si="60"/>
        <v>66300</v>
      </c>
      <c r="AP263" s="12">
        <f t="shared" si="61"/>
        <v>0</v>
      </c>
      <c r="AQ263" s="15">
        <f t="shared" si="62"/>
        <v>46320</v>
      </c>
      <c r="AR263" s="7">
        <f t="shared" si="63"/>
        <v>47395</v>
      </c>
      <c r="AS263" s="5">
        <v>1255</v>
      </c>
      <c r="AT263" s="7">
        <v>45903</v>
      </c>
      <c r="AU263" s="5" t="s">
        <v>78</v>
      </c>
      <c r="AV263" s="17">
        <v>288</v>
      </c>
      <c r="AW263" s="37">
        <v>46045</v>
      </c>
      <c r="AX263" s="5" t="s">
        <v>355</v>
      </c>
      <c r="AY263" s="5" t="s">
        <v>369</v>
      </c>
      <c r="AZ263" s="13">
        <v>44723051515</v>
      </c>
      <c r="BA263" s="12">
        <v>1352000</v>
      </c>
      <c r="BB263" s="7">
        <v>46000</v>
      </c>
      <c r="BC263" s="14"/>
      <c r="BD263" s="14"/>
      <c r="BF263" s="12"/>
      <c r="BG263" s="14"/>
      <c r="BH263" s="19">
        <v>46045</v>
      </c>
      <c r="BI263" s="5">
        <v>86</v>
      </c>
      <c r="BJ263" s="19">
        <v>46045</v>
      </c>
      <c r="BK263" s="5">
        <v>1764</v>
      </c>
      <c r="BL263" s="7">
        <v>46011</v>
      </c>
      <c r="BM263" s="18"/>
      <c r="BN263" s="18"/>
      <c r="BO263" s="18"/>
      <c r="BP263" s="18"/>
      <c r="BQ263" s="5"/>
      <c r="BR263" s="18"/>
      <c r="BS263" s="18"/>
      <c r="BT263" s="35">
        <f t="shared" si="52"/>
        <v>46287</v>
      </c>
    </row>
    <row r="264" spans="1:72" ht="58" x14ac:dyDescent="0.35">
      <c r="A264" s="5">
        <v>263</v>
      </c>
      <c r="B264" s="5"/>
      <c r="C264" s="5" t="s">
        <v>78</v>
      </c>
      <c r="D264" s="5">
        <v>10</v>
      </c>
      <c r="E264" s="5">
        <v>1</v>
      </c>
      <c r="F264" s="8" t="s">
        <v>626</v>
      </c>
      <c r="G264" s="8"/>
      <c r="H264" s="5"/>
      <c r="I264" s="5" t="e" cm="1">
        <f t="array" ref="I264">_xlfn.IFS(
  H264="Mahuva", "Mahuva",
  H264="Jesar", "Mahuva",
  H264="Palitana", "Palitana",
  H264="Gariyadhar", "Palitana",
  H264="Talaja", "Talaja",
  H264="Vallabhipur", "Vallabhipur",
  H264="Umrala", "Vallabhipur",
  H264="Shihor", "Shihor",
  H264="Ghogha", "Bhavnagar",
  H264="Bhavnagar", "Bhavnagar"
)</f>
        <v>#N/A</v>
      </c>
      <c r="J264" s="5" t="s">
        <v>631</v>
      </c>
      <c r="K264" s="5"/>
      <c r="L264" s="5">
        <v>199490</v>
      </c>
      <c r="M264" s="5">
        <v>1</v>
      </c>
      <c r="Q264" s="7">
        <f t="shared" si="53"/>
        <v>120</v>
      </c>
      <c r="R264" s="9">
        <v>247012304.03</v>
      </c>
      <c r="S264" s="33" t="s">
        <v>233</v>
      </c>
      <c r="U264" s="10"/>
      <c r="V264" s="10" t="str">
        <f t="shared" si="54"/>
        <v>Equals</v>
      </c>
      <c r="W264" s="11" t="str" cm="1">
        <f t="array" ref="W264">NumberToWords(T264)</f>
        <v>Zero Rupees Only</v>
      </c>
      <c r="X264" s="10" t="str">
        <f t="shared" si="55"/>
        <v>Division</v>
      </c>
      <c r="Z264" s="9">
        <f t="shared" si="56"/>
        <v>0</v>
      </c>
      <c r="AB264" s="8">
        <f>_xlfn.XLOOKUP(AA264, 'Agency List'!A$2:A$145, 'Agency List'!B$2:B$145, "Not Found")</f>
        <v>0</v>
      </c>
      <c r="AC264" s="8">
        <f>_xlfn.XLOOKUP(AA264, 'Agency List'!A$2:A$145, 'Agency List'!C$2:C$145, "Not Found")</f>
        <v>0</v>
      </c>
      <c r="AD264" s="8">
        <f>_xlfn.XLOOKUP(AA264, 'Agency List'!A$2:A$145, 'Agency List'!D$2:D$145, "Not Found")</f>
        <v>0</v>
      </c>
      <c r="AE264" s="7"/>
      <c r="AF264" s="5"/>
      <c r="AG264" s="5" t="str">
        <f t="shared" si="57"/>
        <v>Bandhkam</v>
      </c>
      <c r="AH264" s="5"/>
      <c r="AI264" s="8"/>
      <c r="AJ264" s="8"/>
      <c r="AL264" s="16"/>
      <c r="AM264" s="12">
        <f t="shared" si="58"/>
        <v>0</v>
      </c>
      <c r="AN264" s="7">
        <f t="shared" si="59"/>
        <v>1170</v>
      </c>
      <c r="AO264" s="12">
        <f t="shared" si="60"/>
        <v>0</v>
      </c>
      <c r="AP264" s="12">
        <f t="shared" si="61"/>
        <v>0</v>
      </c>
      <c r="AQ264" s="15">
        <f t="shared" si="62"/>
        <v>35</v>
      </c>
      <c r="AR264" s="7">
        <f t="shared" si="63"/>
        <v>1110</v>
      </c>
      <c r="AS264" s="5"/>
      <c r="AU264" s="5"/>
      <c r="AV264" s="17"/>
      <c r="AW264" s="17"/>
      <c r="AX264" s="5"/>
      <c r="AY264" s="5"/>
      <c r="AZ264" s="13"/>
      <c r="BA264" s="12"/>
      <c r="BB264" s="7"/>
      <c r="BC264" s="14"/>
      <c r="BD264" s="14"/>
      <c r="BF264" s="12"/>
      <c r="BG264" s="14"/>
      <c r="BH264" s="19"/>
      <c r="BI264" s="5"/>
      <c r="BM264" s="18"/>
      <c r="BN264" s="18"/>
      <c r="BO264" s="18"/>
      <c r="BP264" s="18"/>
      <c r="BQ264" s="5"/>
      <c r="BR264" s="18"/>
      <c r="BS264" s="18"/>
      <c r="BT264" s="35">
        <f t="shared" ref="BT264:BT295" si="64">BH264+AL264*30</f>
        <v>0</v>
      </c>
    </row>
    <row r="265" spans="1:72" ht="87" x14ac:dyDescent="0.35">
      <c r="A265" s="5">
        <v>264</v>
      </c>
      <c r="B265" s="5"/>
      <c r="C265" s="5" t="s">
        <v>78</v>
      </c>
      <c r="D265" s="5">
        <v>10</v>
      </c>
      <c r="E265" s="5">
        <v>2</v>
      </c>
      <c r="F265" s="8" t="s">
        <v>627</v>
      </c>
      <c r="G265" s="8"/>
      <c r="H265" s="5"/>
      <c r="I265" s="5" t="e" cm="1">
        <f t="array" ref="I265">_xlfn.IFS(
  H265="Mahuva", "Mahuva",
  H265="Jesar", "Mahuva",
  H265="Palitana", "Palitana",
  H265="Gariyadhar", "Palitana",
  H265="Talaja", "Talaja",
  H265="Vallabhipur", "Vallabhipur",
  H265="Umrala", "Vallabhipur",
  H265="Shihor", "Shihor",
  H265="Ghogha", "Bhavnagar",
  H265="Bhavnagar", "Bhavnagar"
)</f>
        <v>#N/A</v>
      </c>
      <c r="J265" s="5" t="s">
        <v>631</v>
      </c>
      <c r="K265" s="5"/>
      <c r="L265" s="5">
        <v>199492</v>
      </c>
      <c r="M265" s="5">
        <v>1</v>
      </c>
      <c r="Q265" s="7">
        <f t="shared" si="53"/>
        <v>120</v>
      </c>
      <c r="R265" s="9">
        <v>248929554.08000001</v>
      </c>
      <c r="S265" s="33" t="s">
        <v>233</v>
      </c>
      <c r="U265" s="10"/>
      <c r="V265" s="10" t="str">
        <f t="shared" si="54"/>
        <v>Equals</v>
      </c>
      <c r="W265" s="11" t="str" cm="1">
        <f t="array" ref="W265">NumberToWords(T265)</f>
        <v>Zero Rupees Only</v>
      </c>
      <c r="X265" s="10" t="str">
        <f t="shared" si="55"/>
        <v>Division</v>
      </c>
      <c r="Z265" s="9">
        <f t="shared" si="56"/>
        <v>0</v>
      </c>
      <c r="AB265" s="8">
        <f>_xlfn.XLOOKUP(AA265, 'Agency List'!A$2:A$145, 'Agency List'!B$2:B$145, "Not Found")</f>
        <v>0</v>
      </c>
      <c r="AC265" s="8">
        <f>_xlfn.XLOOKUP(AA265, 'Agency List'!A$2:A$145, 'Agency List'!C$2:C$145, "Not Found")</f>
        <v>0</v>
      </c>
      <c r="AD265" s="8">
        <f>_xlfn.XLOOKUP(AA265, 'Agency List'!A$2:A$145, 'Agency List'!D$2:D$145, "Not Found")</f>
        <v>0</v>
      </c>
      <c r="AE265" s="7"/>
      <c r="AF265" s="5"/>
      <c r="AG265" s="5" t="str">
        <f t="shared" si="57"/>
        <v>Bandhkam</v>
      </c>
      <c r="AH265" s="5"/>
      <c r="AI265" s="8"/>
      <c r="AJ265" s="8"/>
      <c r="AL265" s="16"/>
      <c r="AM265" s="12">
        <f t="shared" si="58"/>
        <v>0</v>
      </c>
      <c r="AN265" s="7">
        <f t="shared" si="59"/>
        <v>1170</v>
      </c>
      <c r="AO265" s="12">
        <f t="shared" si="60"/>
        <v>0</v>
      </c>
      <c r="AP265" s="12">
        <f t="shared" si="61"/>
        <v>0</v>
      </c>
      <c r="AQ265" s="15">
        <f t="shared" si="62"/>
        <v>35</v>
      </c>
      <c r="AR265" s="7">
        <f t="shared" si="63"/>
        <v>1110</v>
      </c>
      <c r="AS265" s="5"/>
      <c r="AU265" s="5"/>
      <c r="AV265" s="17"/>
      <c r="AW265" s="17"/>
      <c r="AX265" s="5"/>
      <c r="AY265" s="5"/>
      <c r="AZ265" s="13"/>
      <c r="BA265" s="12"/>
      <c r="BB265" s="7"/>
      <c r="BC265" s="14"/>
      <c r="BD265" s="14"/>
      <c r="BF265" s="12"/>
      <c r="BG265" s="14"/>
      <c r="BH265" s="19"/>
      <c r="BI265" s="5"/>
      <c r="BM265" s="18"/>
      <c r="BN265" s="18"/>
      <c r="BO265" s="18"/>
      <c r="BP265" s="18"/>
      <c r="BQ265" s="5"/>
      <c r="BR265" s="18"/>
      <c r="BS265" s="18"/>
      <c r="BT265" s="35">
        <f t="shared" si="64"/>
        <v>0</v>
      </c>
    </row>
    <row r="266" spans="1:72" ht="58" x14ac:dyDescent="0.35">
      <c r="A266" s="5">
        <v>265</v>
      </c>
      <c r="B266" s="5"/>
      <c r="C266" s="5" t="s">
        <v>78</v>
      </c>
      <c r="D266" s="5">
        <v>11</v>
      </c>
      <c r="E266" s="5">
        <v>1</v>
      </c>
      <c r="F266" s="8" t="s">
        <v>594</v>
      </c>
      <c r="G266" s="8"/>
      <c r="H266" s="5" t="s">
        <v>257</v>
      </c>
      <c r="I266" s="5" t="str" cm="1">
        <f t="array" ref="I266">_xlfn.IFS(
  H266="Mahuva", "Mahuva",
  H266="Jesar", "Mahuva",
  H266="Palitana", "Palitana",
  H266="Gariyadhar", "Palitana",
  H266="Talaja", "Talaja",
  H266="Vallabhipur", "Vallabhipur",
  H266="Umrala", "Vallabhipur",
  H266="Shihor", "Shihor",
  H266="Ghogha", "Bhavnagar",
  H266="Bhavnagar", "Bhavnagar"
)</f>
        <v>Palitana</v>
      </c>
      <c r="J266" s="5" t="s">
        <v>256</v>
      </c>
      <c r="K266" s="5" t="s">
        <v>927</v>
      </c>
      <c r="M266" s="5">
        <v>9</v>
      </c>
      <c r="Q266" s="7">
        <f t="shared" si="53"/>
        <v>120</v>
      </c>
      <c r="S266" s="33" t="s">
        <v>233</v>
      </c>
      <c r="U266" s="10"/>
      <c r="V266" s="10" t="str">
        <f t="shared" si="54"/>
        <v>Equals</v>
      </c>
      <c r="W266" s="11" t="str" cm="1">
        <f t="array" ref="W266">NumberToWords(T266)</f>
        <v>Zero Rupees Only</v>
      </c>
      <c r="X266" s="10" t="str">
        <f t="shared" si="55"/>
        <v>Division</v>
      </c>
      <c r="Z266" s="9">
        <f t="shared" si="56"/>
        <v>0</v>
      </c>
      <c r="AB266" s="8">
        <f>_xlfn.XLOOKUP(AA266, 'Agency List'!A$2:A$145, 'Agency List'!B$2:B$145, "Not Found")</f>
        <v>0</v>
      </c>
      <c r="AC266" s="8">
        <f>_xlfn.XLOOKUP(AA266, 'Agency List'!A$2:A$145, 'Agency List'!C$2:C$145, "Not Found")</f>
        <v>0</v>
      </c>
      <c r="AD266" s="8">
        <f>_xlfn.XLOOKUP(AA266, 'Agency List'!A$2:A$145, 'Agency List'!D$2:D$145, "Not Found")</f>
        <v>0</v>
      </c>
      <c r="AE266" s="7"/>
      <c r="AF266" s="5"/>
      <c r="AG266" s="5" t="str">
        <f t="shared" si="57"/>
        <v>Bandhkam</v>
      </c>
      <c r="AH266" s="5"/>
      <c r="AI266" s="8"/>
      <c r="AJ266" s="8"/>
      <c r="AL266" s="16"/>
      <c r="AM266" s="12">
        <f t="shared" si="58"/>
        <v>0</v>
      </c>
      <c r="AN266" s="7">
        <f t="shared" si="59"/>
        <v>450</v>
      </c>
      <c r="AO266" s="12">
        <f t="shared" si="60"/>
        <v>0</v>
      </c>
      <c r="AP266" s="12">
        <f t="shared" si="61"/>
        <v>0</v>
      </c>
      <c r="AQ266" s="15">
        <f t="shared" si="62"/>
        <v>35</v>
      </c>
      <c r="AR266" s="7">
        <f t="shared" si="63"/>
        <v>390</v>
      </c>
      <c r="AS266" s="5"/>
      <c r="AU266" s="5"/>
      <c r="AV266" s="17"/>
      <c r="AW266" s="17"/>
      <c r="AX266" s="5"/>
      <c r="AY266" s="5"/>
      <c r="AZ266" s="13"/>
      <c r="BA266" s="12"/>
      <c r="BB266" s="7"/>
      <c r="BC266" s="14"/>
      <c r="BD266" s="14"/>
      <c r="BF266" s="12"/>
      <c r="BG266" s="14"/>
      <c r="BH266" s="19"/>
      <c r="BI266" s="5"/>
      <c r="BM266" s="18"/>
      <c r="BN266" s="18"/>
      <c r="BO266" s="18"/>
      <c r="BP266" s="18"/>
      <c r="BQ266" s="5"/>
      <c r="BR266" s="18"/>
      <c r="BS266" s="18"/>
      <c r="BT266" s="35">
        <f t="shared" si="64"/>
        <v>0</v>
      </c>
    </row>
    <row r="267" spans="1:72" ht="43.5" x14ac:dyDescent="0.35">
      <c r="A267" s="5">
        <v>266</v>
      </c>
      <c r="B267" s="5"/>
      <c r="C267" s="5" t="s">
        <v>78</v>
      </c>
      <c r="D267" s="5">
        <v>11</v>
      </c>
      <c r="E267" s="5">
        <v>2</v>
      </c>
      <c r="F267" s="8" t="s">
        <v>258</v>
      </c>
      <c r="G267" s="8"/>
      <c r="H267" s="5" t="s">
        <v>257</v>
      </c>
      <c r="I267" s="5" t="str" cm="1">
        <f t="array" ref="I267">_xlfn.IFS(
  H267="Mahuva", "Mahuva",
  H267="Jesar", "Mahuva",
  H267="Palitana", "Palitana",
  H267="Gariyadhar", "Palitana",
  H267="Talaja", "Talaja",
  H267="Vallabhipur", "Vallabhipur",
  H267="Umrala", "Vallabhipur",
  H267="Shihor", "Shihor",
  H267="Ghogha", "Bhavnagar",
  H267="Bhavnagar", "Bhavnagar"
)</f>
        <v>Palitana</v>
      </c>
      <c r="J267" s="5" t="s">
        <v>256</v>
      </c>
      <c r="K267" s="5" t="s">
        <v>927</v>
      </c>
      <c r="M267" s="5">
        <v>9</v>
      </c>
      <c r="Q267" s="7">
        <f t="shared" si="53"/>
        <v>120</v>
      </c>
      <c r="S267" s="33" t="s">
        <v>233</v>
      </c>
      <c r="U267" s="10"/>
      <c r="V267" s="10" t="str">
        <f t="shared" si="54"/>
        <v>Equals</v>
      </c>
      <c r="W267" s="11" t="str" cm="1">
        <f t="array" ref="W267">NumberToWords(T267)</f>
        <v>Zero Rupees Only</v>
      </c>
      <c r="X267" s="10" t="str">
        <f t="shared" si="55"/>
        <v>Division</v>
      </c>
      <c r="Z267" s="9">
        <f t="shared" si="56"/>
        <v>0</v>
      </c>
      <c r="AB267" s="8">
        <f>_xlfn.XLOOKUP(AA267, 'Agency List'!A$2:A$145, 'Agency List'!B$2:B$145, "Not Found")</f>
        <v>0</v>
      </c>
      <c r="AC267" s="8">
        <f>_xlfn.XLOOKUP(AA267, 'Agency List'!A$2:A$145, 'Agency List'!C$2:C$145, "Not Found")</f>
        <v>0</v>
      </c>
      <c r="AD267" s="8">
        <f>_xlfn.XLOOKUP(AA267, 'Agency List'!A$2:A$145, 'Agency List'!D$2:D$145, "Not Found")</f>
        <v>0</v>
      </c>
      <c r="AE267" s="7"/>
      <c r="AF267" s="5"/>
      <c r="AG267" s="5" t="str">
        <f t="shared" si="57"/>
        <v>Bandhkam</v>
      </c>
      <c r="AH267" s="5"/>
      <c r="AI267" s="8"/>
      <c r="AJ267" s="8"/>
      <c r="AL267" s="16"/>
      <c r="AM267" s="12">
        <f t="shared" si="58"/>
        <v>0</v>
      </c>
      <c r="AN267" s="7">
        <f t="shared" si="59"/>
        <v>450</v>
      </c>
      <c r="AO267" s="12">
        <f t="shared" si="60"/>
        <v>0</v>
      </c>
      <c r="AP267" s="12">
        <f t="shared" si="61"/>
        <v>0</v>
      </c>
      <c r="AQ267" s="15">
        <f t="shared" si="62"/>
        <v>35</v>
      </c>
      <c r="AR267" s="7">
        <f t="shared" si="63"/>
        <v>390</v>
      </c>
      <c r="AS267" s="5"/>
      <c r="AU267" s="5"/>
      <c r="AV267" s="17"/>
      <c r="AW267" s="17"/>
      <c r="AX267" s="5"/>
      <c r="AY267" s="5"/>
      <c r="AZ267" s="13"/>
      <c r="BA267" s="12"/>
      <c r="BB267" s="7"/>
      <c r="BC267" s="14"/>
      <c r="BD267" s="14"/>
      <c r="BF267" s="12"/>
      <c r="BG267" s="14"/>
      <c r="BH267" s="19"/>
      <c r="BI267" s="5"/>
      <c r="BM267" s="18"/>
      <c r="BN267" s="18"/>
      <c r="BO267" s="18"/>
      <c r="BP267" s="18"/>
      <c r="BQ267" s="5"/>
      <c r="BR267" s="18"/>
      <c r="BS267" s="18"/>
      <c r="BT267" s="35">
        <f t="shared" si="64"/>
        <v>0</v>
      </c>
    </row>
    <row r="268" spans="1:72" ht="58" x14ac:dyDescent="0.35">
      <c r="A268" s="5">
        <v>267</v>
      </c>
      <c r="B268" s="5"/>
      <c r="C268" s="5" t="s">
        <v>78</v>
      </c>
      <c r="D268" s="5">
        <v>11</v>
      </c>
      <c r="E268" s="5">
        <v>3</v>
      </c>
      <c r="F268" s="8" t="s">
        <v>259</v>
      </c>
      <c r="G268" s="8"/>
      <c r="H268" s="5" t="s">
        <v>1</v>
      </c>
      <c r="I268" s="5" t="str" cm="1">
        <f t="array" ref="I268">_xlfn.IFS(
  H268="Mahuva", "Mahuva",
  H268="Jesar", "Mahuva",
  H268="Palitana", "Palitana",
  H268="Gariyadhar", "Palitana",
  H268="Talaja", "Talaja",
  H268="Vallabhipur", "Vallabhipur",
  H268="Umrala", "Vallabhipur",
  H268="Shihor", "Shihor",
  H268="Ghogha", "Bhavnagar",
  H268="Bhavnagar", "Bhavnagar"
)</f>
        <v>Bhavnagar</v>
      </c>
      <c r="J268" s="5" t="s">
        <v>256</v>
      </c>
      <c r="K268" s="5" t="s">
        <v>926</v>
      </c>
      <c r="M268" s="5">
        <v>7</v>
      </c>
      <c r="Q268" s="7">
        <f t="shared" si="53"/>
        <v>120</v>
      </c>
      <c r="S268" s="33" t="s">
        <v>233</v>
      </c>
      <c r="U268" s="10"/>
      <c r="V268" s="10" t="str">
        <f t="shared" si="54"/>
        <v>Equals</v>
      </c>
      <c r="W268" s="11" t="str" cm="1">
        <f t="array" ref="W268">NumberToWords(T268)</f>
        <v>Zero Rupees Only</v>
      </c>
      <c r="X268" s="10" t="str">
        <f t="shared" si="55"/>
        <v>Division</v>
      </c>
      <c r="Z268" s="9">
        <f t="shared" si="56"/>
        <v>0</v>
      </c>
      <c r="AB268" s="8">
        <f>_xlfn.XLOOKUP(AA268, 'Agency List'!A$2:A$145, 'Agency List'!B$2:B$145, "Not Found")</f>
        <v>0</v>
      </c>
      <c r="AC268" s="8">
        <f>_xlfn.XLOOKUP(AA268, 'Agency List'!A$2:A$145, 'Agency List'!C$2:C$145, "Not Found")</f>
        <v>0</v>
      </c>
      <c r="AD268" s="8">
        <f>_xlfn.XLOOKUP(AA268, 'Agency List'!A$2:A$145, 'Agency List'!D$2:D$145, "Not Found")</f>
        <v>0</v>
      </c>
      <c r="AE268" s="7"/>
      <c r="AF268" s="5"/>
      <c r="AG268" s="5" t="str">
        <f t="shared" si="57"/>
        <v>Bandhkam</v>
      </c>
      <c r="AH268" s="5"/>
      <c r="AI268" s="8"/>
      <c r="AJ268" s="8"/>
      <c r="AL268" s="16"/>
      <c r="AM268" s="12">
        <f t="shared" si="58"/>
        <v>0</v>
      </c>
      <c r="AN268" s="7">
        <f t="shared" si="59"/>
        <v>450</v>
      </c>
      <c r="AO268" s="12">
        <f t="shared" si="60"/>
        <v>0</v>
      </c>
      <c r="AP268" s="12">
        <f t="shared" si="61"/>
        <v>0</v>
      </c>
      <c r="AQ268" s="15">
        <f t="shared" si="62"/>
        <v>35</v>
      </c>
      <c r="AR268" s="7">
        <f t="shared" si="63"/>
        <v>390</v>
      </c>
      <c r="AS268" s="5"/>
      <c r="AU268" s="5"/>
      <c r="AV268" s="17"/>
      <c r="AW268" s="17"/>
      <c r="AX268" s="5"/>
      <c r="AY268" s="5"/>
      <c r="AZ268" s="13"/>
      <c r="BA268" s="12"/>
      <c r="BB268" s="7"/>
      <c r="BC268" s="14"/>
      <c r="BD268" s="14"/>
      <c r="BF268" s="12"/>
      <c r="BG268" s="14"/>
      <c r="BH268" s="19"/>
      <c r="BI268" s="5"/>
      <c r="BM268" s="18"/>
      <c r="BN268" s="18"/>
      <c r="BO268" s="18"/>
      <c r="BP268" s="18"/>
      <c r="BQ268" s="5"/>
      <c r="BR268" s="18"/>
      <c r="BS268" s="18"/>
      <c r="BT268" s="35">
        <f t="shared" si="64"/>
        <v>0</v>
      </c>
    </row>
    <row r="269" spans="1:72" ht="43.5" x14ac:dyDescent="0.35">
      <c r="A269" s="5">
        <v>268</v>
      </c>
      <c r="B269" s="5"/>
      <c r="C269" s="5" t="s">
        <v>78</v>
      </c>
      <c r="D269" s="5">
        <v>11</v>
      </c>
      <c r="E269" s="5">
        <v>4</v>
      </c>
      <c r="F269" s="8" t="s">
        <v>260</v>
      </c>
      <c r="G269" s="8"/>
      <c r="H269" s="5" t="s">
        <v>1</v>
      </c>
      <c r="I269" s="5" t="str" cm="1">
        <f t="array" ref="I269">_xlfn.IFS(
  H269="Mahuva", "Mahuva",
  H269="Jesar", "Mahuva",
  H269="Palitana", "Palitana",
  H269="Gariyadhar", "Palitana",
  H269="Talaja", "Talaja",
  H269="Vallabhipur", "Vallabhipur",
  H269="Umrala", "Vallabhipur",
  H269="Shihor", "Shihor",
  H269="Ghogha", "Bhavnagar",
  H269="Bhavnagar", "Bhavnagar"
)</f>
        <v>Bhavnagar</v>
      </c>
      <c r="J269" s="5" t="s">
        <v>256</v>
      </c>
      <c r="K269" s="5" t="s">
        <v>624</v>
      </c>
      <c r="M269" s="5">
        <v>3</v>
      </c>
      <c r="Q269" s="7">
        <f t="shared" si="53"/>
        <v>120</v>
      </c>
      <c r="S269" s="33" t="s">
        <v>233</v>
      </c>
      <c r="U269" s="10"/>
      <c r="V269" s="10" t="str">
        <f t="shared" si="54"/>
        <v>Equals</v>
      </c>
      <c r="W269" s="11" t="str" cm="1">
        <f t="array" ref="W269">NumberToWords(T269)</f>
        <v>Zero Rupees Only</v>
      </c>
      <c r="X269" s="10" t="str">
        <f t="shared" si="55"/>
        <v>Division</v>
      </c>
      <c r="Z269" s="9">
        <f t="shared" si="56"/>
        <v>0</v>
      </c>
      <c r="AB269" s="8">
        <f>_xlfn.XLOOKUP(AA269, 'Agency List'!A$2:A$145, 'Agency List'!B$2:B$145, "Not Found")</f>
        <v>0</v>
      </c>
      <c r="AC269" s="8">
        <f>_xlfn.XLOOKUP(AA269, 'Agency List'!A$2:A$145, 'Agency List'!C$2:C$145, "Not Found")</f>
        <v>0</v>
      </c>
      <c r="AD269" s="8">
        <f>_xlfn.XLOOKUP(AA269, 'Agency List'!A$2:A$145, 'Agency List'!D$2:D$145, "Not Found")</f>
        <v>0</v>
      </c>
      <c r="AE269" s="7"/>
      <c r="AF269" s="5"/>
      <c r="AG269" s="5" t="str">
        <f t="shared" si="57"/>
        <v>Bandhkam</v>
      </c>
      <c r="AH269" s="5"/>
      <c r="AI269" s="8"/>
      <c r="AJ269" s="8"/>
      <c r="AL269" s="16"/>
      <c r="AM269" s="12">
        <f t="shared" si="58"/>
        <v>0</v>
      </c>
      <c r="AN269" s="7">
        <f t="shared" si="59"/>
        <v>450</v>
      </c>
      <c r="AO269" s="12">
        <f t="shared" si="60"/>
        <v>0</v>
      </c>
      <c r="AP269" s="12">
        <f t="shared" si="61"/>
        <v>0</v>
      </c>
      <c r="AQ269" s="15">
        <f t="shared" si="62"/>
        <v>35</v>
      </c>
      <c r="AR269" s="7">
        <f t="shared" si="63"/>
        <v>390</v>
      </c>
      <c r="AS269" s="5"/>
      <c r="AU269" s="5"/>
      <c r="AV269" s="17"/>
      <c r="AW269" s="17"/>
      <c r="AX269" s="5"/>
      <c r="AY269" s="5"/>
      <c r="AZ269" s="13"/>
      <c r="BA269" s="12"/>
      <c r="BB269" s="7"/>
      <c r="BC269" s="14"/>
      <c r="BD269" s="14"/>
      <c r="BF269" s="12"/>
      <c r="BG269" s="14"/>
      <c r="BH269" s="19"/>
      <c r="BI269" s="5"/>
      <c r="BM269" s="18"/>
      <c r="BN269" s="18"/>
      <c r="BO269" s="18"/>
      <c r="BP269" s="18"/>
      <c r="BQ269" s="5"/>
      <c r="BR269" s="18"/>
      <c r="BS269" s="18"/>
      <c r="BT269" s="35">
        <f t="shared" si="64"/>
        <v>0</v>
      </c>
    </row>
    <row r="270" spans="1:72" ht="43.5" x14ac:dyDescent="0.35">
      <c r="A270" s="5">
        <v>269</v>
      </c>
      <c r="B270" s="5"/>
      <c r="C270" s="5" t="s">
        <v>78</v>
      </c>
      <c r="D270" s="5">
        <v>11</v>
      </c>
      <c r="E270" s="5">
        <v>5</v>
      </c>
      <c r="F270" s="8" t="s">
        <v>267</v>
      </c>
      <c r="G270" s="8"/>
      <c r="H270" s="5" t="s">
        <v>12</v>
      </c>
      <c r="I270" s="5" t="str" cm="1">
        <f t="array" ref="I270">_xlfn.IFS(
  H270="Mahuva", "Mahuva",
  H270="Jesar", "Mahuva",
  H270="Palitana", "Palitana",
  H270="Gariyadhar", "Palitana",
  H270="Talaja", "Talaja",
  H270="Vallabhipur", "Vallabhipur",
  H270="Umrala", "Vallabhipur",
  H270="Shihor", "Shihor",
  H270="Ghogha", "Bhavnagar",
  H270="Bhavnagar", "Bhavnagar"
)</f>
        <v>Mahuva</v>
      </c>
      <c r="J270" s="5" t="s">
        <v>256</v>
      </c>
      <c r="K270" s="5" t="s">
        <v>624</v>
      </c>
      <c r="M270" s="5">
        <v>3</v>
      </c>
      <c r="Q270" s="7">
        <f t="shared" si="53"/>
        <v>120</v>
      </c>
      <c r="S270" s="33" t="s">
        <v>233</v>
      </c>
      <c r="U270" s="10"/>
      <c r="V270" s="10" t="str">
        <f t="shared" si="54"/>
        <v>Equals</v>
      </c>
      <c r="W270" s="11" t="str" cm="1">
        <f t="array" ref="W270">NumberToWords(T270)</f>
        <v>Zero Rupees Only</v>
      </c>
      <c r="X270" s="10" t="str">
        <f t="shared" si="55"/>
        <v>Division</v>
      </c>
      <c r="Z270" s="9">
        <f t="shared" si="56"/>
        <v>0</v>
      </c>
      <c r="AB270" s="8">
        <f>_xlfn.XLOOKUP(AA270, 'Agency List'!A$2:A$145, 'Agency List'!B$2:B$145, "Not Found")</f>
        <v>0</v>
      </c>
      <c r="AC270" s="8">
        <f>_xlfn.XLOOKUP(AA270, 'Agency List'!A$2:A$145, 'Agency List'!C$2:C$145, "Not Found")</f>
        <v>0</v>
      </c>
      <c r="AD270" s="8">
        <f>_xlfn.XLOOKUP(AA270, 'Agency List'!A$2:A$145, 'Agency List'!D$2:D$145, "Not Found")</f>
        <v>0</v>
      </c>
      <c r="AE270" s="7"/>
      <c r="AF270" s="5"/>
      <c r="AG270" s="5" t="str">
        <f t="shared" si="57"/>
        <v>Bandhkam</v>
      </c>
      <c r="AH270" s="5"/>
      <c r="AI270" s="8"/>
      <c r="AJ270" s="8"/>
      <c r="AL270" s="16"/>
      <c r="AM270" s="12">
        <f t="shared" si="58"/>
        <v>0</v>
      </c>
      <c r="AN270" s="7">
        <f t="shared" si="59"/>
        <v>450</v>
      </c>
      <c r="AO270" s="12">
        <f t="shared" si="60"/>
        <v>0</v>
      </c>
      <c r="AP270" s="12">
        <f t="shared" si="61"/>
        <v>0</v>
      </c>
      <c r="AQ270" s="15">
        <f t="shared" si="62"/>
        <v>35</v>
      </c>
      <c r="AR270" s="7">
        <f t="shared" si="63"/>
        <v>390</v>
      </c>
      <c r="AS270" s="5"/>
      <c r="AU270" s="5"/>
      <c r="AV270" s="17"/>
      <c r="AW270" s="17"/>
      <c r="AX270" s="5"/>
      <c r="AY270" s="5"/>
      <c r="AZ270" s="13"/>
      <c r="BA270" s="12"/>
      <c r="BB270" s="7"/>
      <c r="BC270" s="14"/>
      <c r="BD270" s="14"/>
      <c r="BF270" s="12"/>
      <c r="BG270" s="14"/>
      <c r="BH270" s="19"/>
      <c r="BI270" s="5"/>
      <c r="BM270" s="18"/>
      <c r="BN270" s="18"/>
      <c r="BO270" s="18"/>
      <c r="BP270" s="18"/>
      <c r="BQ270" s="5"/>
      <c r="BR270" s="18"/>
      <c r="BS270" s="18"/>
      <c r="BT270" s="35">
        <f t="shared" si="64"/>
        <v>0</v>
      </c>
    </row>
    <row r="271" spans="1:72" ht="43.5" x14ac:dyDescent="0.35">
      <c r="A271" s="5">
        <v>270</v>
      </c>
      <c r="B271" s="5"/>
      <c r="C271" s="5" t="s">
        <v>78</v>
      </c>
      <c r="D271" s="5">
        <v>11</v>
      </c>
      <c r="E271" s="5">
        <v>6</v>
      </c>
      <c r="F271" s="8" t="s">
        <v>268</v>
      </c>
      <c r="G271" s="8"/>
      <c r="H271" s="5" t="s">
        <v>12</v>
      </c>
      <c r="I271" s="5" t="str" cm="1">
        <f t="array" ref="I271">_xlfn.IFS(
  H271="Mahuva", "Mahuva",
  H271="Jesar", "Mahuva",
  H271="Palitana", "Palitana",
  H271="Gariyadhar", "Palitana",
  H271="Talaja", "Talaja",
  H271="Vallabhipur", "Vallabhipur",
  H271="Umrala", "Vallabhipur",
  H271="Shihor", "Shihor",
  H271="Ghogha", "Bhavnagar",
  H271="Bhavnagar", "Bhavnagar"
)</f>
        <v>Mahuva</v>
      </c>
      <c r="J271" s="5" t="s">
        <v>256</v>
      </c>
      <c r="K271" s="5" t="s">
        <v>624</v>
      </c>
      <c r="M271" s="5">
        <v>3</v>
      </c>
      <c r="Q271" s="7">
        <f t="shared" si="53"/>
        <v>120</v>
      </c>
      <c r="S271" s="33" t="s">
        <v>233</v>
      </c>
      <c r="U271" s="10"/>
      <c r="V271" s="10" t="str">
        <f t="shared" si="54"/>
        <v>Equals</v>
      </c>
      <c r="W271" s="11" t="str" cm="1">
        <f t="array" ref="W271">NumberToWords(T271)</f>
        <v>Zero Rupees Only</v>
      </c>
      <c r="X271" s="10" t="str">
        <f t="shared" si="55"/>
        <v>Division</v>
      </c>
      <c r="Z271" s="9">
        <f t="shared" si="56"/>
        <v>0</v>
      </c>
      <c r="AB271" s="8">
        <f>_xlfn.XLOOKUP(AA271, 'Agency List'!A$2:A$145, 'Agency List'!B$2:B$145, "Not Found")</f>
        <v>0</v>
      </c>
      <c r="AC271" s="8">
        <f>_xlfn.XLOOKUP(AA271, 'Agency List'!A$2:A$145, 'Agency List'!C$2:C$145, "Not Found")</f>
        <v>0</v>
      </c>
      <c r="AD271" s="8">
        <f>_xlfn.XLOOKUP(AA271, 'Agency List'!A$2:A$145, 'Agency List'!D$2:D$145, "Not Found")</f>
        <v>0</v>
      </c>
      <c r="AE271" s="7"/>
      <c r="AF271" s="5"/>
      <c r="AG271" s="5" t="str">
        <f t="shared" si="57"/>
        <v>Bandhkam</v>
      </c>
      <c r="AH271" s="5"/>
      <c r="AI271" s="8"/>
      <c r="AJ271" s="8"/>
      <c r="AL271" s="16"/>
      <c r="AM271" s="12">
        <f t="shared" si="58"/>
        <v>0</v>
      </c>
      <c r="AN271" s="7">
        <f t="shared" si="59"/>
        <v>450</v>
      </c>
      <c r="AO271" s="12">
        <f t="shared" si="60"/>
        <v>0</v>
      </c>
      <c r="AP271" s="12">
        <f t="shared" si="61"/>
        <v>0</v>
      </c>
      <c r="AQ271" s="15">
        <f t="shared" si="62"/>
        <v>35</v>
      </c>
      <c r="AR271" s="7">
        <f t="shared" si="63"/>
        <v>390</v>
      </c>
      <c r="AS271" s="5"/>
      <c r="AU271" s="5"/>
      <c r="AV271" s="17"/>
      <c r="AW271" s="17"/>
      <c r="AX271" s="5"/>
      <c r="AY271" s="5"/>
      <c r="AZ271" s="13"/>
      <c r="BA271" s="12"/>
      <c r="BB271" s="7"/>
      <c r="BC271" s="14"/>
      <c r="BD271" s="14"/>
      <c r="BF271" s="12"/>
      <c r="BG271" s="14"/>
      <c r="BH271" s="19"/>
      <c r="BI271" s="5"/>
      <c r="BM271" s="18"/>
      <c r="BN271" s="18"/>
      <c r="BO271" s="18"/>
      <c r="BP271" s="18"/>
      <c r="BQ271" s="5"/>
      <c r="BR271" s="18"/>
      <c r="BS271" s="18"/>
      <c r="BT271" s="35">
        <f t="shared" si="64"/>
        <v>0</v>
      </c>
    </row>
    <row r="272" spans="1:72" ht="29" x14ac:dyDescent="0.35">
      <c r="A272" s="5">
        <v>271</v>
      </c>
      <c r="B272" s="5"/>
      <c r="C272" s="5" t="s">
        <v>78</v>
      </c>
      <c r="D272" s="5">
        <v>11</v>
      </c>
      <c r="E272" s="5">
        <v>7</v>
      </c>
      <c r="F272" s="8" t="s">
        <v>269</v>
      </c>
      <c r="G272" s="8"/>
      <c r="H272" s="5" t="s">
        <v>12</v>
      </c>
      <c r="I272" s="5" t="str" cm="1">
        <f t="array" ref="I272">_xlfn.IFS(
  H272="Mahuva", "Mahuva",
  H272="Jesar", "Mahuva",
  H272="Palitana", "Palitana",
  H272="Gariyadhar", "Palitana",
  H272="Talaja", "Talaja",
  H272="Vallabhipur", "Vallabhipur",
  H272="Umrala", "Vallabhipur",
  H272="Shihor", "Shihor",
  H272="Ghogha", "Bhavnagar",
  H272="Bhavnagar", "Bhavnagar"
)</f>
        <v>Mahuva</v>
      </c>
      <c r="J272" s="5" t="s">
        <v>256</v>
      </c>
      <c r="K272" s="5" t="s">
        <v>624</v>
      </c>
      <c r="M272" s="5">
        <v>3</v>
      </c>
      <c r="Q272" s="7">
        <f t="shared" si="53"/>
        <v>120</v>
      </c>
      <c r="S272" s="33" t="s">
        <v>233</v>
      </c>
      <c r="U272" s="10"/>
      <c r="V272" s="10" t="str">
        <f t="shared" si="54"/>
        <v>Equals</v>
      </c>
      <c r="W272" s="11" t="str" cm="1">
        <f t="array" ref="W272">NumberToWords(T272)</f>
        <v>Zero Rupees Only</v>
      </c>
      <c r="X272" s="10" t="str">
        <f t="shared" si="55"/>
        <v>Division</v>
      </c>
      <c r="Z272" s="9">
        <f t="shared" si="56"/>
        <v>0</v>
      </c>
      <c r="AB272" s="8">
        <f>_xlfn.XLOOKUP(AA272, 'Agency List'!A$2:A$145, 'Agency List'!B$2:B$145, "Not Found")</f>
        <v>0</v>
      </c>
      <c r="AC272" s="8">
        <f>_xlfn.XLOOKUP(AA272, 'Agency List'!A$2:A$145, 'Agency List'!C$2:C$145, "Not Found")</f>
        <v>0</v>
      </c>
      <c r="AD272" s="8">
        <f>_xlfn.XLOOKUP(AA272, 'Agency List'!A$2:A$145, 'Agency List'!D$2:D$145, "Not Found")</f>
        <v>0</v>
      </c>
      <c r="AE272" s="7"/>
      <c r="AF272" s="5"/>
      <c r="AG272" s="5" t="str">
        <f t="shared" si="57"/>
        <v>Bandhkam</v>
      </c>
      <c r="AH272" s="5"/>
      <c r="AI272" s="8"/>
      <c r="AJ272" s="8"/>
      <c r="AL272" s="16"/>
      <c r="AM272" s="12">
        <f t="shared" si="58"/>
        <v>0</v>
      </c>
      <c r="AN272" s="7">
        <f t="shared" si="59"/>
        <v>450</v>
      </c>
      <c r="AO272" s="12">
        <f t="shared" si="60"/>
        <v>0</v>
      </c>
      <c r="AP272" s="12">
        <f t="shared" si="61"/>
        <v>0</v>
      </c>
      <c r="AQ272" s="15">
        <f t="shared" si="62"/>
        <v>35</v>
      </c>
      <c r="AR272" s="7">
        <f t="shared" si="63"/>
        <v>390</v>
      </c>
      <c r="AS272" s="5"/>
      <c r="AU272" s="5"/>
      <c r="AV272" s="17"/>
      <c r="AW272" s="17"/>
      <c r="AX272" s="5"/>
      <c r="AY272" s="5"/>
      <c r="AZ272" s="13"/>
      <c r="BA272" s="12"/>
      <c r="BB272" s="7"/>
      <c r="BC272" s="14"/>
      <c r="BD272" s="14"/>
      <c r="BF272" s="12"/>
      <c r="BG272" s="14"/>
      <c r="BH272" s="19"/>
      <c r="BI272" s="5"/>
      <c r="BM272" s="18"/>
      <c r="BN272" s="18"/>
      <c r="BO272" s="18"/>
      <c r="BP272" s="18"/>
      <c r="BQ272" s="5"/>
      <c r="BR272" s="18"/>
      <c r="BS272" s="18"/>
      <c r="BT272" s="35">
        <f t="shared" si="64"/>
        <v>0</v>
      </c>
    </row>
    <row r="273" spans="1:72" ht="43.5" x14ac:dyDescent="0.35">
      <c r="A273" s="5">
        <v>272</v>
      </c>
      <c r="B273" s="5"/>
      <c r="C273" s="5" t="s">
        <v>78</v>
      </c>
      <c r="D273" s="5">
        <v>11</v>
      </c>
      <c r="E273" s="5">
        <v>8</v>
      </c>
      <c r="F273" s="8" t="s">
        <v>270</v>
      </c>
      <c r="G273" s="8"/>
      <c r="H273" s="5" t="s">
        <v>12</v>
      </c>
      <c r="I273" s="5" t="str" cm="1">
        <f t="array" ref="I273">_xlfn.IFS(
  H273="Mahuva", "Mahuva",
  H273="Jesar", "Mahuva",
  H273="Palitana", "Palitana",
  H273="Gariyadhar", "Palitana",
  H273="Talaja", "Talaja",
  H273="Vallabhipur", "Vallabhipur",
  H273="Umrala", "Vallabhipur",
  H273="Shihor", "Shihor",
  H273="Ghogha", "Bhavnagar",
  H273="Bhavnagar", "Bhavnagar"
)</f>
        <v>Mahuva</v>
      </c>
      <c r="J273" s="5" t="s">
        <v>256</v>
      </c>
      <c r="K273" s="5" t="s">
        <v>624</v>
      </c>
      <c r="M273" s="5">
        <v>3</v>
      </c>
      <c r="Q273" s="7">
        <f t="shared" si="53"/>
        <v>120</v>
      </c>
      <c r="S273" s="33" t="s">
        <v>233</v>
      </c>
      <c r="U273" s="10"/>
      <c r="V273" s="10" t="str">
        <f t="shared" si="54"/>
        <v>Equals</v>
      </c>
      <c r="W273" s="11" t="str" cm="1">
        <f t="array" ref="W273">NumberToWords(T273)</f>
        <v>Zero Rupees Only</v>
      </c>
      <c r="X273" s="10" t="str">
        <f t="shared" si="55"/>
        <v>Division</v>
      </c>
      <c r="Z273" s="9">
        <f t="shared" si="56"/>
        <v>0</v>
      </c>
      <c r="AB273" s="8">
        <f>_xlfn.XLOOKUP(AA273, 'Agency List'!A$2:A$145, 'Agency List'!B$2:B$145, "Not Found")</f>
        <v>0</v>
      </c>
      <c r="AC273" s="8">
        <f>_xlfn.XLOOKUP(AA273, 'Agency List'!A$2:A$145, 'Agency List'!C$2:C$145, "Not Found")</f>
        <v>0</v>
      </c>
      <c r="AD273" s="8">
        <f>_xlfn.XLOOKUP(AA273, 'Agency List'!A$2:A$145, 'Agency List'!D$2:D$145, "Not Found")</f>
        <v>0</v>
      </c>
      <c r="AE273" s="7"/>
      <c r="AF273" s="5"/>
      <c r="AG273" s="5" t="str">
        <f t="shared" si="57"/>
        <v>Bandhkam</v>
      </c>
      <c r="AH273" s="5"/>
      <c r="AI273" s="8"/>
      <c r="AJ273" s="8"/>
      <c r="AL273" s="16"/>
      <c r="AM273" s="12">
        <f t="shared" si="58"/>
        <v>0</v>
      </c>
      <c r="AN273" s="7">
        <f t="shared" si="59"/>
        <v>450</v>
      </c>
      <c r="AO273" s="12">
        <f t="shared" si="60"/>
        <v>0</v>
      </c>
      <c r="AP273" s="12">
        <f t="shared" si="61"/>
        <v>0</v>
      </c>
      <c r="AQ273" s="15">
        <f t="shared" si="62"/>
        <v>35</v>
      </c>
      <c r="AR273" s="7">
        <f t="shared" si="63"/>
        <v>390</v>
      </c>
      <c r="AS273" s="5"/>
      <c r="AU273" s="5"/>
      <c r="AV273" s="17"/>
      <c r="AW273" s="17"/>
      <c r="AX273" s="5"/>
      <c r="AY273" s="5"/>
      <c r="AZ273" s="13"/>
      <c r="BA273" s="12"/>
      <c r="BB273" s="7"/>
      <c r="BC273" s="14"/>
      <c r="BD273" s="14"/>
      <c r="BF273" s="12"/>
      <c r="BG273" s="14"/>
      <c r="BH273" s="19"/>
      <c r="BI273" s="5"/>
      <c r="BM273" s="18"/>
      <c r="BN273" s="18"/>
      <c r="BO273" s="18"/>
      <c r="BP273" s="18"/>
      <c r="BQ273" s="5"/>
      <c r="BR273" s="18"/>
      <c r="BS273" s="18"/>
      <c r="BT273" s="35">
        <f t="shared" si="64"/>
        <v>0</v>
      </c>
    </row>
    <row r="274" spans="1:72" ht="43.5" x14ac:dyDescent="0.35">
      <c r="A274" s="5">
        <v>273</v>
      </c>
      <c r="B274" s="5"/>
      <c r="C274" s="5" t="s">
        <v>78</v>
      </c>
      <c r="D274" s="5">
        <v>11</v>
      </c>
      <c r="E274" s="5">
        <v>9</v>
      </c>
      <c r="F274" s="8" t="s">
        <v>271</v>
      </c>
      <c r="G274" s="8"/>
      <c r="H274" s="5" t="s">
        <v>12</v>
      </c>
      <c r="I274" s="5" t="str" cm="1">
        <f t="array" ref="I274">_xlfn.IFS(
  H274="Mahuva", "Mahuva",
  H274="Jesar", "Mahuva",
  H274="Palitana", "Palitana",
  H274="Gariyadhar", "Palitana",
  H274="Talaja", "Talaja",
  H274="Vallabhipur", "Vallabhipur",
  H274="Umrala", "Vallabhipur",
  H274="Shihor", "Shihor",
  H274="Ghogha", "Bhavnagar",
  H274="Bhavnagar", "Bhavnagar"
)</f>
        <v>Mahuva</v>
      </c>
      <c r="J274" s="5" t="s">
        <v>256</v>
      </c>
      <c r="K274" s="5" t="s">
        <v>624</v>
      </c>
      <c r="M274" s="5">
        <v>3</v>
      </c>
      <c r="Q274" s="7">
        <f t="shared" si="53"/>
        <v>120</v>
      </c>
      <c r="S274" s="33" t="s">
        <v>233</v>
      </c>
      <c r="U274" s="10"/>
      <c r="V274" s="10" t="str">
        <f t="shared" si="54"/>
        <v>Equals</v>
      </c>
      <c r="W274" s="11" t="str" cm="1">
        <f t="array" ref="W274">NumberToWords(T274)</f>
        <v>Zero Rupees Only</v>
      </c>
      <c r="X274" s="10" t="str">
        <f t="shared" si="55"/>
        <v>Division</v>
      </c>
      <c r="Z274" s="9">
        <f t="shared" si="56"/>
        <v>0</v>
      </c>
      <c r="AB274" s="8">
        <f>_xlfn.XLOOKUP(AA274, 'Agency List'!A$2:A$145, 'Agency List'!B$2:B$145, "Not Found")</f>
        <v>0</v>
      </c>
      <c r="AC274" s="8">
        <f>_xlfn.XLOOKUP(AA274, 'Agency List'!A$2:A$145, 'Agency List'!C$2:C$145, "Not Found")</f>
        <v>0</v>
      </c>
      <c r="AD274" s="8">
        <f>_xlfn.XLOOKUP(AA274, 'Agency List'!A$2:A$145, 'Agency List'!D$2:D$145, "Not Found")</f>
        <v>0</v>
      </c>
      <c r="AE274" s="7"/>
      <c r="AF274" s="5"/>
      <c r="AG274" s="5" t="str">
        <f t="shared" si="57"/>
        <v>Bandhkam</v>
      </c>
      <c r="AH274" s="5"/>
      <c r="AI274" s="8"/>
      <c r="AJ274" s="8"/>
      <c r="AL274" s="16"/>
      <c r="AM274" s="12">
        <f t="shared" si="58"/>
        <v>0</v>
      </c>
      <c r="AN274" s="7">
        <f t="shared" si="59"/>
        <v>450</v>
      </c>
      <c r="AO274" s="12">
        <f t="shared" si="60"/>
        <v>0</v>
      </c>
      <c r="AP274" s="12">
        <f t="shared" si="61"/>
        <v>0</v>
      </c>
      <c r="AQ274" s="15">
        <f t="shared" si="62"/>
        <v>35</v>
      </c>
      <c r="AR274" s="7">
        <f t="shared" si="63"/>
        <v>390</v>
      </c>
      <c r="AS274" s="5"/>
      <c r="AU274" s="5"/>
      <c r="AV274" s="17"/>
      <c r="AW274" s="17"/>
      <c r="AX274" s="5"/>
      <c r="AY274" s="5"/>
      <c r="AZ274" s="13"/>
      <c r="BA274" s="12"/>
      <c r="BB274" s="7"/>
      <c r="BC274" s="14"/>
      <c r="BD274" s="14"/>
      <c r="BF274" s="12"/>
      <c r="BG274" s="14"/>
      <c r="BH274" s="19"/>
      <c r="BI274" s="5"/>
      <c r="BM274" s="18"/>
      <c r="BN274" s="18"/>
      <c r="BO274" s="18"/>
      <c r="BP274" s="18"/>
      <c r="BQ274" s="5"/>
      <c r="BR274" s="18"/>
      <c r="BS274" s="18"/>
      <c r="BT274" s="35">
        <f t="shared" si="64"/>
        <v>0</v>
      </c>
    </row>
    <row r="275" spans="1:72" ht="43.5" x14ac:dyDescent="0.35">
      <c r="A275" s="5">
        <v>274</v>
      </c>
      <c r="B275" s="5"/>
      <c r="C275" s="5" t="s">
        <v>78</v>
      </c>
      <c r="D275" s="5">
        <v>11</v>
      </c>
      <c r="E275" s="5">
        <v>10</v>
      </c>
      <c r="F275" s="8" t="s">
        <v>623</v>
      </c>
      <c r="G275" s="8"/>
      <c r="H275" s="5" t="s">
        <v>12</v>
      </c>
      <c r="I275" s="5" t="str" cm="1">
        <f t="array" ref="I275">_xlfn.IFS(
  H275="Mahuva", "Mahuva",
  H275="Jesar", "Mahuva",
  H275="Palitana", "Palitana",
  H275="Gariyadhar", "Palitana",
  H275="Talaja", "Talaja",
  H275="Vallabhipur", "Vallabhipur",
  H275="Umrala", "Vallabhipur",
  H275="Shihor", "Shihor",
  H275="Ghogha", "Bhavnagar",
  H275="Bhavnagar", "Bhavnagar"
)</f>
        <v>Mahuva</v>
      </c>
      <c r="J275" s="5" t="s">
        <v>256</v>
      </c>
      <c r="K275" s="5" t="s">
        <v>624</v>
      </c>
      <c r="L275" s="5">
        <v>199528</v>
      </c>
      <c r="M275" s="5">
        <v>3</v>
      </c>
      <c r="O275" s="7">
        <v>45848</v>
      </c>
      <c r="Q275" s="7">
        <f t="shared" si="53"/>
        <v>45968</v>
      </c>
      <c r="R275" s="9">
        <v>1024912.96</v>
      </c>
      <c r="S275" s="33"/>
      <c r="T275" s="9">
        <v>1024912.96</v>
      </c>
      <c r="U275" s="10">
        <v>0</v>
      </c>
      <c r="V275" s="10" t="str">
        <f t="shared" si="54"/>
        <v>Equals</v>
      </c>
      <c r="W275" s="11" t="str" cm="1">
        <f t="array" ref="W275">NumberToWords(T275)</f>
        <v>Ten Lakh Twenty Four Thousand Nine Hundred Twelve Rupees and Ninety Six Paise Only</v>
      </c>
      <c r="X275" s="10" t="str">
        <f t="shared" si="55"/>
        <v>Division</v>
      </c>
      <c r="Z275" s="9">
        <f t="shared" si="56"/>
        <v>1024912.96</v>
      </c>
      <c r="AA275" s="5" t="s">
        <v>414</v>
      </c>
      <c r="AB275" s="8">
        <f>_xlfn.XLOOKUP(AA275, 'Agency List'!A$2:A$145, 'Agency List'!B$2:B$145, "Not Found")</f>
        <v>0</v>
      </c>
      <c r="AC275" s="8" t="str">
        <f>_xlfn.XLOOKUP(AA275, 'Agency List'!A$2:A$145, 'Agency List'!C$2:C$145, "Not Found")</f>
        <v>185, Reliya Plot Vistar, Reliya, Tal. Talaja, Dist. Bhavnagar-364135</v>
      </c>
      <c r="AD275" s="8">
        <f>_xlfn.XLOOKUP(AA275, 'Agency List'!A$2:A$145, 'Agency List'!D$2:D$145, "Not Found")</f>
        <v>9737944545</v>
      </c>
      <c r="AE275" s="7"/>
      <c r="AF275" s="5" t="s">
        <v>1084</v>
      </c>
      <c r="AG275" s="5" t="str">
        <f t="shared" si="57"/>
        <v>Bandhkam</v>
      </c>
      <c r="AH275" s="5"/>
      <c r="AI275" s="8"/>
      <c r="AJ275" s="8"/>
      <c r="AL275" s="16">
        <v>3</v>
      </c>
      <c r="AM275" s="12">
        <f t="shared" si="58"/>
        <v>52000</v>
      </c>
      <c r="AN275" s="7">
        <f t="shared" si="59"/>
        <v>46582</v>
      </c>
      <c r="AO275" s="12">
        <f t="shared" si="60"/>
        <v>2600</v>
      </c>
      <c r="AP275" s="12">
        <f t="shared" si="61"/>
        <v>0</v>
      </c>
      <c r="AQ275" s="15">
        <f t="shared" si="62"/>
        <v>46167</v>
      </c>
      <c r="AR275" s="7">
        <f t="shared" si="63"/>
        <v>46522</v>
      </c>
      <c r="AS275" s="5">
        <v>1282</v>
      </c>
      <c r="AT275" s="7">
        <v>45909</v>
      </c>
      <c r="AU275" s="5" t="s">
        <v>78</v>
      </c>
      <c r="AV275" s="17">
        <v>282</v>
      </c>
      <c r="AW275" s="37">
        <v>46042</v>
      </c>
      <c r="AX275" s="5" t="s">
        <v>355</v>
      </c>
      <c r="AY275" s="5" t="s">
        <v>369</v>
      </c>
      <c r="AZ275" s="13">
        <v>44814558317</v>
      </c>
      <c r="BA275" s="12">
        <v>52000</v>
      </c>
      <c r="BB275" s="7">
        <v>46030</v>
      </c>
      <c r="BC275" s="14"/>
      <c r="BD275" s="14"/>
      <c r="BF275" s="12"/>
      <c r="BG275" s="14"/>
      <c r="BH275" s="37">
        <v>46042</v>
      </c>
      <c r="BI275" s="5">
        <v>76</v>
      </c>
      <c r="BJ275" s="37">
        <v>46042</v>
      </c>
      <c r="BK275" s="5">
        <v>21</v>
      </c>
      <c r="BL275" s="7">
        <v>45659</v>
      </c>
      <c r="BM275" s="18"/>
      <c r="BN275" s="18"/>
      <c r="BO275" s="18"/>
      <c r="BP275" s="18"/>
      <c r="BQ275" s="5"/>
      <c r="BR275" s="18"/>
      <c r="BS275" s="18"/>
      <c r="BT275" s="35">
        <f t="shared" si="64"/>
        <v>46132</v>
      </c>
    </row>
    <row r="276" spans="1:72" ht="43.5" x14ac:dyDescent="0.35">
      <c r="A276" s="5">
        <v>275</v>
      </c>
      <c r="B276" s="5"/>
      <c r="C276" s="5" t="s">
        <v>78</v>
      </c>
      <c r="D276" s="5">
        <v>11</v>
      </c>
      <c r="E276" s="5">
        <v>11</v>
      </c>
      <c r="F276" s="8" t="s">
        <v>273</v>
      </c>
      <c r="G276" s="8"/>
      <c r="H276" s="5" t="s">
        <v>12</v>
      </c>
      <c r="I276" s="5" t="str" cm="1">
        <f t="array" ref="I276">_xlfn.IFS(
  H276="Mahuva", "Mahuva",
  H276="Jesar", "Mahuva",
  H276="Palitana", "Palitana",
  H276="Gariyadhar", "Palitana",
  H276="Talaja", "Talaja",
  H276="Vallabhipur", "Vallabhipur",
  H276="Umrala", "Vallabhipur",
  H276="Shihor", "Shihor",
  H276="Ghogha", "Bhavnagar",
  H276="Bhavnagar", "Bhavnagar"
)</f>
        <v>Mahuva</v>
      </c>
      <c r="J276" s="5" t="s">
        <v>256</v>
      </c>
      <c r="K276" s="5" t="s">
        <v>624</v>
      </c>
      <c r="M276" s="5">
        <v>3</v>
      </c>
      <c r="Q276" s="7">
        <f t="shared" si="53"/>
        <v>120</v>
      </c>
      <c r="S276" s="33" t="s">
        <v>233</v>
      </c>
      <c r="U276" s="10"/>
      <c r="V276" s="10" t="str">
        <f t="shared" si="54"/>
        <v>Equals</v>
      </c>
      <c r="W276" s="11" t="str" cm="1">
        <f t="array" ref="W276">NumberToWords(T276)</f>
        <v>Zero Rupees Only</v>
      </c>
      <c r="X276" s="10" t="str">
        <f t="shared" si="55"/>
        <v>Division</v>
      </c>
      <c r="Z276" s="9">
        <f t="shared" si="56"/>
        <v>0</v>
      </c>
      <c r="AB276" s="8">
        <f>_xlfn.XLOOKUP(AA276, 'Agency List'!A$2:A$145, 'Agency List'!B$2:B$145, "Not Found")</f>
        <v>0</v>
      </c>
      <c r="AC276" s="8">
        <f>_xlfn.XLOOKUP(AA276, 'Agency List'!A$2:A$145, 'Agency List'!C$2:C$145, "Not Found")</f>
        <v>0</v>
      </c>
      <c r="AD276" s="8">
        <f>_xlfn.XLOOKUP(AA276, 'Agency List'!A$2:A$145, 'Agency List'!D$2:D$145, "Not Found")</f>
        <v>0</v>
      </c>
      <c r="AE276" s="7"/>
      <c r="AF276" s="5"/>
      <c r="AG276" s="5" t="str">
        <f t="shared" si="57"/>
        <v>Bandhkam</v>
      </c>
      <c r="AH276" s="5"/>
      <c r="AI276" s="8"/>
      <c r="AJ276" s="8"/>
      <c r="AL276" s="16"/>
      <c r="AM276" s="12">
        <f t="shared" si="58"/>
        <v>0</v>
      </c>
      <c r="AN276" s="7">
        <f t="shared" si="59"/>
        <v>450</v>
      </c>
      <c r="AO276" s="12">
        <f t="shared" si="60"/>
        <v>0</v>
      </c>
      <c r="AP276" s="12">
        <f t="shared" si="61"/>
        <v>0</v>
      </c>
      <c r="AQ276" s="15">
        <f t="shared" si="62"/>
        <v>35</v>
      </c>
      <c r="AR276" s="7">
        <f t="shared" si="63"/>
        <v>390</v>
      </c>
      <c r="AS276" s="5"/>
      <c r="AU276" s="5"/>
      <c r="AV276" s="17"/>
      <c r="AW276" s="17"/>
      <c r="AX276" s="5"/>
      <c r="AY276" s="5"/>
      <c r="AZ276" s="13"/>
      <c r="BA276" s="12"/>
      <c r="BB276" s="7"/>
      <c r="BC276" s="14"/>
      <c r="BD276" s="14"/>
      <c r="BF276" s="12"/>
      <c r="BG276" s="14"/>
      <c r="BH276" s="19"/>
      <c r="BI276" s="5"/>
      <c r="BM276" s="18"/>
      <c r="BN276" s="18"/>
      <c r="BO276" s="18"/>
      <c r="BP276" s="18"/>
      <c r="BQ276" s="5"/>
      <c r="BR276" s="18"/>
      <c r="BS276" s="18"/>
      <c r="BT276" s="35">
        <f t="shared" si="64"/>
        <v>0</v>
      </c>
    </row>
    <row r="277" spans="1:72" ht="43.5" x14ac:dyDescent="0.35">
      <c r="A277" s="5">
        <v>276</v>
      </c>
      <c r="B277" s="5"/>
      <c r="C277" s="5" t="s">
        <v>78</v>
      </c>
      <c r="D277" s="5">
        <v>11</v>
      </c>
      <c r="E277" s="5">
        <v>12</v>
      </c>
      <c r="F277" s="8" t="s">
        <v>274</v>
      </c>
      <c r="G277" s="8"/>
      <c r="H277" s="5" t="s">
        <v>12</v>
      </c>
      <c r="I277" s="5" t="str" cm="1">
        <f t="array" ref="I277">_xlfn.IFS(
  H277="Mahuva", "Mahuva",
  H277="Jesar", "Mahuva",
  H277="Palitana", "Palitana",
  H277="Gariyadhar", "Palitana",
  H277="Talaja", "Talaja",
  H277="Vallabhipur", "Vallabhipur",
  H277="Umrala", "Vallabhipur",
  H277="Shihor", "Shihor",
  H277="Ghogha", "Bhavnagar",
  H277="Bhavnagar", "Bhavnagar"
)</f>
        <v>Mahuva</v>
      </c>
      <c r="J277" s="5" t="s">
        <v>256</v>
      </c>
      <c r="K277" s="5" t="s">
        <v>624</v>
      </c>
      <c r="M277" s="5">
        <v>3</v>
      </c>
      <c r="Q277" s="7">
        <f t="shared" si="53"/>
        <v>120</v>
      </c>
      <c r="S277" s="33" t="s">
        <v>233</v>
      </c>
      <c r="U277" s="10"/>
      <c r="V277" s="10" t="str">
        <f t="shared" si="54"/>
        <v>Equals</v>
      </c>
      <c r="W277" s="11" t="str" cm="1">
        <f t="array" ref="W277">NumberToWords(T277)</f>
        <v>Zero Rupees Only</v>
      </c>
      <c r="X277" s="10" t="str">
        <f t="shared" si="55"/>
        <v>Division</v>
      </c>
      <c r="Z277" s="9">
        <f t="shared" si="56"/>
        <v>0</v>
      </c>
      <c r="AB277" s="8">
        <f>_xlfn.XLOOKUP(AA277, 'Agency List'!A$2:A$145, 'Agency List'!B$2:B$145, "Not Found")</f>
        <v>0</v>
      </c>
      <c r="AC277" s="8">
        <f>_xlfn.XLOOKUP(AA277, 'Agency List'!A$2:A$145, 'Agency List'!C$2:C$145, "Not Found")</f>
        <v>0</v>
      </c>
      <c r="AD277" s="8">
        <f>_xlfn.XLOOKUP(AA277, 'Agency List'!A$2:A$145, 'Agency List'!D$2:D$145, "Not Found")</f>
        <v>0</v>
      </c>
      <c r="AE277" s="7"/>
      <c r="AF277" s="5"/>
      <c r="AG277" s="5" t="str">
        <f t="shared" si="57"/>
        <v>Bandhkam</v>
      </c>
      <c r="AH277" s="5"/>
      <c r="AI277" s="8"/>
      <c r="AJ277" s="8"/>
      <c r="AL277" s="16"/>
      <c r="AM277" s="12">
        <f t="shared" si="58"/>
        <v>0</v>
      </c>
      <c r="AN277" s="7">
        <f t="shared" si="59"/>
        <v>450</v>
      </c>
      <c r="AO277" s="12">
        <f t="shared" si="60"/>
        <v>0</v>
      </c>
      <c r="AP277" s="12">
        <f t="shared" si="61"/>
        <v>0</v>
      </c>
      <c r="AQ277" s="15">
        <f t="shared" si="62"/>
        <v>35</v>
      </c>
      <c r="AR277" s="7">
        <f t="shared" si="63"/>
        <v>390</v>
      </c>
      <c r="AS277" s="5"/>
      <c r="AU277" s="5"/>
      <c r="AV277" s="17"/>
      <c r="AW277" s="17"/>
      <c r="AX277" s="5"/>
      <c r="AY277" s="5"/>
      <c r="AZ277" s="13"/>
      <c r="BA277" s="12"/>
      <c r="BB277" s="7"/>
      <c r="BC277" s="14"/>
      <c r="BD277" s="14"/>
      <c r="BF277" s="12"/>
      <c r="BG277" s="14"/>
      <c r="BH277" s="19"/>
      <c r="BI277" s="5"/>
      <c r="BM277" s="18"/>
      <c r="BN277" s="18"/>
      <c r="BO277" s="18"/>
      <c r="BP277" s="18"/>
      <c r="BQ277" s="5"/>
      <c r="BR277" s="18"/>
      <c r="BS277" s="18"/>
      <c r="BT277" s="35">
        <f t="shared" si="64"/>
        <v>0</v>
      </c>
    </row>
    <row r="278" spans="1:72" ht="43.5" x14ac:dyDescent="0.35">
      <c r="A278" s="5">
        <v>277</v>
      </c>
      <c r="B278" s="5"/>
      <c r="C278" s="5" t="s">
        <v>78</v>
      </c>
      <c r="D278" s="5">
        <v>11</v>
      </c>
      <c r="E278" s="5">
        <v>13</v>
      </c>
      <c r="F278" s="8" t="s">
        <v>625</v>
      </c>
      <c r="G278" s="8"/>
      <c r="H278" s="5" t="s">
        <v>12</v>
      </c>
      <c r="I278" s="5" t="str" cm="1">
        <f t="array" ref="I278">_xlfn.IFS(
  H278="Mahuva", "Mahuva",
  H278="Jesar", "Mahuva",
  H278="Palitana", "Palitana",
  H278="Gariyadhar", "Palitana",
  H278="Talaja", "Talaja",
  H278="Vallabhipur", "Vallabhipur",
  H278="Umrala", "Vallabhipur",
  H278="Shihor", "Shihor",
  H278="Ghogha", "Bhavnagar",
  H278="Bhavnagar", "Bhavnagar"
)</f>
        <v>Mahuva</v>
      </c>
      <c r="J278" s="5" t="s">
        <v>256</v>
      </c>
      <c r="K278" s="5" t="s">
        <v>624</v>
      </c>
      <c r="L278" s="5">
        <v>199533</v>
      </c>
      <c r="M278" s="5">
        <v>3</v>
      </c>
      <c r="O278" s="7">
        <v>45848</v>
      </c>
      <c r="Q278" s="7">
        <f t="shared" si="53"/>
        <v>45968</v>
      </c>
      <c r="R278" s="9">
        <v>1024912.96</v>
      </c>
      <c r="S278" s="33"/>
      <c r="T278" s="9">
        <v>988528.55</v>
      </c>
      <c r="U278" s="10">
        <v>-3.55</v>
      </c>
      <c r="V278" s="10" t="str">
        <f t="shared" si="54"/>
        <v>Below</v>
      </c>
      <c r="W278" s="11" t="str" cm="1">
        <f t="array" ref="W278">NumberToWords(T278)</f>
        <v>Nine Lakh Eighty Eight Thousand Five Hundred Twenty Eight Rupees and Fifty Five Paise Only</v>
      </c>
      <c r="X278" s="10" t="str">
        <f t="shared" si="55"/>
        <v>Division</v>
      </c>
      <c r="Z278" s="9">
        <f t="shared" si="56"/>
        <v>988528.55</v>
      </c>
      <c r="AA278" s="5" t="s">
        <v>395</v>
      </c>
      <c r="AB278" s="8" t="str">
        <f>_xlfn.XLOOKUP(AA278, 'Agency List'!A$2:A$145, 'Agency List'!B$2:B$145, "Not Found")</f>
        <v>Siddharth Parbatbhai Bed</v>
      </c>
      <c r="AC278" s="8" t="str">
        <f>_xlfn.XLOOKUP(AA278, 'Agency List'!A$2:A$145, 'Agency List'!C$2:C$145, "Not Found")</f>
        <v>At Hemal, Ta. Jafarabad, Dist. Amreli - 365545</v>
      </c>
      <c r="AD278" s="8">
        <f>_xlfn.XLOOKUP(AA278, 'Agency List'!A$2:A$145, 'Agency List'!D$2:D$145, "Not Found")</f>
        <v>9586762457</v>
      </c>
      <c r="AE278" s="7"/>
      <c r="AF278" s="5"/>
      <c r="AG278" s="5" t="str">
        <f t="shared" si="57"/>
        <v>Bandhkam</v>
      </c>
      <c r="AH278" s="5"/>
      <c r="AI278" s="8"/>
      <c r="AJ278" s="8"/>
      <c r="AL278" s="16">
        <v>3</v>
      </c>
      <c r="AM278" s="12">
        <f t="shared" si="58"/>
        <v>50000</v>
      </c>
      <c r="AN278" s="7">
        <f t="shared" si="59"/>
        <v>46450</v>
      </c>
      <c r="AO278" s="12">
        <f t="shared" si="60"/>
        <v>2500</v>
      </c>
      <c r="AP278" s="12">
        <f t="shared" si="61"/>
        <v>0</v>
      </c>
      <c r="AQ278" s="15">
        <f t="shared" si="62"/>
        <v>46035</v>
      </c>
      <c r="AR278" s="7">
        <f t="shared" si="63"/>
        <v>46390</v>
      </c>
      <c r="AS278" s="5">
        <v>1206</v>
      </c>
      <c r="AT278" s="7">
        <v>45895</v>
      </c>
      <c r="AU278" s="5" t="s">
        <v>78</v>
      </c>
      <c r="AV278" s="17">
        <v>145</v>
      </c>
      <c r="AW278" s="37">
        <v>45910</v>
      </c>
      <c r="AX278" s="5" t="s">
        <v>355</v>
      </c>
      <c r="AY278" s="5" t="s">
        <v>356</v>
      </c>
      <c r="AZ278" s="13">
        <v>78049184775</v>
      </c>
      <c r="BA278" s="12">
        <v>50000</v>
      </c>
      <c r="BB278" s="7">
        <v>45903</v>
      </c>
      <c r="BC278" s="14"/>
      <c r="BD278" s="14"/>
      <c r="BF278" s="12"/>
      <c r="BG278" s="14"/>
      <c r="BH278" s="19">
        <v>45910</v>
      </c>
      <c r="BI278" s="5">
        <v>1288</v>
      </c>
      <c r="BJ278" s="19">
        <v>45910</v>
      </c>
      <c r="BM278" s="18"/>
      <c r="BN278" s="18"/>
      <c r="BO278" s="18"/>
      <c r="BP278" s="18"/>
      <c r="BQ278" s="5"/>
      <c r="BR278" s="18"/>
      <c r="BS278" s="18"/>
      <c r="BT278" s="35">
        <f t="shared" si="64"/>
        <v>46000</v>
      </c>
    </row>
    <row r="279" spans="1:72" ht="29" x14ac:dyDescent="0.35">
      <c r="A279" s="5">
        <v>278</v>
      </c>
      <c r="B279" s="5"/>
      <c r="C279" s="5" t="s">
        <v>78</v>
      </c>
      <c r="D279" s="5">
        <v>11</v>
      </c>
      <c r="E279" s="5">
        <v>14</v>
      </c>
      <c r="F279" s="8" t="s">
        <v>276</v>
      </c>
      <c r="G279" s="8"/>
      <c r="H279" s="5" t="s">
        <v>12</v>
      </c>
      <c r="I279" s="5" t="str" cm="1">
        <f t="array" ref="I279">_xlfn.IFS(
  H279="Mahuva", "Mahuva",
  H279="Jesar", "Mahuva",
  H279="Palitana", "Palitana",
  H279="Gariyadhar", "Palitana",
  H279="Talaja", "Talaja",
  H279="Vallabhipur", "Vallabhipur",
  H279="Umrala", "Vallabhipur",
  H279="Shihor", "Shihor",
  H279="Ghogha", "Bhavnagar",
  H279="Bhavnagar", "Bhavnagar"
)</f>
        <v>Mahuva</v>
      </c>
      <c r="J279" s="5" t="s">
        <v>256</v>
      </c>
      <c r="K279" s="5" t="s">
        <v>624</v>
      </c>
      <c r="M279" s="5">
        <v>3</v>
      </c>
      <c r="Q279" s="7">
        <f t="shared" si="53"/>
        <v>120</v>
      </c>
      <c r="S279" s="33" t="s">
        <v>233</v>
      </c>
      <c r="U279" s="10"/>
      <c r="V279" s="10" t="str">
        <f t="shared" si="54"/>
        <v>Equals</v>
      </c>
      <c r="W279" s="11" t="str" cm="1">
        <f t="array" ref="W279">NumberToWords(T279)</f>
        <v>Zero Rupees Only</v>
      </c>
      <c r="X279" s="10" t="str">
        <f t="shared" si="55"/>
        <v>Division</v>
      </c>
      <c r="Z279" s="9">
        <f t="shared" si="56"/>
        <v>0</v>
      </c>
      <c r="AB279" s="8">
        <f>_xlfn.XLOOKUP(AA279, 'Agency List'!A$2:A$145, 'Agency List'!B$2:B$145, "Not Found")</f>
        <v>0</v>
      </c>
      <c r="AC279" s="8">
        <f>_xlfn.XLOOKUP(AA279, 'Agency List'!A$2:A$145, 'Agency List'!C$2:C$145, "Not Found")</f>
        <v>0</v>
      </c>
      <c r="AD279" s="8">
        <f>_xlfn.XLOOKUP(AA279, 'Agency List'!A$2:A$145, 'Agency List'!D$2:D$145, "Not Found")</f>
        <v>0</v>
      </c>
      <c r="AE279" s="7"/>
      <c r="AF279" s="5"/>
      <c r="AG279" s="5" t="str">
        <f t="shared" si="57"/>
        <v>Bandhkam</v>
      </c>
      <c r="AH279" s="5"/>
      <c r="AI279" s="8"/>
      <c r="AJ279" s="8"/>
      <c r="AL279" s="16"/>
      <c r="AM279" s="12">
        <f t="shared" si="58"/>
        <v>0</v>
      </c>
      <c r="AN279" s="7">
        <f t="shared" si="59"/>
        <v>450</v>
      </c>
      <c r="AO279" s="12">
        <f t="shared" si="60"/>
        <v>0</v>
      </c>
      <c r="AP279" s="12">
        <f t="shared" si="61"/>
        <v>0</v>
      </c>
      <c r="AQ279" s="15">
        <f t="shared" si="62"/>
        <v>35</v>
      </c>
      <c r="AR279" s="7">
        <f t="shared" si="63"/>
        <v>390</v>
      </c>
      <c r="AS279" s="5"/>
      <c r="AU279" s="5"/>
      <c r="AV279" s="17"/>
      <c r="AW279" s="17"/>
      <c r="AX279" s="5"/>
      <c r="AY279" s="5"/>
      <c r="AZ279" s="13"/>
      <c r="BA279" s="12"/>
      <c r="BB279" s="7"/>
      <c r="BC279" s="14"/>
      <c r="BD279" s="14"/>
      <c r="BF279" s="12"/>
      <c r="BG279" s="14"/>
      <c r="BH279" s="19"/>
      <c r="BI279" s="5"/>
      <c r="BM279" s="18"/>
      <c r="BN279" s="18"/>
      <c r="BO279" s="18"/>
      <c r="BP279" s="18"/>
      <c r="BQ279" s="5"/>
      <c r="BR279" s="18"/>
      <c r="BS279" s="18"/>
      <c r="BT279" s="35">
        <f t="shared" si="64"/>
        <v>0</v>
      </c>
    </row>
    <row r="280" spans="1:72" ht="58" x14ac:dyDescent="0.35">
      <c r="A280" s="5">
        <v>279</v>
      </c>
      <c r="B280" s="5"/>
      <c r="C280" s="5" t="s">
        <v>78</v>
      </c>
      <c r="D280" s="5">
        <v>12</v>
      </c>
      <c r="E280" s="5">
        <v>1</v>
      </c>
      <c r="F280" s="8" t="s">
        <v>626</v>
      </c>
      <c r="G280" s="8"/>
      <c r="H280" s="5" t="s">
        <v>1</v>
      </c>
      <c r="I280" s="5" t="str" cm="1">
        <f t="array" ref="I280">_xlfn.IFS(
  H280="Mahuva", "Mahuva",
  H280="Jesar", "Mahuva",
  H280="Palitana", "Palitana",
  H280="Gariyadhar", "Palitana",
  H280="Talaja", "Talaja",
  H280="Vallabhipur", "Vallabhipur",
  H280="Umrala", "Vallabhipur",
  H280="Shihor", "Shihor",
  H280="Ghogha", "Bhavnagar",
  H280="Bhavnagar", "Bhavnagar"
)</f>
        <v>Bhavnagar</v>
      </c>
      <c r="J280" s="5" t="s">
        <v>631</v>
      </c>
      <c r="K280" s="5"/>
      <c r="L280" s="5">
        <v>203561</v>
      </c>
      <c r="M280" s="5">
        <v>2</v>
      </c>
      <c r="N280" s="7">
        <v>45848</v>
      </c>
      <c r="O280" s="7">
        <v>45856</v>
      </c>
      <c r="P280" s="7">
        <v>45857</v>
      </c>
      <c r="Q280" s="7">
        <f t="shared" si="53"/>
        <v>45976</v>
      </c>
      <c r="R280" s="9">
        <v>247012304.43000001</v>
      </c>
      <c r="S280" s="33"/>
      <c r="T280" s="9">
        <v>258992401.19</v>
      </c>
      <c r="U280" s="10">
        <v>4.8499999999999996</v>
      </c>
      <c r="V280" s="10" t="str">
        <f t="shared" si="54"/>
        <v>Above</v>
      </c>
      <c r="W280" s="11" t="str" cm="1">
        <f t="array" ref="W280">NumberToWords(T280)</f>
        <v>Twenty Five Crore Eighty Nine Lakh Ninety Two Thousand Four Hundred One Rupees and Nineteen Paise Only</v>
      </c>
      <c r="X280" s="10" t="str">
        <f t="shared" si="55"/>
        <v>Government</v>
      </c>
      <c r="Z280" s="9">
        <f t="shared" si="56"/>
        <v>258992401.19</v>
      </c>
      <c r="AA280" s="5" t="s">
        <v>642</v>
      </c>
      <c r="AB280" s="8">
        <f>_xlfn.XLOOKUP(AA280, 'Agency List'!A$2:A$145, 'Agency List'!B$2:B$145, "Not Found")</f>
        <v>0</v>
      </c>
      <c r="AC280" s="8" t="str">
        <f>_xlfn.XLOOKUP(AA280, 'Agency List'!A$2:A$145, 'Agency List'!C$2:C$145, "Not Found")</f>
        <v>Opp. Nagar Palika Shoping Center, Swami Vivekanand Park, Devli Road, Kodinar, Dist. Gir Somnath - 362720</v>
      </c>
      <c r="AD280" s="8">
        <f>_xlfn.XLOOKUP(AA280, 'Agency List'!A$2:A$145, 'Agency List'!D$2:D$145, "Not Found")</f>
        <v>9898222122</v>
      </c>
      <c r="AE280" s="7">
        <v>45875</v>
      </c>
      <c r="AF280" s="5"/>
      <c r="AG280" s="5" t="str">
        <f t="shared" si="57"/>
        <v>Karobari</v>
      </c>
      <c r="AH280" s="55"/>
      <c r="AI280" s="50" t="s">
        <v>231</v>
      </c>
      <c r="AJ280" s="8" t="s">
        <v>730</v>
      </c>
      <c r="AK280" s="7">
        <v>45910</v>
      </c>
      <c r="AL280" s="16">
        <v>12</v>
      </c>
      <c r="AM280" s="12">
        <f t="shared" si="58"/>
        <v>12950000</v>
      </c>
      <c r="AN280" s="7">
        <f t="shared" si="59"/>
        <v>1530</v>
      </c>
      <c r="AO280" s="12">
        <f t="shared" si="60"/>
        <v>634600</v>
      </c>
      <c r="AP280" s="12">
        <f t="shared" si="61"/>
        <v>0</v>
      </c>
      <c r="AQ280" s="15">
        <f t="shared" si="62"/>
        <v>395</v>
      </c>
      <c r="AR280" s="7">
        <f t="shared" si="63"/>
        <v>1470</v>
      </c>
      <c r="AS280" s="5">
        <v>1400</v>
      </c>
      <c r="AT280" s="7">
        <v>45929</v>
      </c>
      <c r="AU280" s="5"/>
      <c r="AV280" s="17"/>
      <c r="AW280" s="17"/>
      <c r="AX280" s="5"/>
      <c r="AY280" s="5"/>
      <c r="AZ280" s="13"/>
      <c r="BA280" s="12"/>
      <c r="BB280" s="7"/>
      <c r="BC280" s="14"/>
      <c r="BD280" s="14"/>
      <c r="BF280" s="12"/>
      <c r="BG280" s="14"/>
      <c r="BH280" s="19"/>
      <c r="BI280" s="5"/>
      <c r="BM280" s="18"/>
      <c r="BN280" s="18"/>
      <c r="BO280" s="18"/>
      <c r="BP280" s="18"/>
      <c r="BQ280" s="5" t="s">
        <v>815</v>
      </c>
      <c r="BR280" s="18"/>
      <c r="BS280" s="18"/>
      <c r="BT280" s="35">
        <f t="shared" si="64"/>
        <v>360</v>
      </c>
    </row>
    <row r="281" spans="1:72" ht="87" x14ac:dyDescent="0.35">
      <c r="A281" s="5">
        <v>280</v>
      </c>
      <c r="B281" s="5"/>
      <c r="C281" s="5" t="s">
        <v>78</v>
      </c>
      <c r="D281" s="5">
        <v>12</v>
      </c>
      <c r="E281" s="5">
        <v>2</v>
      </c>
      <c r="F281" s="8" t="s">
        <v>627</v>
      </c>
      <c r="G281" s="8"/>
      <c r="H281" s="5" t="s">
        <v>1</v>
      </c>
      <c r="I281" s="5" t="str" cm="1">
        <f t="array" ref="I281">_xlfn.IFS(
  H281="Mahuva", "Mahuva",
  H281="Jesar", "Mahuva",
  H281="Palitana", "Palitana",
  H281="Gariyadhar", "Palitana",
  H281="Talaja", "Talaja",
  H281="Vallabhipur", "Vallabhipur",
  H281="Umrala", "Vallabhipur",
  H281="Shihor", "Shihor",
  H281="Ghogha", "Bhavnagar",
  H281="Bhavnagar", "Bhavnagar"
)</f>
        <v>Bhavnagar</v>
      </c>
      <c r="J281" s="5" t="s">
        <v>631</v>
      </c>
      <c r="K281" s="5"/>
      <c r="L281" s="5">
        <v>203610</v>
      </c>
      <c r="M281" s="5">
        <v>2</v>
      </c>
      <c r="N281" s="7">
        <v>45848</v>
      </c>
      <c r="O281" s="7">
        <v>45856</v>
      </c>
      <c r="P281" s="7">
        <v>45857</v>
      </c>
      <c r="Q281" s="7">
        <f t="shared" si="53"/>
        <v>45976</v>
      </c>
      <c r="R281" s="9">
        <v>248929554.08000001</v>
      </c>
      <c r="S281" s="33"/>
      <c r="T281" s="9">
        <v>334063461.57999998</v>
      </c>
      <c r="U281" s="10">
        <v>34.200000000000003</v>
      </c>
      <c r="V281" s="10" t="str">
        <f t="shared" si="54"/>
        <v>Above</v>
      </c>
      <c r="W281" s="11" t="str" cm="1">
        <f t="array" ref="W281">NumberToWords(T281)</f>
        <v>Thirty Three Crore Forty Lakh Sixty Three Thousand Four Hundred Sixty One Rupees and Fifty Eight Paise Only</v>
      </c>
      <c r="X281" s="10" t="str">
        <f t="shared" si="55"/>
        <v>Government</v>
      </c>
      <c r="Z281" s="9">
        <f t="shared" si="56"/>
        <v>334063461.57999998</v>
      </c>
      <c r="AA281" s="5" t="s">
        <v>643</v>
      </c>
      <c r="AB281" s="8">
        <f>_xlfn.XLOOKUP(AA281, 'Agency List'!A$2:A$145, 'Agency List'!B$2:B$145, "Not Found")</f>
        <v>0</v>
      </c>
      <c r="AC281" s="8" t="str">
        <f>_xlfn.XLOOKUP(AA281, 'Agency List'!A$2:A$145, 'Agency List'!C$2:C$145, "Not Found")</f>
        <v xml:space="preserve">201/02, Leela Beside Iscon Mega City, Jewels Road, Opp. Victoria Park, Bhavnagar- 364001                           </v>
      </c>
      <c r="AD281" s="8">
        <f>_xlfn.XLOOKUP(AA281, 'Agency List'!A$2:A$145, 'Agency List'!D$2:D$145, "Not Found")</f>
        <v>2782422236</v>
      </c>
      <c r="AE281" s="7">
        <v>45875</v>
      </c>
      <c r="AF281" s="5"/>
      <c r="AG281" s="5" t="str">
        <f t="shared" si="57"/>
        <v>Karobari</v>
      </c>
      <c r="AH281" s="5"/>
      <c r="AI281" s="8"/>
      <c r="AJ281" s="8"/>
      <c r="AK281" s="7" t="s">
        <v>816</v>
      </c>
      <c r="AL281" s="16"/>
      <c r="AM281" s="12">
        <f t="shared" si="58"/>
        <v>16704000</v>
      </c>
      <c r="AN281" s="7">
        <f t="shared" si="59"/>
        <v>1170</v>
      </c>
      <c r="AO281" s="12">
        <f t="shared" si="60"/>
        <v>818500</v>
      </c>
      <c r="AP281" s="12">
        <f t="shared" si="61"/>
        <v>0</v>
      </c>
      <c r="AQ281" s="15">
        <f t="shared" si="62"/>
        <v>35</v>
      </c>
      <c r="AR281" s="7">
        <f t="shared" si="63"/>
        <v>1110</v>
      </c>
      <c r="AS281" s="5"/>
      <c r="AT281" s="7" t="s">
        <v>816</v>
      </c>
      <c r="AU281" s="5"/>
      <c r="AV281" s="17"/>
      <c r="AW281" s="17"/>
      <c r="AX281" s="5"/>
      <c r="AY281" s="5"/>
      <c r="AZ281" s="13"/>
      <c r="BA281" s="12"/>
      <c r="BB281" s="7"/>
      <c r="BC281" s="14"/>
      <c r="BD281" s="14"/>
      <c r="BF281" s="12"/>
      <c r="BG281" s="14"/>
      <c r="BH281" s="19"/>
      <c r="BI281" s="5"/>
      <c r="BM281" s="18"/>
      <c r="BN281" s="18"/>
      <c r="BO281" s="18"/>
      <c r="BP281" s="18"/>
      <c r="BQ281" s="5" t="s">
        <v>814</v>
      </c>
      <c r="BR281" s="18"/>
      <c r="BS281" s="18"/>
      <c r="BT281" s="35">
        <f t="shared" si="64"/>
        <v>0</v>
      </c>
    </row>
    <row r="282" spans="1:72" ht="72.5" x14ac:dyDescent="0.35">
      <c r="A282" s="5">
        <v>281</v>
      </c>
      <c r="B282" s="5"/>
      <c r="C282" s="5" t="s">
        <v>78</v>
      </c>
      <c r="D282" s="5">
        <v>13</v>
      </c>
      <c r="E282" s="5">
        <v>1</v>
      </c>
      <c r="F282" s="8" t="s">
        <v>628</v>
      </c>
      <c r="G282" s="8"/>
      <c r="H282" s="5" t="s">
        <v>1</v>
      </c>
      <c r="I282" s="5" t="str" cm="1">
        <f t="array" ref="I282">_xlfn.IFS(
  H282="Mahuva", "Mahuva",
  H282="Jesar", "Mahuva",
  H282="Palitana", "Palitana",
  H282="Gariyadhar", "Palitana",
  H282="Talaja", "Talaja",
  H282="Vallabhipur", "Vallabhipur",
  H282="Umrala", "Vallabhipur",
  H282="Shihor", "Shihor",
  H282="Ghogha", "Bhavnagar",
  H282="Bhavnagar", "Bhavnagar"
)</f>
        <v>Bhavnagar</v>
      </c>
      <c r="J282" s="5" t="s">
        <v>631</v>
      </c>
      <c r="K282" s="5"/>
      <c r="M282" s="5">
        <v>1</v>
      </c>
      <c r="Q282" s="7">
        <f t="shared" si="53"/>
        <v>120</v>
      </c>
      <c r="S282" s="33" t="s">
        <v>233</v>
      </c>
      <c r="U282" s="10"/>
      <c r="V282" s="10" t="str">
        <f t="shared" si="54"/>
        <v>Equals</v>
      </c>
      <c r="W282" s="11" t="str" cm="1">
        <f t="array" ref="W282">NumberToWords(T282)</f>
        <v>Zero Rupees Only</v>
      </c>
      <c r="X282" s="10" t="str">
        <f t="shared" si="55"/>
        <v>Division</v>
      </c>
      <c r="Z282" s="9">
        <f t="shared" si="56"/>
        <v>0</v>
      </c>
      <c r="AB282" s="8">
        <f>_xlfn.XLOOKUP(AA282, 'Agency List'!A$2:A$145, 'Agency List'!B$2:B$145, "Not Found")</f>
        <v>0</v>
      </c>
      <c r="AC282" s="8">
        <f>_xlfn.XLOOKUP(AA282, 'Agency List'!A$2:A$145, 'Agency List'!C$2:C$145, "Not Found")</f>
        <v>0</v>
      </c>
      <c r="AD282" s="8">
        <f>_xlfn.XLOOKUP(AA282, 'Agency List'!A$2:A$145, 'Agency List'!D$2:D$145, "Not Found")</f>
        <v>0</v>
      </c>
      <c r="AE282" s="7"/>
      <c r="AF282" s="5"/>
      <c r="AG282" s="5" t="str">
        <f t="shared" si="57"/>
        <v>Bandhkam</v>
      </c>
      <c r="AH282" s="5"/>
      <c r="AI282" s="8"/>
      <c r="AJ282" s="8"/>
      <c r="AL282" s="16"/>
      <c r="AM282" s="12">
        <f t="shared" si="58"/>
        <v>0</v>
      </c>
      <c r="AN282" s="7">
        <f t="shared" si="59"/>
        <v>450</v>
      </c>
      <c r="AO282" s="12">
        <f t="shared" si="60"/>
        <v>0</v>
      </c>
      <c r="AP282" s="12">
        <f t="shared" si="61"/>
        <v>0</v>
      </c>
      <c r="AQ282" s="15">
        <f t="shared" si="62"/>
        <v>35</v>
      </c>
      <c r="AR282" s="7">
        <f t="shared" si="63"/>
        <v>390</v>
      </c>
      <c r="AS282" s="5"/>
      <c r="AU282" s="5"/>
      <c r="AV282" s="17"/>
      <c r="AW282" s="17"/>
      <c r="AX282" s="5"/>
      <c r="AY282" s="5"/>
      <c r="AZ282" s="13"/>
      <c r="BA282" s="12"/>
      <c r="BB282" s="7"/>
      <c r="BC282" s="14"/>
      <c r="BD282" s="14"/>
      <c r="BF282" s="12"/>
      <c r="BG282" s="14"/>
      <c r="BH282" s="19"/>
      <c r="BI282" s="5"/>
      <c r="BM282" s="18"/>
      <c r="BN282" s="18"/>
      <c r="BO282" s="18"/>
      <c r="BP282" s="18"/>
      <c r="BQ282" s="5"/>
      <c r="BR282" s="18"/>
      <c r="BS282" s="18"/>
      <c r="BT282" s="35">
        <f t="shared" si="64"/>
        <v>0</v>
      </c>
    </row>
    <row r="283" spans="1:72" ht="43.5" x14ac:dyDescent="0.35">
      <c r="A283" s="5">
        <v>282</v>
      </c>
      <c r="B283" s="5"/>
      <c r="C283" s="5" t="s">
        <v>78</v>
      </c>
      <c r="D283" s="5">
        <v>14</v>
      </c>
      <c r="E283" s="5">
        <v>1</v>
      </c>
      <c r="F283" s="8" t="s">
        <v>644</v>
      </c>
      <c r="G283" s="8"/>
      <c r="H283" s="5" t="s">
        <v>12</v>
      </c>
      <c r="I283" s="5" t="str" cm="1">
        <f t="array" ref="I283">_xlfn.IFS(
  H283="Mahuva", "Mahuva",
  H283="Jesar", "Mahuva",
  H283="Palitana", "Palitana",
  H283="Gariyadhar", "Palitana",
  H283="Talaja", "Talaja",
  H283="Vallabhipur", "Vallabhipur",
  H283="Umrala", "Vallabhipur",
  H283="Shihor", "Shihor",
  H283="Ghogha", "Bhavnagar",
  H283="Bhavnagar", "Bhavnagar"
)</f>
        <v>Mahuva</v>
      </c>
      <c r="J283" s="5" t="s">
        <v>256</v>
      </c>
      <c r="K283" s="5" t="s">
        <v>418</v>
      </c>
      <c r="L283" s="5">
        <v>211655</v>
      </c>
      <c r="M283" s="5"/>
      <c r="N283" s="7">
        <v>45872</v>
      </c>
      <c r="O283" s="7">
        <v>45880</v>
      </c>
      <c r="P283" s="7">
        <v>45881</v>
      </c>
      <c r="Q283" s="7">
        <f t="shared" si="53"/>
        <v>46000</v>
      </c>
      <c r="R283" s="9">
        <v>2079935.08</v>
      </c>
      <c r="S283" s="33"/>
      <c r="T283" s="9">
        <v>1960338.81</v>
      </c>
      <c r="U283" s="10">
        <v>-5.75</v>
      </c>
      <c r="V283" s="10" t="str">
        <f t="shared" si="54"/>
        <v>Below</v>
      </c>
      <c r="W283" s="11" t="str" cm="1">
        <f t="array" ref="W283">NumberToWords(T283)</f>
        <v>Nineteen Lakh Sixty Thousand Three Hundred Thirty Eight Rupees and Eighty One Paise Only</v>
      </c>
      <c r="X283" s="10" t="str">
        <f t="shared" si="55"/>
        <v>Division</v>
      </c>
      <c r="Z283" s="9">
        <f t="shared" si="56"/>
        <v>1960338.81</v>
      </c>
      <c r="AA283" s="5" t="s">
        <v>633</v>
      </c>
      <c r="AB283" s="8" t="str">
        <f>_xlfn.XLOOKUP(AA283, 'Agency List'!A$2:A$145, 'Agency List'!B$2:B$145, "Not Found")</f>
        <v>Chhelana Vipul Hadabhai</v>
      </c>
      <c r="AC283" s="8" t="str">
        <f>_xlfn.XLOOKUP(AA283, 'Agency List'!A$2:A$145, 'Agency List'!C$2:C$145, "Not Found")</f>
        <v>At Survey No. 4 P, Shiv Hotel, Rohisha Chowkadi, Mahuva, Dist. Bhavnagar</v>
      </c>
      <c r="AD283" s="8">
        <f>_xlfn.XLOOKUP(AA283, 'Agency List'!A$2:A$145, 'Agency List'!D$2:D$145, "Not Found")</f>
        <v>7405505555</v>
      </c>
      <c r="AE283" s="7"/>
      <c r="AF283" s="5" t="s">
        <v>357</v>
      </c>
      <c r="AG283" s="5" t="str">
        <f t="shared" si="57"/>
        <v>Bandhkam</v>
      </c>
      <c r="AH283" s="5"/>
      <c r="AI283" s="8"/>
      <c r="AJ283" s="8"/>
      <c r="AL283" s="16">
        <v>4</v>
      </c>
      <c r="AM283" s="12">
        <f t="shared" si="58"/>
        <v>99000</v>
      </c>
      <c r="AN283" s="7">
        <f t="shared" si="59"/>
        <v>46515</v>
      </c>
      <c r="AO283" s="12">
        <f t="shared" si="60"/>
        <v>4900</v>
      </c>
      <c r="AP283" s="12">
        <f t="shared" si="61"/>
        <v>0</v>
      </c>
      <c r="AQ283" s="15">
        <f t="shared" si="62"/>
        <v>46100</v>
      </c>
      <c r="AR283" s="7">
        <f t="shared" si="63"/>
        <v>46455</v>
      </c>
      <c r="AS283" s="5">
        <v>1370</v>
      </c>
      <c r="AT283" s="7">
        <v>45922</v>
      </c>
      <c r="AU283" s="5" t="s">
        <v>78</v>
      </c>
      <c r="AV283" s="17">
        <v>183</v>
      </c>
      <c r="AW283" s="37">
        <v>45943</v>
      </c>
      <c r="AX283" s="5" t="s">
        <v>355</v>
      </c>
      <c r="AY283" s="5" t="s">
        <v>790</v>
      </c>
      <c r="AZ283" s="45" t="s">
        <v>802</v>
      </c>
      <c r="BA283" s="12">
        <v>99000</v>
      </c>
      <c r="BB283" s="7">
        <v>45937</v>
      </c>
      <c r="BC283" s="14"/>
      <c r="BD283" s="14"/>
      <c r="BF283" s="12"/>
      <c r="BG283" s="14"/>
      <c r="BH283" s="19">
        <v>45945</v>
      </c>
      <c r="BI283" s="5">
        <v>1457</v>
      </c>
      <c r="BJ283" s="19">
        <v>45943</v>
      </c>
      <c r="BM283" s="18"/>
      <c r="BN283" s="18"/>
      <c r="BO283" s="18"/>
      <c r="BP283" s="18"/>
      <c r="BQ283" s="5"/>
      <c r="BR283" s="18"/>
      <c r="BS283" s="18"/>
      <c r="BT283" s="35">
        <f t="shared" si="64"/>
        <v>46065</v>
      </c>
    </row>
    <row r="284" spans="1:72" ht="43.5" x14ac:dyDescent="0.35">
      <c r="A284" s="5">
        <v>283</v>
      </c>
      <c r="B284" s="5"/>
      <c r="C284" s="5" t="s">
        <v>78</v>
      </c>
      <c r="D284" s="5">
        <v>14</v>
      </c>
      <c r="E284" s="5">
        <v>2</v>
      </c>
      <c r="F284" s="8" t="s">
        <v>645</v>
      </c>
      <c r="G284" s="8"/>
      <c r="H284" s="5" t="s">
        <v>12</v>
      </c>
      <c r="I284" s="5" t="str" cm="1">
        <f t="array" ref="I284">_xlfn.IFS(
  H284="Mahuva", "Mahuva",
  H284="Jesar", "Mahuva",
  H284="Palitana", "Palitana",
  H284="Gariyadhar", "Palitana",
  H284="Talaja", "Talaja",
  H284="Vallabhipur", "Vallabhipur",
  H284="Umrala", "Vallabhipur",
  H284="Shihor", "Shihor",
  H284="Ghogha", "Bhavnagar",
  H284="Bhavnagar", "Bhavnagar"
)</f>
        <v>Mahuva</v>
      </c>
      <c r="J284" s="5" t="s">
        <v>256</v>
      </c>
      <c r="K284" s="5" t="s">
        <v>418</v>
      </c>
      <c r="L284" s="5">
        <v>211703</v>
      </c>
      <c r="M284" s="5"/>
      <c r="N284" s="7">
        <v>45872</v>
      </c>
      <c r="O284" s="7">
        <v>45880</v>
      </c>
      <c r="P284" s="7">
        <v>45881</v>
      </c>
      <c r="Q284" s="7">
        <f t="shared" si="53"/>
        <v>46000</v>
      </c>
      <c r="R284" s="9">
        <v>2079935.08</v>
      </c>
      <c r="S284" s="33"/>
      <c r="T284" s="9">
        <v>2033136.54</v>
      </c>
      <c r="U284" s="10">
        <v>-2.25</v>
      </c>
      <c r="V284" s="10" t="str">
        <f t="shared" si="54"/>
        <v>Below</v>
      </c>
      <c r="W284" s="11" t="str" cm="1">
        <f t="array" ref="W284">NumberToWords(T284)</f>
        <v>Twenty Lakh Thirty Three Thousand One Hundred Thirty Six Rupees and Fifty Four Paise Only</v>
      </c>
      <c r="X284" s="10" t="str">
        <f t="shared" si="55"/>
        <v>Division</v>
      </c>
      <c r="Z284" s="9">
        <f t="shared" si="56"/>
        <v>2033136.54</v>
      </c>
      <c r="AA284" s="5" t="s">
        <v>633</v>
      </c>
      <c r="AB284" s="8" t="str">
        <f>_xlfn.XLOOKUP(AA284, 'Agency List'!A$2:A$145, 'Agency List'!B$2:B$145, "Not Found")</f>
        <v>Chhelana Vipul Hadabhai</v>
      </c>
      <c r="AC284" s="8" t="str">
        <f>_xlfn.XLOOKUP(AA284, 'Agency List'!A$2:A$145, 'Agency List'!C$2:C$145, "Not Found")</f>
        <v>At Survey No. 4 P, Shiv Hotel, Rohisha Chowkadi, Mahuva, Dist. Bhavnagar</v>
      </c>
      <c r="AD284" s="8">
        <f>_xlfn.XLOOKUP(AA284, 'Agency List'!A$2:A$145, 'Agency List'!D$2:D$145, "Not Found")</f>
        <v>7405505555</v>
      </c>
      <c r="AE284" s="7"/>
      <c r="AF284" s="5" t="s">
        <v>357</v>
      </c>
      <c r="AG284" s="5" t="str">
        <f t="shared" si="57"/>
        <v>Bandhkam</v>
      </c>
      <c r="AH284" s="5"/>
      <c r="AI284" s="8"/>
      <c r="AJ284" s="8"/>
      <c r="AL284" s="16">
        <v>4</v>
      </c>
      <c r="AM284" s="12">
        <f t="shared" si="58"/>
        <v>102000</v>
      </c>
      <c r="AN284" s="7">
        <f t="shared" si="59"/>
        <v>46515</v>
      </c>
      <c r="AO284" s="12">
        <f t="shared" si="60"/>
        <v>5000</v>
      </c>
      <c r="AP284" s="12">
        <f t="shared" si="61"/>
        <v>0</v>
      </c>
      <c r="AQ284" s="15">
        <f t="shared" si="62"/>
        <v>46100</v>
      </c>
      <c r="AR284" s="7">
        <f t="shared" si="63"/>
        <v>46455</v>
      </c>
      <c r="AS284" s="5">
        <v>1364</v>
      </c>
      <c r="AT284" s="7">
        <v>45922</v>
      </c>
      <c r="AU284" s="5" t="s">
        <v>78</v>
      </c>
      <c r="AV284" s="17">
        <v>179</v>
      </c>
      <c r="AW284" s="37">
        <v>45943</v>
      </c>
      <c r="AX284" s="5" t="s">
        <v>355</v>
      </c>
      <c r="AY284" s="5" t="s">
        <v>790</v>
      </c>
      <c r="AZ284" s="45" t="s">
        <v>798</v>
      </c>
      <c r="BA284" s="12">
        <v>102000</v>
      </c>
      <c r="BB284" s="7">
        <v>45937</v>
      </c>
      <c r="BC284" s="14"/>
      <c r="BD284" s="14"/>
      <c r="BF284" s="12"/>
      <c r="BG284" s="14"/>
      <c r="BH284" s="19">
        <v>45945</v>
      </c>
      <c r="BI284" s="5">
        <v>1458</v>
      </c>
      <c r="BJ284" s="19">
        <v>45943</v>
      </c>
      <c r="BM284" s="18"/>
      <c r="BN284" s="18"/>
      <c r="BO284" s="18"/>
      <c r="BP284" s="18"/>
      <c r="BQ284" s="5"/>
      <c r="BR284" s="18"/>
      <c r="BS284" s="18"/>
      <c r="BT284" s="35">
        <f t="shared" si="64"/>
        <v>46065</v>
      </c>
    </row>
    <row r="285" spans="1:72" ht="43.5" x14ac:dyDescent="0.35">
      <c r="A285" s="5">
        <v>284</v>
      </c>
      <c r="B285" s="5"/>
      <c r="C285" s="5" t="s">
        <v>78</v>
      </c>
      <c r="D285" s="5">
        <v>14</v>
      </c>
      <c r="E285" s="5">
        <v>3</v>
      </c>
      <c r="F285" s="8" t="s">
        <v>646</v>
      </c>
      <c r="G285" s="8"/>
      <c r="H285" s="5" t="s">
        <v>13</v>
      </c>
      <c r="I285" s="5" t="str" cm="1">
        <f t="array" ref="I285">_xlfn.IFS(
  H285="Mahuva", "Mahuva",
  H285="Jesar", "Mahuva",
  H285="Palitana", "Palitana",
  H285="Gariyadhar", "Palitana",
  H285="Talaja", "Talaja",
  H285="Vallabhipur", "Vallabhipur",
  H285="Umrala", "Vallabhipur",
  H285="Shihor", "Shihor",
  H285="Ghogha", "Bhavnagar",
  H285="Bhavnagar", "Bhavnagar"
)</f>
        <v>Shihor</v>
      </c>
      <c r="J285" s="5" t="s">
        <v>256</v>
      </c>
      <c r="K285" s="5" t="s">
        <v>418</v>
      </c>
      <c r="L285" s="5">
        <v>211769</v>
      </c>
      <c r="M285" s="5"/>
      <c r="N285" s="7">
        <v>45872</v>
      </c>
      <c r="O285" s="7">
        <v>45880</v>
      </c>
      <c r="P285" s="7">
        <v>45881</v>
      </c>
      <c r="Q285" s="7">
        <f t="shared" si="53"/>
        <v>46000</v>
      </c>
      <c r="R285" s="9">
        <v>2027056.59</v>
      </c>
      <c r="S285" s="33"/>
      <c r="T285" s="9">
        <v>1924082.12</v>
      </c>
      <c r="U285" s="10">
        <v>-5.08</v>
      </c>
      <c r="V285" s="10" t="str">
        <f t="shared" si="54"/>
        <v>Below</v>
      </c>
      <c r="W285" s="11" t="str" cm="1">
        <f t="array" ref="W285">NumberToWords(T285)</f>
        <v>Nineteen Lakh Twenty Four Thousand Eighty Two Rupees and Twelve Paise Only</v>
      </c>
      <c r="X285" s="10" t="str">
        <f t="shared" si="55"/>
        <v>Division</v>
      </c>
      <c r="Z285" s="9">
        <f t="shared" si="56"/>
        <v>1924082.12</v>
      </c>
      <c r="AA285" s="5" t="s">
        <v>400</v>
      </c>
      <c r="AB285" s="8" t="str">
        <f>_xlfn.XLOOKUP(AA285, 'Agency List'!A$2:A$145, 'Agency List'!B$2:B$145, "Not Found")</f>
        <v>PARTH Kiritkumar MEHTA</v>
      </c>
      <c r="AC285" s="8" t="str">
        <f>_xlfn.XLOOKUP(AA285, 'Agency List'!A$2:A$145, 'Agency List'!C$2:C$145, "Not Found")</f>
        <v>Plot No. 1578/I, New Champa Tenament, Divadi Road, Rupani Circle, Bhavnagar - 364002</v>
      </c>
      <c r="AD285" s="8">
        <f>_xlfn.XLOOKUP(AA285, 'Agency List'!A$2:A$145, 'Agency List'!D$2:D$145, "Not Found")</f>
        <v>7990934709</v>
      </c>
      <c r="AE285" s="7"/>
      <c r="AF285" s="5" t="s">
        <v>357</v>
      </c>
      <c r="AG285" s="5" t="str">
        <f t="shared" si="57"/>
        <v>Bandhkam</v>
      </c>
      <c r="AH285" s="5"/>
      <c r="AI285" s="8"/>
      <c r="AJ285" s="8"/>
      <c r="AL285" s="16">
        <v>4</v>
      </c>
      <c r="AM285" s="12">
        <f t="shared" si="58"/>
        <v>97000</v>
      </c>
      <c r="AN285" s="7">
        <f t="shared" si="59"/>
        <v>46501</v>
      </c>
      <c r="AO285" s="12">
        <f t="shared" si="60"/>
        <v>4800</v>
      </c>
      <c r="AP285" s="12">
        <f t="shared" si="61"/>
        <v>0</v>
      </c>
      <c r="AQ285" s="15">
        <f t="shared" si="62"/>
        <v>46086</v>
      </c>
      <c r="AR285" s="7">
        <f t="shared" si="63"/>
        <v>46441</v>
      </c>
      <c r="AS285" s="5">
        <v>1318</v>
      </c>
      <c r="AT285" s="7">
        <v>45915</v>
      </c>
      <c r="AU285" s="5"/>
      <c r="AV285" s="17"/>
      <c r="AW285" s="17"/>
      <c r="AX285" s="5"/>
      <c r="AY285" s="5"/>
      <c r="AZ285" s="45"/>
      <c r="BA285" s="12"/>
      <c r="BB285" s="7"/>
      <c r="BC285" s="14"/>
      <c r="BD285" s="14"/>
      <c r="BF285" s="12"/>
      <c r="BG285" s="14"/>
      <c r="BH285" s="19">
        <v>45931</v>
      </c>
      <c r="BI285" s="5"/>
      <c r="BK285" s="5">
        <v>1708</v>
      </c>
      <c r="BL285" s="7">
        <v>46006</v>
      </c>
      <c r="BM285" s="18"/>
      <c r="BN285" s="18"/>
      <c r="BO285" s="18"/>
      <c r="BP285" s="18"/>
      <c r="BQ285" s="5"/>
      <c r="BR285" s="18"/>
      <c r="BS285" s="18"/>
      <c r="BT285" s="35">
        <f t="shared" si="64"/>
        <v>46051</v>
      </c>
    </row>
    <row r="286" spans="1:72" ht="43.5" x14ac:dyDescent="0.35">
      <c r="A286" s="5">
        <v>285</v>
      </c>
      <c r="B286" s="5"/>
      <c r="C286" s="5" t="s">
        <v>78</v>
      </c>
      <c r="D286" s="5">
        <v>14</v>
      </c>
      <c r="E286" s="5">
        <v>4</v>
      </c>
      <c r="F286" s="8" t="s">
        <v>647</v>
      </c>
      <c r="G286" s="8"/>
      <c r="H286" s="5" t="s">
        <v>1</v>
      </c>
      <c r="I286" s="5" t="str" cm="1">
        <f t="array" ref="I286">_xlfn.IFS(
  H286="Mahuva", "Mahuva",
  H286="Jesar", "Mahuva",
  H286="Palitana", "Palitana",
  H286="Gariyadhar", "Palitana",
  H286="Talaja", "Talaja",
  H286="Vallabhipur", "Vallabhipur",
  H286="Umrala", "Vallabhipur",
  H286="Shihor", "Shihor",
  H286="Ghogha", "Bhavnagar",
  H286="Bhavnagar", "Bhavnagar"
)</f>
        <v>Bhavnagar</v>
      </c>
      <c r="J286" s="5" t="s">
        <v>256</v>
      </c>
      <c r="K286" s="5" t="s">
        <v>418</v>
      </c>
      <c r="L286" s="5">
        <v>211774</v>
      </c>
      <c r="M286" s="5"/>
      <c r="N286" s="7">
        <v>45872</v>
      </c>
      <c r="O286" s="7">
        <v>45880</v>
      </c>
      <c r="P286" s="7">
        <v>45881</v>
      </c>
      <c r="Q286" s="7">
        <f t="shared" si="53"/>
        <v>46000</v>
      </c>
      <c r="R286" s="9">
        <v>2079935.08</v>
      </c>
      <c r="S286" s="33"/>
      <c r="T286" s="9">
        <v>2079935.08</v>
      </c>
      <c r="U286" s="10">
        <v>0</v>
      </c>
      <c r="V286" s="10" t="str">
        <f t="shared" si="54"/>
        <v>Equals</v>
      </c>
      <c r="W286" s="11" t="str" cm="1">
        <f t="array" ref="W286">NumberToWords(T286)</f>
        <v>Twenty Lakh Seventy Nine Thousand Nine Hundred Thirty Five Rupees and Eight Paise Only</v>
      </c>
      <c r="X286" s="10" t="str">
        <f t="shared" si="55"/>
        <v>Division</v>
      </c>
      <c r="Z286" s="9">
        <f t="shared" si="56"/>
        <v>2079935.08</v>
      </c>
      <c r="AA286" s="5" t="s">
        <v>629</v>
      </c>
      <c r="AB286" s="8">
        <f>_xlfn.XLOOKUP(AA286, 'Agency List'!A$2:A$145, 'Agency List'!B$2:B$145, "Not Found")</f>
        <v>0</v>
      </c>
      <c r="AC286" s="8" t="str">
        <f>_xlfn.XLOOKUP(AA286, 'Agency List'!A$2:A$145, 'Agency List'!C$2:C$145, "Not Found")</f>
        <v>33, Virbhadra Shopping Center, Nr. Nilambaug Circle, Bhavnagar - 364002</v>
      </c>
      <c r="AD286" s="8">
        <f>_xlfn.XLOOKUP(AA286, 'Agency List'!A$2:A$145, 'Agency List'!D$2:D$145, "Not Found")</f>
        <v>9825325757</v>
      </c>
      <c r="AE286" s="7"/>
      <c r="AF286" s="5"/>
      <c r="AG286" s="5" t="str">
        <f t="shared" si="57"/>
        <v>Bandhkam</v>
      </c>
      <c r="AH286" s="5"/>
      <c r="AI286" s="8"/>
      <c r="AJ286" s="8"/>
      <c r="AL286" s="16">
        <v>4</v>
      </c>
      <c r="AM286" s="12">
        <f t="shared" si="58"/>
        <v>104000</v>
      </c>
      <c r="AN286" s="7">
        <f t="shared" si="59"/>
        <v>46584</v>
      </c>
      <c r="AO286" s="12">
        <f t="shared" si="60"/>
        <v>5100</v>
      </c>
      <c r="AP286" s="12">
        <f t="shared" si="61"/>
        <v>0</v>
      </c>
      <c r="AQ286" s="15">
        <f t="shared" si="62"/>
        <v>46169</v>
      </c>
      <c r="AR286" s="7">
        <f t="shared" si="63"/>
        <v>46524</v>
      </c>
      <c r="AS286" s="5">
        <v>1511</v>
      </c>
      <c r="AT286" s="7">
        <v>45971</v>
      </c>
      <c r="AU286" s="5" t="s">
        <v>78</v>
      </c>
      <c r="AV286" s="17">
        <v>251</v>
      </c>
      <c r="AW286" s="37">
        <v>46014</v>
      </c>
      <c r="AX286" s="5" t="s">
        <v>355</v>
      </c>
      <c r="AY286" s="5" t="s">
        <v>369</v>
      </c>
      <c r="AZ286" s="45" t="s">
        <v>950</v>
      </c>
      <c r="BA286" s="12">
        <v>104000</v>
      </c>
      <c r="BB286" s="7">
        <v>46007</v>
      </c>
      <c r="BC286" s="14"/>
      <c r="BD286" s="14"/>
      <c r="BF286" s="12"/>
      <c r="BG286" s="14"/>
      <c r="BH286" s="19">
        <v>46014</v>
      </c>
      <c r="BI286" s="5"/>
      <c r="BJ286" s="19">
        <v>46014</v>
      </c>
      <c r="BK286" s="5">
        <v>1709</v>
      </c>
      <c r="BL286" s="7">
        <v>46006</v>
      </c>
      <c r="BM286" s="18"/>
      <c r="BN286" s="18"/>
      <c r="BO286" s="18"/>
      <c r="BP286" s="18"/>
      <c r="BQ286" s="5"/>
      <c r="BR286" s="18"/>
      <c r="BS286" s="18"/>
      <c r="BT286" s="35">
        <f t="shared" si="64"/>
        <v>46134</v>
      </c>
    </row>
    <row r="287" spans="1:72" ht="43.5" x14ac:dyDescent="0.35">
      <c r="A287" s="5">
        <v>286</v>
      </c>
      <c r="B287" s="5"/>
      <c r="C287" s="5" t="s">
        <v>78</v>
      </c>
      <c r="D287" s="5">
        <v>14</v>
      </c>
      <c r="E287" s="5">
        <v>5</v>
      </c>
      <c r="F287" s="8" t="s">
        <v>648</v>
      </c>
      <c r="G287" s="8"/>
      <c r="H287" s="5" t="s">
        <v>1</v>
      </c>
      <c r="I287" s="5" t="str" cm="1">
        <f t="array" ref="I287">_xlfn.IFS(
  H287="Mahuva", "Mahuva",
  H287="Jesar", "Mahuva",
  H287="Palitana", "Palitana",
  H287="Gariyadhar", "Palitana",
  H287="Talaja", "Talaja",
  H287="Vallabhipur", "Vallabhipur",
  H287="Umrala", "Vallabhipur",
  H287="Shihor", "Shihor",
  H287="Ghogha", "Bhavnagar",
  H287="Bhavnagar", "Bhavnagar"
)</f>
        <v>Bhavnagar</v>
      </c>
      <c r="J287" s="5" t="s">
        <v>256</v>
      </c>
      <c r="K287" s="5" t="s">
        <v>418</v>
      </c>
      <c r="L287" s="5">
        <v>211776</v>
      </c>
      <c r="M287" s="5"/>
      <c r="N287" s="7">
        <v>45872</v>
      </c>
      <c r="O287" s="7">
        <v>45880</v>
      </c>
      <c r="P287" s="7">
        <v>45881</v>
      </c>
      <c r="Q287" s="7">
        <f t="shared" si="53"/>
        <v>46000</v>
      </c>
      <c r="R287" s="9">
        <v>2079935.08</v>
      </c>
      <c r="S287" s="33"/>
      <c r="T287" s="9">
        <v>2048320.07</v>
      </c>
      <c r="U287" s="10">
        <v>-1.52</v>
      </c>
      <c r="V287" s="10" t="str">
        <f t="shared" si="54"/>
        <v>Below</v>
      </c>
      <c r="W287" s="11" t="str" cm="1">
        <f t="array" ref="W287">NumberToWords(T287)</f>
        <v>Twenty Lakh Forty Eight Thousand Three Hundred Twenty Rupees and Seven Paise Only</v>
      </c>
      <c r="X287" s="10" t="str">
        <f t="shared" si="55"/>
        <v>Division</v>
      </c>
      <c r="Z287" s="9">
        <f t="shared" si="56"/>
        <v>2048320.07</v>
      </c>
      <c r="AA287" s="5" t="s">
        <v>71</v>
      </c>
      <c r="AB287" s="8">
        <f>_xlfn.XLOOKUP(AA287, 'Agency List'!A$2:A$145, 'Agency List'!B$2:B$145, "Not Found")</f>
        <v>0</v>
      </c>
      <c r="AC287" s="8" t="str">
        <f>_xlfn.XLOOKUP(AA287, 'Agency List'!A$2:A$145, 'Agency List'!C$2:C$145, "Not Found")</f>
        <v>Dr. Ambedkar Society, Jamvali Road, Palitana, Dist Bhavnagar</v>
      </c>
      <c r="AD287" s="8">
        <f>_xlfn.XLOOKUP(AA287, 'Agency List'!A$2:A$145, 'Agency List'!D$2:D$145, "Not Found")</f>
        <v>9106563480</v>
      </c>
      <c r="AE287" s="7"/>
      <c r="AF287" s="5" t="s">
        <v>357</v>
      </c>
      <c r="AG287" s="5" t="str">
        <f t="shared" si="57"/>
        <v>Bandhkam</v>
      </c>
      <c r="AH287" s="5"/>
      <c r="AI287" s="8"/>
      <c r="AJ287" s="8"/>
      <c r="AL287" s="16">
        <v>4</v>
      </c>
      <c r="AM287" s="12">
        <f t="shared" si="58"/>
        <v>103000</v>
      </c>
      <c r="AN287" s="7">
        <f t="shared" si="59"/>
        <v>46574</v>
      </c>
      <c r="AO287" s="12">
        <f t="shared" si="60"/>
        <v>5100</v>
      </c>
      <c r="AP287" s="12">
        <f t="shared" si="61"/>
        <v>0</v>
      </c>
      <c r="AQ287" s="15">
        <f t="shared" si="62"/>
        <v>46159</v>
      </c>
      <c r="AR287" s="7">
        <f t="shared" si="63"/>
        <v>46514</v>
      </c>
      <c r="AS287" s="5">
        <v>1308</v>
      </c>
      <c r="AT287" s="7">
        <v>45915</v>
      </c>
      <c r="AU287" s="5" t="s">
        <v>78</v>
      </c>
      <c r="AV287" s="17">
        <v>234</v>
      </c>
      <c r="AW287" s="37">
        <v>46004</v>
      </c>
      <c r="AX287" s="5" t="s">
        <v>359</v>
      </c>
      <c r="AY287" s="5" t="s">
        <v>723</v>
      </c>
      <c r="AZ287" s="13" t="s">
        <v>918</v>
      </c>
      <c r="BA287" s="12">
        <v>103000</v>
      </c>
      <c r="BB287" s="7">
        <v>45992</v>
      </c>
      <c r="BC287" s="14"/>
      <c r="BD287" s="14"/>
      <c r="BF287" s="12"/>
      <c r="BG287" s="14"/>
      <c r="BH287" s="19">
        <v>46004</v>
      </c>
      <c r="BI287" s="5">
        <v>1699</v>
      </c>
      <c r="BJ287" s="19">
        <v>46004</v>
      </c>
      <c r="BM287" s="18"/>
      <c r="BN287" s="18"/>
      <c r="BO287" s="18"/>
      <c r="BP287" s="18"/>
      <c r="BQ287" s="5"/>
      <c r="BR287" s="18"/>
      <c r="BS287" s="18"/>
      <c r="BT287" s="35">
        <f t="shared" si="64"/>
        <v>46124</v>
      </c>
    </row>
    <row r="288" spans="1:72" ht="43.5" x14ac:dyDescent="0.35">
      <c r="A288" s="5">
        <v>287</v>
      </c>
      <c r="B288" s="5"/>
      <c r="C288" s="5" t="s">
        <v>78</v>
      </c>
      <c r="D288" s="5">
        <v>14</v>
      </c>
      <c r="E288" s="5">
        <v>6</v>
      </c>
      <c r="F288" s="8" t="s">
        <v>649</v>
      </c>
      <c r="G288" s="8"/>
      <c r="H288" s="5" t="s">
        <v>1</v>
      </c>
      <c r="I288" s="5" t="str" cm="1">
        <f t="array" ref="I288">_xlfn.IFS(
  H288="Mahuva", "Mahuva",
  H288="Jesar", "Mahuva",
  H288="Palitana", "Palitana",
  H288="Gariyadhar", "Palitana",
  H288="Talaja", "Talaja",
  H288="Vallabhipur", "Vallabhipur",
  H288="Umrala", "Vallabhipur",
  H288="Shihor", "Shihor",
  H288="Ghogha", "Bhavnagar",
  H288="Bhavnagar", "Bhavnagar"
)</f>
        <v>Bhavnagar</v>
      </c>
      <c r="J288" s="5" t="s">
        <v>256</v>
      </c>
      <c r="K288" s="5" t="s">
        <v>418</v>
      </c>
      <c r="L288" s="5">
        <v>211780</v>
      </c>
      <c r="M288" s="5"/>
      <c r="N288" s="7">
        <v>45872</v>
      </c>
      <c r="O288" s="7">
        <v>45880</v>
      </c>
      <c r="P288" s="7">
        <v>45881</v>
      </c>
      <c r="Q288" s="7">
        <f t="shared" si="53"/>
        <v>46000</v>
      </c>
      <c r="S288" s="33" t="s">
        <v>233</v>
      </c>
      <c r="U288" s="10"/>
      <c r="V288" s="10" t="str">
        <f t="shared" si="54"/>
        <v>Equals</v>
      </c>
      <c r="W288" s="11" t="str" cm="1">
        <f t="array" ref="W288">NumberToWords(T288)</f>
        <v>Zero Rupees Only</v>
      </c>
      <c r="X288" s="10" t="str">
        <f t="shared" si="55"/>
        <v>Division</v>
      </c>
      <c r="Z288" s="9">
        <f t="shared" si="56"/>
        <v>0</v>
      </c>
      <c r="AB288" s="8">
        <f>_xlfn.XLOOKUP(AA288, 'Agency List'!A$2:A$145, 'Agency List'!B$2:B$145, "Not Found")</f>
        <v>0</v>
      </c>
      <c r="AC288" s="8">
        <f>_xlfn.XLOOKUP(AA288, 'Agency List'!A$2:A$145, 'Agency List'!C$2:C$145, "Not Found")</f>
        <v>0</v>
      </c>
      <c r="AD288" s="8">
        <f>_xlfn.XLOOKUP(AA288, 'Agency List'!A$2:A$145, 'Agency List'!D$2:D$145, "Not Found")</f>
        <v>0</v>
      </c>
      <c r="AE288" s="7"/>
      <c r="AF288" s="5"/>
      <c r="AG288" s="5" t="str">
        <f t="shared" si="57"/>
        <v>Bandhkam</v>
      </c>
      <c r="AH288" s="5"/>
      <c r="AI288" s="8"/>
      <c r="AJ288" s="8"/>
      <c r="AL288" s="16"/>
      <c r="AM288" s="12">
        <f t="shared" si="58"/>
        <v>0</v>
      </c>
      <c r="AN288" s="7">
        <f t="shared" si="59"/>
        <v>450</v>
      </c>
      <c r="AO288" s="12">
        <f t="shared" si="60"/>
        <v>0</v>
      </c>
      <c r="AP288" s="12">
        <f t="shared" si="61"/>
        <v>0</v>
      </c>
      <c r="AQ288" s="15">
        <f t="shared" si="62"/>
        <v>35</v>
      </c>
      <c r="AR288" s="7">
        <f t="shared" si="63"/>
        <v>390</v>
      </c>
      <c r="AS288" s="5"/>
      <c r="AU288" s="5"/>
      <c r="AV288" s="17"/>
      <c r="AW288" s="17"/>
      <c r="AX288" s="5"/>
      <c r="AY288" s="5"/>
      <c r="AZ288" s="45"/>
      <c r="BA288" s="12"/>
      <c r="BB288" s="7"/>
      <c r="BC288" s="14"/>
      <c r="BD288" s="14"/>
      <c r="BF288" s="12"/>
      <c r="BG288" s="14"/>
      <c r="BH288" s="19"/>
      <c r="BI288" s="5"/>
      <c r="BM288" s="18"/>
      <c r="BN288" s="18"/>
      <c r="BO288" s="18"/>
      <c r="BP288" s="18"/>
      <c r="BQ288" s="5"/>
      <c r="BR288" s="18"/>
      <c r="BS288" s="18"/>
      <c r="BT288" s="35">
        <f t="shared" si="64"/>
        <v>0</v>
      </c>
    </row>
    <row r="289" spans="1:72" ht="58" x14ac:dyDescent="0.35">
      <c r="A289" s="5">
        <v>288</v>
      </c>
      <c r="B289" s="5"/>
      <c r="C289" s="5" t="s">
        <v>78</v>
      </c>
      <c r="D289" s="5">
        <v>14</v>
      </c>
      <c r="E289" s="5">
        <v>7</v>
      </c>
      <c r="F289" s="8" t="s">
        <v>650</v>
      </c>
      <c r="G289" s="8"/>
      <c r="H289" s="5" t="s">
        <v>1</v>
      </c>
      <c r="I289" s="5" t="str" cm="1">
        <f t="array" ref="I289">_xlfn.IFS(
  H289="Mahuva", "Mahuva",
  H289="Jesar", "Mahuva",
  H289="Palitana", "Palitana",
  H289="Gariyadhar", "Palitana",
  H289="Talaja", "Talaja",
  H289="Vallabhipur", "Vallabhipur",
  H289="Umrala", "Vallabhipur",
  H289="Shihor", "Shihor",
  H289="Ghogha", "Bhavnagar",
  H289="Bhavnagar", "Bhavnagar"
)</f>
        <v>Bhavnagar</v>
      </c>
      <c r="J289" s="5" t="s">
        <v>256</v>
      </c>
      <c r="K289" s="5" t="s">
        <v>418</v>
      </c>
      <c r="L289" s="5">
        <v>211781</v>
      </c>
      <c r="M289" s="5"/>
      <c r="N289" s="7">
        <v>45872</v>
      </c>
      <c r="O289" s="7">
        <v>45880</v>
      </c>
      <c r="P289" s="7">
        <v>45881</v>
      </c>
      <c r="Q289" s="7">
        <f t="shared" si="53"/>
        <v>46000</v>
      </c>
      <c r="R289" s="9">
        <v>2079935.08</v>
      </c>
      <c r="S289" s="33"/>
      <c r="T289" s="9">
        <v>2037712.4</v>
      </c>
      <c r="U289" s="10">
        <v>-2.0299999999999998</v>
      </c>
      <c r="V289" s="10" t="str">
        <f t="shared" si="54"/>
        <v>Below</v>
      </c>
      <c r="W289" s="11" t="str" cm="1">
        <f t="array" ref="W289">NumberToWords(T289)</f>
        <v>Twenty Lakh Thirty Seven Thousand Seven Hundred Twelve Rupees and Four Paise Only</v>
      </c>
      <c r="X289" s="10" t="str">
        <f t="shared" si="55"/>
        <v>Division</v>
      </c>
      <c r="Z289" s="9">
        <f t="shared" si="56"/>
        <v>2037712.4</v>
      </c>
      <c r="AA289" s="5" t="s">
        <v>401</v>
      </c>
      <c r="AB289" s="8" t="str">
        <f>_xlfn.XLOOKUP(AA289, 'Agency List'!A$2:A$145, 'Agency List'!B$2:B$145, "Not Found")</f>
        <v>(1) Harshad Kalubhai Dungrani
(2) Lalita Harshad Dungrani</v>
      </c>
      <c r="AC289" s="8" t="str">
        <f>_xlfn.XLOOKUP(AA289, 'Agency List'!A$2:A$145, 'Agency List'!C$2:C$145, "Not Found")</f>
        <v>G 402, Abhilasha Sky, Gopal Chowk, Nikol, Ahmedabad - 382350</v>
      </c>
      <c r="AD289" s="8">
        <f>_xlfn.XLOOKUP(AA289, 'Agency List'!A$2:A$145, 'Agency List'!D$2:D$145, "Not Found")</f>
        <v>9727220227</v>
      </c>
      <c r="AE289" s="7"/>
      <c r="AF289" s="5" t="s">
        <v>357</v>
      </c>
      <c r="AG289" s="5" t="str">
        <f t="shared" si="57"/>
        <v>Bandhkam</v>
      </c>
      <c r="AH289" s="5"/>
      <c r="AI289" s="8"/>
      <c r="AJ289" s="8"/>
      <c r="AL289" s="16">
        <v>4</v>
      </c>
      <c r="AM289" s="12">
        <f t="shared" si="58"/>
        <v>102000</v>
      </c>
      <c r="AN289" s="7">
        <f t="shared" si="59"/>
        <v>46574</v>
      </c>
      <c r="AO289" s="12">
        <f t="shared" si="60"/>
        <v>5000</v>
      </c>
      <c r="AP289" s="12">
        <f t="shared" si="61"/>
        <v>0</v>
      </c>
      <c r="AQ289" s="15">
        <f t="shared" si="62"/>
        <v>46159</v>
      </c>
      <c r="AR289" s="7">
        <f t="shared" si="63"/>
        <v>46514</v>
      </c>
      <c r="AS289" s="5">
        <v>1333</v>
      </c>
      <c r="AT289" s="7">
        <v>45915</v>
      </c>
      <c r="AU289" s="5" t="s">
        <v>78</v>
      </c>
      <c r="AV289" s="17">
        <v>232</v>
      </c>
      <c r="AW289" s="19">
        <v>46004</v>
      </c>
      <c r="AX289" s="5" t="s">
        <v>355</v>
      </c>
      <c r="AY289" s="5" t="s">
        <v>718</v>
      </c>
      <c r="AZ289" s="45" t="s">
        <v>916</v>
      </c>
      <c r="BA289" s="12">
        <v>102000</v>
      </c>
      <c r="BB289" s="7">
        <v>45967</v>
      </c>
      <c r="BC289" s="14"/>
      <c r="BD289" s="14"/>
      <c r="BF289" s="12"/>
      <c r="BG289" s="14"/>
      <c r="BH289" s="19">
        <v>46004</v>
      </c>
      <c r="BI289" s="5">
        <v>1697</v>
      </c>
      <c r="BJ289" s="19">
        <v>46004</v>
      </c>
      <c r="BM289" s="18"/>
      <c r="BN289" s="18"/>
      <c r="BO289" s="18"/>
      <c r="BP289" s="18"/>
      <c r="BQ289" s="5"/>
      <c r="BR289" s="18"/>
      <c r="BS289" s="18"/>
      <c r="BT289" s="35">
        <f t="shared" si="64"/>
        <v>46124</v>
      </c>
    </row>
    <row r="290" spans="1:72" ht="58" x14ac:dyDescent="0.35">
      <c r="A290" s="5">
        <v>289</v>
      </c>
      <c r="B290" s="5"/>
      <c r="C290" s="5" t="s">
        <v>78</v>
      </c>
      <c r="D290" s="5">
        <v>14</v>
      </c>
      <c r="E290" s="5">
        <v>8</v>
      </c>
      <c r="F290" s="8" t="s">
        <v>651</v>
      </c>
      <c r="G290" s="8"/>
      <c r="H290" s="5" t="s">
        <v>1</v>
      </c>
      <c r="I290" s="5" t="str" cm="1">
        <f t="array" ref="I290">_xlfn.IFS(
  H290="Mahuva", "Mahuva",
  H290="Jesar", "Mahuva",
  H290="Palitana", "Palitana",
  H290="Gariyadhar", "Palitana",
  H290="Talaja", "Talaja",
  H290="Vallabhipur", "Vallabhipur",
  H290="Umrala", "Vallabhipur",
  H290="Shihor", "Shihor",
  H290="Ghogha", "Bhavnagar",
  H290="Bhavnagar", "Bhavnagar"
)</f>
        <v>Bhavnagar</v>
      </c>
      <c r="J290" s="5" t="s">
        <v>256</v>
      </c>
      <c r="K290" s="5" t="s">
        <v>418</v>
      </c>
      <c r="L290" s="5">
        <v>211782</v>
      </c>
      <c r="M290" s="5"/>
      <c r="N290" s="7">
        <v>45872</v>
      </c>
      <c r="O290" s="7">
        <v>45880</v>
      </c>
      <c r="P290" s="7">
        <v>45881</v>
      </c>
      <c r="Q290" s="7">
        <f t="shared" si="53"/>
        <v>46000</v>
      </c>
      <c r="R290" s="9">
        <v>2079935.08</v>
      </c>
      <c r="S290" s="33"/>
      <c r="T290" s="9">
        <v>2027936.7</v>
      </c>
      <c r="U290" s="10">
        <v>-2.5</v>
      </c>
      <c r="V290" s="10" t="str">
        <f t="shared" si="54"/>
        <v>Below</v>
      </c>
      <c r="W290" s="11" t="str" cm="1">
        <f t="array" ref="W290">NumberToWords(T290)</f>
        <v>Twenty Lakh Twenty Seven Thousand Nine Hundred Thirty Six Rupees and Seven Paise Only</v>
      </c>
      <c r="X290" s="10" t="str">
        <f t="shared" si="55"/>
        <v>Division</v>
      </c>
      <c r="Z290" s="9">
        <f t="shared" si="56"/>
        <v>2027936.7</v>
      </c>
      <c r="AA290" s="5" t="s">
        <v>401</v>
      </c>
      <c r="AB290" s="8" t="str">
        <f>_xlfn.XLOOKUP(AA290, 'Agency List'!A$2:A$145, 'Agency List'!B$2:B$145, "Not Found")</f>
        <v>(1) Harshad Kalubhai Dungrani
(2) Lalita Harshad Dungrani</v>
      </c>
      <c r="AC290" s="8" t="str">
        <f>_xlfn.XLOOKUP(AA290, 'Agency List'!A$2:A$145, 'Agency List'!C$2:C$145, "Not Found")</f>
        <v>G 402, Abhilasha Sky, Gopal Chowk, Nikol, Ahmedabad - 382350</v>
      </c>
      <c r="AD290" s="8">
        <f>_xlfn.XLOOKUP(AA290, 'Agency List'!A$2:A$145, 'Agency List'!D$2:D$145, "Not Found")</f>
        <v>9727220227</v>
      </c>
      <c r="AE290" s="7"/>
      <c r="AF290" s="5" t="s">
        <v>357</v>
      </c>
      <c r="AG290" s="5" t="str">
        <f t="shared" si="57"/>
        <v>Bandhkam</v>
      </c>
      <c r="AH290" s="5"/>
      <c r="AI290" s="8"/>
      <c r="AJ290" s="8"/>
      <c r="AL290" s="16">
        <v>4</v>
      </c>
      <c r="AM290" s="12">
        <f t="shared" si="58"/>
        <v>102000</v>
      </c>
      <c r="AN290" s="7">
        <f t="shared" si="59"/>
        <v>46574</v>
      </c>
      <c r="AO290" s="12">
        <f t="shared" si="60"/>
        <v>5000</v>
      </c>
      <c r="AP290" s="12">
        <f t="shared" si="61"/>
        <v>0</v>
      </c>
      <c r="AQ290" s="15">
        <f t="shared" si="62"/>
        <v>46159</v>
      </c>
      <c r="AR290" s="7">
        <f t="shared" si="63"/>
        <v>46514</v>
      </c>
      <c r="AS290" s="5">
        <v>1328</v>
      </c>
      <c r="AT290" s="7">
        <v>45915</v>
      </c>
      <c r="AU290" s="5" t="s">
        <v>78</v>
      </c>
      <c r="AV290" s="17">
        <v>233</v>
      </c>
      <c r="AW290" s="19">
        <v>46004</v>
      </c>
      <c r="AX290" s="5" t="s">
        <v>355</v>
      </c>
      <c r="AY290" s="5" t="s">
        <v>718</v>
      </c>
      <c r="AZ290" s="45" t="s">
        <v>917</v>
      </c>
      <c r="BA290" s="12">
        <v>102000</v>
      </c>
      <c r="BB290" s="7">
        <v>45967</v>
      </c>
      <c r="BC290" s="14"/>
      <c r="BD290" s="14"/>
      <c r="BF290" s="12"/>
      <c r="BG290" s="14"/>
      <c r="BH290" s="19">
        <v>46004</v>
      </c>
      <c r="BI290" s="5">
        <v>1698</v>
      </c>
      <c r="BJ290" s="19">
        <v>46004</v>
      </c>
      <c r="BM290" s="18"/>
      <c r="BN290" s="18"/>
      <c r="BO290" s="18"/>
      <c r="BP290" s="18"/>
      <c r="BQ290" s="5"/>
      <c r="BR290" s="18"/>
      <c r="BS290" s="18"/>
      <c r="BT290" s="35">
        <f t="shared" si="64"/>
        <v>46124</v>
      </c>
    </row>
    <row r="291" spans="1:72" ht="43.5" x14ac:dyDescent="0.35">
      <c r="A291" s="5">
        <v>290</v>
      </c>
      <c r="B291" s="5"/>
      <c r="C291" s="5" t="s">
        <v>78</v>
      </c>
      <c r="D291" s="5">
        <v>14</v>
      </c>
      <c r="E291" s="5">
        <v>9</v>
      </c>
      <c r="F291" s="8" t="s">
        <v>652</v>
      </c>
      <c r="G291" s="8"/>
      <c r="H291" s="5" t="s">
        <v>257</v>
      </c>
      <c r="I291" s="5" t="str" cm="1">
        <f t="array" ref="I291">_xlfn.IFS(
  H291="Mahuva", "Mahuva",
  H291="Jesar", "Mahuva",
  H291="Palitana", "Palitana",
  H291="Gariyadhar", "Palitana",
  H291="Talaja", "Talaja",
  H291="Vallabhipur", "Vallabhipur",
  H291="Umrala", "Vallabhipur",
  H291="Shihor", "Shihor",
  H291="Ghogha", "Bhavnagar",
  H291="Bhavnagar", "Bhavnagar"
)</f>
        <v>Palitana</v>
      </c>
      <c r="J291" s="5" t="s">
        <v>256</v>
      </c>
      <c r="K291" s="5" t="s">
        <v>418</v>
      </c>
      <c r="L291" s="5">
        <v>211783</v>
      </c>
      <c r="M291" s="5"/>
      <c r="N291" s="7">
        <v>45872</v>
      </c>
      <c r="O291" s="7">
        <v>45880</v>
      </c>
      <c r="P291" s="7">
        <v>45881</v>
      </c>
      <c r="Q291" s="7">
        <f t="shared" si="53"/>
        <v>46000</v>
      </c>
      <c r="R291" s="9">
        <v>2079935.08</v>
      </c>
      <c r="S291" s="33"/>
      <c r="T291" s="9">
        <v>1934339.62</v>
      </c>
      <c r="U291" s="10">
        <v>-7</v>
      </c>
      <c r="V291" s="10" t="str">
        <f t="shared" si="54"/>
        <v>Below</v>
      </c>
      <c r="W291" s="11" t="str" cm="1">
        <f t="array" ref="W291">NumberToWords(T291)</f>
        <v>Nineteen Lakh Thirty Four Thousand Three Hundred Thirty Nine Rupees and Sixty Two Paise Only</v>
      </c>
      <c r="X291" s="10" t="str">
        <f t="shared" si="55"/>
        <v>Division</v>
      </c>
      <c r="Z291" s="9">
        <f t="shared" si="56"/>
        <v>1934339.62</v>
      </c>
      <c r="AA291" s="5" t="s">
        <v>393</v>
      </c>
      <c r="AB291" s="8" t="str">
        <f>_xlfn.XLOOKUP(AA291, 'Agency List'!A$2:A$145, 'Agency List'!B$2:B$145, "Not Found")</f>
        <v>Narendrasinh Parbatsinh Gohil</v>
      </c>
      <c r="AC291" s="8" t="str">
        <f>_xlfn.XLOOKUP(AA291, 'Agency List'!A$2:A$145, 'Agency List'!C$2:C$145, "Not Found")</f>
        <v>At Village Rajapara (Thadach), Ta. Palitana, Dist. Bhavnagar - 364270</v>
      </c>
      <c r="AD291" s="8">
        <f>_xlfn.XLOOKUP(AA291, 'Agency List'!A$2:A$145, 'Agency List'!D$2:D$145, "Not Found")</f>
        <v>9998577523</v>
      </c>
      <c r="AE291" s="7"/>
      <c r="AF291" s="5" t="s">
        <v>357</v>
      </c>
      <c r="AG291" s="5" t="str">
        <f t="shared" si="57"/>
        <v>Bandhkam</v>
      </c>
      <c r="AH291" s="5"/>
      <c r="AI291" s="8"/>
      <c r="AJ291" s="8"/>
      <c r="AL291" s="16">
        <v>4</v>
      </c>
      <c r="AM291" s="12">
        <f t="shared" si="58"/>
        <v>97000</v>
      </c>
      <c r="AN291" s="7">
        <f t="shared" si="59"/>
        <v>46541</v>
      </c>
      <c r="AO291" s="12">
        <f t="shared" si="60"/>
        <v>4800</v>
      </c>
      <c r="AP291" s="12">
        <f t="shared" si="61"/>
        <v>0</v>
      </c>
      <c r="AQ291" s="15">
        <f t="shared" si="62"/>
        <v>46126</v>
      </c>
      <c r="AR291" s="7">
        <f t="shared" si="63"/>
        <v>46481</v>
      </c>
      <c r="AS291" s="5">
        <v>1311</v>
      </c>
      <c r="AT291" s="7">
        <v>45915</v>
      </c>
      <c r="AU291" s="5" t="s">
        <v>78</v>
      </c>
      <c r="AV291" s="17">
        <v>200</v>
      </c>
      <c r="AW291" s="37">
        <v>45969</v>
      </c>
      <c r="AX291" s="5" t="s">
        <v>355</v>
      </c>
      <c r="AY291" s="5" t="s">
        <v>803</v>
      </c>
      <c r="AZ291" s="45" t="s">
        <v>819</v>
      </c>
      <c r="BA291" s="12">
        <v>97000</v>
      </c>
      <c r="BB291" s="7">
        <v>45958</v>
      </c>
      <c r="BC291" s="14"/>
      <c r="BD291" s="14"/>
      <c r="BF291" s="12"/>
      <c r="BG291" s="14"/>
      <c r="BH291" s="19">
        <v>45971</v>
      </c>
      <c r="BI291" s="5">
        <v>1505</v>
      </c>
      <c r="BJ291" s="19">
        <v>45969</v>
      </c>
      <c r="BM291" s="18"/>
      <c r="BN291" s="18"/>
      <c r="BO291" s="18"/>
      <c r="BP291" s="18"/>
      <c r="BQ291" s="5"/>
      <c r="BR291" s="18"/>
      <c r="BS291" s="18"/>
      <c r="BT291" s="35">
        <f t="shared" si="64"/>
        <v>46091</v>
      </c>
    </row>
    <row r="292" spans="1:72" ht="43.5" x14ac:dyDescent="0.35">
      <c r="A292" s="5">
        <v>291</v>
      </c>
      <c r="B292" s="5"/>
      <c r="C292" s="5" t="s">
        <v>78</v>
      </c>
      <c r="D292" s="5">
        <v>14</v>
      </c>
      <c r="E292" s="5">
        <v>10</v>
      </c>
      <c r="F292" s="8" t="s">
        <v>653</v>
      </c>
      <c r="G292" s="8"/>
      <c r="H292" s="5" t="s">
        <v>257</v>
      </c>
      <c r="I292" s="5" t="str" cm="1">
        <f t="array" ref="I292">_xlfn.IFS(
  H292="Mahuva", "Mahuva",
  H292="Jesar", "Mahuva",
  H292="Palitana", "Palitana",
  H292="Gariyadhar", "Palitana",
  H292="Talaja", "Talaja",
  H292="Vallabhipur", "Vallabhipur",
  H292="Umrala", "Vallabhipur",
  H292="Shihor", "Shihor",
  H292="Ghogha", "Bhavnagar",
  H292="Bhavnagar", "Bhavnagar"
)</f>
        <v>Palitana</v>
      </c>
      <c r="J292" s="5" t="s">
        <v>256</v>
      </c>
      <c r="K292" s="5" t="s">
        <v>418</v>
      </c>
      <c r="L292" s="5">
        <v>211785</v>
      </c>
      <c r="M292" s="5"/>
      <c r="N292" s="7">
        <v>45872</v>
      </c>
      <c r="O292" s="7">
        <v>45880</v>
      </c>
      <c r="P292" s="7">
        <v>45881</v>
      </c>
      <c r="Q292" s="7">
        <f t="shared" si="53"/>
        <v>46000</v>
      </c>
      <c r="R292" s="9">
        <v>2079935.08</v>
      </c>
      <c r="S292" s="33"/>
      <c r="T292" s="9">
        <v>2016913.05</v>
      </c>
      <c r="U292" s="10">
        <v>-3.03</v>
      </c>
      <c r="V292" s="10" t="str">
        <f t="shared" si="54"/>
        <v>Below</v>
      </c>
      <c r="W292" s="11" t="str" cm="1">
        <f t="array" ref="W292">NumberToWords(T292)</f>
        <v>Twenty Lakh Sixteen Thousand Nine Hundred Thirteen Rupees and Five Paise Only</v>
      </c>
      <c r="X292" s="10" t="str">
        <f t="shared" si="55"/>
        <v>Division</v>
      </c>
      <c r="Z292" s="9">
        <f t="shared" si="56"/>
        <v>2016913.05</v>
      </c>
      <c r="AA292" s="5" t="s">
        <v>71</v>
      </c>
      <c r="AB292" s="8">
        <f>_xlfn.XLOOKUP(AA292, 'Agency List'!A$2:A$145, 'Agency List'!B$2:B$145, "Not Found")</f>
        <v>0</v>
      </c>
      <c r="AC292" s="8" t="str">
        <f>_xlfn.XLOOKUP(AA292, 'Agency List'!A$2:A$145, 'Agency List'!C$2:C$145, "Not Found")</f>
        <v>Dr. Ambedkar Society, Jamvali Road, Palitana, Dist Bhavnagar</v>
      </c>
      <c r="AD292" s="8">
        <f>_xlfn.XLOOKUP(AA292, 'Agency List'!A$2:A$145, 'Agency List'!D$2:D$145, "Not Found")</f>
        <v>9106563480</v>
      </c>
      <c r="AE292" s="7"/>
      <c r="AF292" s="5"/>
      <c r="AG292" s="5" t="str">
        <f t="shared" si="57"/>
        <v>Bandhkam</v>
      </c>
      <c r="AH292" s="5"/>
      <c r="AI292" s="8"/>
      <c r="AJ292" s="8"/>
      <c r="AL292" s="16">
        <v>4</v>
      </c>
      <c r="AM292" s="12">
        <f t="shared" si="58"/>
        <v>101000</v>
      </c>
      <c r="AN292" s="7">
        <f t="shared" si="59"/>
        <v>46501</v>
      </c>
      <c r="AO292" s="12">
        <f t="shared" si="60"/>
        <v>5000</v>
      </c>
      <c r="AP292" s="12">
        <f t="shared" si="61"/>
        <v>0</v>
      </c>
      <c r="AQ292" s="15">
        <f t="shared" si="62"/>
        <v>46086</v>
      </c>
      <c r="AR292" s="7">
        <f t="shared" si="63"/>
        <v>46441</v>
      </c>
      <c r="AS292" s="5">
        <v>1310</v>
      </c>
      <c r="AT292" s="7">
        <v>45915</v>
      </c>
      <c r="AU292" s="5"/>
      <c r="AV292" s="17"/>
      <c r="AW292" s="17"/>
      <c r="AX292" s="5"/>
      <c r="AY292" s="5"/>
      <c r="AZ292" s="45"/>
      <c r="BA292" s="12"/>
      <c r="BB292" s="7"/>
      <c r="BC292" s="14"/>
      <c r="BD292" s="14"/>
      <c r="BF292" s="12"/>
      <c r="BG292" s="14"/>
      <c r="BH292" s="19">
        <v>45931</v>
      </c>
      <c r="BI292" s="5"/>
      <c r="BK292" s="5">
        <v>1713</v>
      </c>
      <c r="BL292" s="7">
        <v>46006</v>
      </c>
      <c r="BM292" s="18"/>
      <c r="BN292" s="18"/>
      <c r="BO292" s="18"/>
      <c r="BP292" s="18"/>
      <c r="BQ292" s="5"/>
      <c r="BR292" s="18"/>
      <c r="BS292" s="18"/>
      <c r="BT292" s="35">
        <f t="shared" si="64"/>
        <v>46051</v>
      </c>
    </row>
    <row r="293" spans="1:72" ht="43.5" x14ac:dyDescent="0.35">
      <c r="A293" s="5">
        <v>292</v>
      </c>
      <c r="B293" s="5"/>
      <c r="C293" s="5" t="s">
        <v>78</v>
      </c>
      <c r="D293" s="5">
        <v>14</v>
      </c>
      <c r="E293" s="5">
        <v>11</v>
      </c>
      <c r="F293" s="8" t="s">
        <v>766</v>
      </c>
      <c r="G293" s="8"/>
      <c r="H293" s="5" t="s">
        <v>257</v>
      </c>
      <c r="I293" s="5" t="str" cm="1">
        <f t="array" ref="I293">_xlfn.IFS(
  H293="Mahuva", "Mahuva",
  H293="Jesar", "Mahuva",
  H293="Palitana", "Palitana",
  H293="Gariyadhar", "Palitana",
  H293="Talaja", "Talaja",
  H293="Vallabhipur", "Vallabhipur",
  H293="Umrala", "Vallabhipur",
  H293="Shihor", "Shihor",
  H293="Ghogha", "Bhavnagar",
  H293="Bhavnagar", "Bhavnagar"
)</f>
        <v>Palitana</v>
      </c>
      <c r="J293" s="5" t="s">
        <v>256</v>
      </c>
      <c r="K293" s="5" t="s">
        <v>418</v>
      </c>
      <c r="L293" s="5">
        <v>211787</v>
      </c>
      <c r="M293" s="5"/>
      <c r="N293" s="7">
        <v>45872</v>
      </c>
      <c r="O293" s="7">
        <v>45880</v>
      </c>
      <c r="P293" s="7">
        <v>45881</v>
      </c>
      <c r="Q293" s="7">
        <f t="shared" si="53"/>
        <v>46000</v>
      </c>
      <c r="R293" s="9">
        <v>2079935.08</v>
      </c>
      <c r="S293" s="33"/>
      <c r="T293" s="9">
        <v>2000065.57</v>
      </c>
      <c r="U293" s="10">
        <v>-3.84</v>
      </c>
      <c r="V293" s="10" t="str">
        <f t="shared" si="54"/>
        <v>Below</v>
      </c>
      <c r="W293" s="11" t="str" cm="1">
        <f t="array" ref="W293">NumberToWords(T293)</f>
        <v>Twenty Lakh Sixty Five Rupees and Fifty Seven Paise Only</v>
      </c>
      <c r="X293" s="10" t="str">
        <f t="shared" si="55"/>
        <v>Division</v>
      </c>
      <c r="Z293" s="9">
        <f t="shared" si="56"/>
        <v>2000065.57</v>
      </c>
      <c r="AA293" s="5" t="s">
        <v>630</v>
      </c>
      <c r="AB293" s="8">
        <f>_xlfn.XLOOKUP(AA293, 'Agency List'!A$2:A$145, 'Agency List'!B$2:B$145, "Not Found")</f>
        <v>0</v>
      </c>
      <c r="AC293" s="8" t="str">
        <f>_xlfn.XLOOKUP(AA293, 'Agency List'!A$2:A$145, 'Agency List'!C$2:C$145, "Not Found")</f>
        <v>Plot No. 9, Gayatri Society, Ramabaug, Anantwadi, Bhavnagar - 364002</v>
      </c>
      <c r="AD293" s="8">
        <f>_xlfn.XLOOKUP(AA293, 'Agency List'!A$2:A$145, 'Agency List'!D$2:D$145, "Not Found")</f>
        <v>0</v>
      </c>
      <c r="AE293" s="7"/>
      <c r="AF293" s="5"/>
      <c r="AG293" s="5" t="str">
        <f t="shared" si="57"/>
        <v>Bandhkam</v>
      </c>
      <c r="AH293" s="5"/>
      <c r="AI293" s="8"/>
      <c r="AJ293" s="8"/>
      <c r="AL293" s="16">
        <v>4</v>
      </c>
      <c r="AM293" s="12">
        <f t="shared" si="58"/>
        <v>101000</v>
      </c>
      <c r="AN293" s="7">
        <f t="shared" si="59"/>
        <v>46549</v>
      </c>
      <c r="AO293" s="12">
        <f t="shared" si="60"/>
        <v>5000</v>
      </c>
      <c r="AP293" s="12">
        <f t="shared" si="61"/>
        <v>0</v>
      </c>
      <c r="AQ293" s="15">
        <f t="shared" si="62"/>
        <v>46134</v>
      </c>
      <c r="AR293" s="7">
        <f t="shared" si="63"/>
        <v>46489</v>
      </c>
      <c r="AS293" s="5">
        <v>1369</v>
      </c>
      <c r="AT293" s="7">
        <v>45922</v>
      </c>
      <c r="AU293" s="5" t="s">
        <v>78</v>
      </c>
      <c r="AV293" s="17">
        <v>212</v>
      </c>
      <c r="AW293" s="37">
        <v>45979</v>
      </c>
      <c r="AX293" s="5" t="s">
        <v>355</v>
      </c>
      <c r="AY293" s="5" t="s">
        <v>790</v>
      </c>
      <c r="AZ293" s="45" t="s">
        <v>848</v>
      </c>
      <c r="BA293" s="12">
        <v>101000</v>
      </c>
      <c r="BB293" s="7">
        <v>45975</v>
      </c>
      <c r="BC293" s="14"/>
      <c r="BD293" s="14"/>
      <c r="BF293" s="12"/>
      <c r="BG293" s="14"/>
      <c r="BH293" s="19">
        <v>45979</v>
      </c>
      <c r="BI293" s="5">
        <v>1543</v>
      </c>
      <c r="BJ293" s="19">
        <v>45979</v>
      </c>
      <c r="BM293" s="18"/>
      <c r="BN293" s="18"/>
      <c r="BO293" s="18"/>
      <c r="BP293" s="18"/>
      <c r="BQ293" s="5"/>
      <c r="BR293" s="18"/>
      <c r="BS293" s="18"/>
      <c r="BT293" s="35">
        <f t="shared" si="64"/>
        <v>46099</v>
      </c>
    </row>
    <row r="294" spans="1:72" ht="43.5" x14ac:dyDescent="0.35">
      <c r="A294" s="5">
        <v>293</v>
      </c>
      <c r="B294" s="5"/>
      <c r="C294" s="5" t="s">
        <v>78</v>
      </c>
      <c r="D294" s="5">
        <v>14</v>
      </c>
      <c r="E294" s="5">
        <v>12</v>
      </c>
      <c r="F294" s="8" t="s">
        <v>733</v>
      </c>
      <c r="G294" s="8"/>
      <c r="H294" s="5" t="s">
        <v>257</v>
      </c>
      <c r="I294" s="5" t="str" cm="1">
        <f t="array" ref="I294">_xlfn.IFS(
  H294="Mahuva", "Mahuva",
  H294="Jesar", "Mahuva",
  H294="Palitana", "Palitana",
  H294="Gariyadhar", "Palitana",
  H294="Talaja", "Talaja",
  H294="Vallabhipur", "Vallabhipur",
  H294="Umrala", "Vallabhipur",
  H294="Shihor", "Shihor",
  H294="Ghogha", "Bhavnagar",
  H294="Bhavnagar", "Bhavnagar"
)</f>
        <v>Palitana</v>
      </c>
      <c r="J294" s="5" t="s">
        <v>256</v>
      </c>
      <c r="K294" s="5" t="s">
        <v>418</v>
      </c>
      <c r="L294" s="5">
        <v>211790</v>
      </c>
      <c r="M294" s="5"/>
      <c r="N294" s="7">
        <v>45872</v>
      </c>
      <c r="O294" s="7">
        <v>45880</v>
      </c>
      <c r="P294" s="7">
        <v>45881</v>
      </c>
      <c r="Q294" s="7">
        <f t="shared" si="53"/>
        <v>46000</v>
      </c>
      <c r="R294" s="9">
        <v>2079935.08</v>
      </c>
      <c r="S294" s="33"/>
      <c r="T294" s="9">
        <v>2026896.74</v>
      </c>
      <c r="U294" s="10">
        <v>-2.5499999999999998</v>
      </c>
      <c r="V294" s="10" t="str">
        <f t="shared" si="54"/>
        <v>Below</v>
      </c>
      <c r="W294" s="11" t="str" cm="1">
        <f t="array" ref="W294">NumberToWords(T294)</f>
        <v>Twenty Lakh Twenty Six Thousand Eight Hundred Ninety Six Rupees and Seventy Four Paise Only</v>
      </c>
      <c r="X294" s="10" t="str">
        <f t="shared" si="55"/>
        <v>Division</v>
      </c>
      <c r="Z294" s="9">
        <f t="shared" si="56"/>
        <v>2026896.74</v>
      </c>
      <c r="AA294" s="5" t="s">
        <v>287</v>
      </c>
      <c r="AB294" s="8" t="str">
        <f>_xlfn.XLOOKUP(AA294, 'Agency List'!A$2:A$145, 'Agency List'!B$2:B$145, "Not Found")</f>
        <v>SANDIP DINESHBHAI VANZARA</v>
      </c>
      <c r="AC294" s="8" t="str">
        <f>_xlfn.XLOOKUP(AA294, 'Agency List'!A$2:A$145, 'Agency List'!C$2:C$145, "Not Found")</f>
        <v>Opp. HP PUMP, Palitana Road, Gariyadhar</v>
      </c>
      <c r="AD294" s="8">
        <f>_xlfn.XLOOKUP(AA294, 'Agency List'!A$2:A$145, 'Agency List'!D$2:D$145, "Not Found")</f>
        <v>8866209297</v>
      </c>
      <c r="AE294" s="7"/>
      <c r="AF294" s="5" t="s">
        <v>357</v>
      </c>
      <c r="AG294" s="5" t="str">
        <f t="shared" si="57"/>
        <v>Bandhkam</v>
      </c>
      <c r="AH294" s="5"/>
      <c r="AI294" s="8"/>
      <c r="AJ294" s="8"/>
      <c r="AL294" s="16">
        <v>4</v>
      </c>
      <c r="AM294" s="12">
        <f t="shared" si="58"/>
        <v>102000</v>
      </c>
      <c r="AN294" s="7">
        <f t="shared" si="59"/>
        <v>46612</v>
      </c>
      <c r="AO294" s="12">
        <f t="shared" si="60"/>
        <v>5000</v>
      </c>
      <c r="AP294" s="12">
        <f t="shared" si="61"/>
        <v>0</v>
      </c>
      <c r="AQ294" s="15">
        <f t="shared" si="62"/>
        <v>46197</v>
      </c>
      <c r="AR294" s="7">
        <f t="shared" si="63"/>
        <v>46552</v>
      </c>
      <c r="AS294" s="5">
        <v>1324</v>
      </c>
      <c r="AT294" s="7">
        <v>45915</v>
      </c>
      <c r="AU294" s="5" t="s">
        <v>78</v>
      </c>
      <c r="AV294" s="17">
        <v>277</v>
      </c>
      <c r="AW294" s="37">
        <v>46042</v>
      </c>
      <c r="AX294" s="5" t="s">
        <v>355</v>
      </c>
      <c r="AY294" s="5" t="s">
        <v>369</v>
      </c>
      <c r="AZ294" s="45" t="s">
        <v>1082</v>
      </c>
      <c r="BA294" s="12">
        <v>102000</v>
      </c>
      <c r="BB294" s="7">
        <v>46020</v>
      </c>
      <c r="BC294" s="14"/>
      <c r="BD294" s="14"/>
      <c r="BF294" s="12"/>
      <c r="BG294" s="14"/>
      <c r="BH294" s="19">
        <v>46042</v>
      </c>
      <c r="BI294" s="5">
        <v>71</v>
      </c>
      <c r="BJ294" s="19">
        <v>46042</v>
      </c>
      <c r="BK294" s="5">
        <v>1714</v>
      </c>
      <c r="BL294" s="7">
        <v>46006</v>
      </c>
      <c r="BM294" s="18"/>
      <c r="BN294" s="18"/>
      <c r="BO294" s="18"/>
      <c r="BP294" s="18"/>
      <c r="BQ294" s="5"/>
      <c r="BR294" s="18"/>
      <c r="BS294" s="18"/>
      <c r="BT294" s="35">
        <f t="shared" si="64"/>
        <v>46162</v>
      </c>
    </row>
    <row r="295" spans="1:72" ht="43.5" x14ac:dyDescent="0.35">
      <c r="A295" s="5">
        <v>294</v>
      </c>
      <c r="B295" s="5"/>
      <c r="C295" s="5" t="s">
        <v>78</v>
      </c>
      <c r="D295" s="5">
        <v>14</v>
      </c>
      <c r="E295" s="5">
        <v>13</v>
      </c>
      <c r="F295" s="8" t="s">
        <v>654</v>
      </c>
      <c r="G295" s="8"/>
      <c r="H295" s="5" t="s">
        <v>257</v>
      </c>
      <c r="I295" s="5" t="str" cm="1">
        <f t="array" ref="I295">_xlfn.IFS(
  H295="Mahuva", "Mahuva",
  H295="Jesar", "Mahuva",
  H295="Palitana", "Palitana",
  H295="Gariyadhar", "Palitana",
  H295="Talaja", "Talaja",
  H295="Vallabhipur", "Vallabhipur",
  H295="Umrala", "Vallabhipur",
  H295="Shihor", "Shihor",
  H295="Ghogha", "Bhavnagar",
  H295="Bhavnagar", "Bhavnagar"
)</f>
        <v>Palitana</v>
      </c>
      <c r="J295" s="5" t="s">
        <v>256</v>
      </c>
      <c r="K295" s="5" t="s">
        <v>418</v>
      </c>
      <c r="L295" s="5">
        <v>211794</v>
      </c>
      <c r="M295" s="5"/>
      <c r="N295" s="7">
        <v>45872</v>
      </c>
      <c r="O295" s="7">
        <v>45880</v>
      </c>
      <c r="P295" s="7">
        <v>45881</v>
      </c>
      <c r="Q295" s="7">
        <f t="shared" si="53"/>
        <v>46000</v>
      </c>
      <c r="R295" s="9">
        <v>2079935.08</v>
      </c>
      <c r="S295" s="33"/>
      <c r="T295" s="9">
        <v>1903140.6</v>
      </c>
      <c r="U295" s="10">
        <v>-8.5</v>
      </c>
      <c r="V295" s="10" t="str">
        <f t="shared" si="54"/>
        <v>Below</v>
      </c>
      <c r="W295" s="11" t="str" cm="1">
        <f t="array" ref="W295">NumberToWords(T295)</f>
        <v>Nineteen Lakh Three Thousand One Hundred Forty Rupees and Six Paise Only</v>
      </c>
      <c r="X295" s="10" t="str">
        <f t="shared" si="55"/>
        <v>Division</v>
      </c>
      <c r="Z295" s="9">
        <f t="shared" si="56"/>
        <v>1903140.6</v>
      </c>
      <c r="AA295" s="5" t="s">
        <v>630</v>
      </c>
      <c r="AB295" s="8">
        <f>_xlfn.XLOOKUP(AA295, 'Agency List'!A$2:A$145, 'Agency List'!B$2:B$145, "Not Found")</f>
        <v>0</v>
      </c>
      <c r="AC295" s="8" t="str">
        <f>_xlfn.XLOOKUP(AA295, 'Agency List'!A$2:A$145, 'Agency List'!C$2:C$145, "Not Found")</f>
        <v>Plot No. 9, Gayatri Society, Ramabaug, Anantwadi, Bhavnagar - 364002</v>
      </c>
      <c r="AD295" s="8">
        <f>_xlfn.XLOOKUP(AA295, 'Agency List'!A$2:A$145, 'Agency List'!D$2:D$145, "Not Found")</f>
        <v>0</v>
      </c>
      <c r="AE295" s="7"/>
      <c r="AF295" s="5"/>
      <c r="AG295" s="5" t="str">
        <f t="shared" si="57"/>
        <v>Bandhkam</v>
      </c>
      <c r="AH295" s="5"/>
      <c r="AI295" s="8"/>
      <c r="AJ295" s="8"/>
      <c r="AL295" s="16">
        <v>4</v>
      </c>
      <c r="AM295" s="12">
        <f t="shared" si="58"/>
        <v>96000</v>
      </c>
      <c r="AN295" s="7">
        <f t="shared" si="59"/>
        <v>46549</v>
      </c>
      <c r="AO295" s="12">
        <f t="shared" si="60"/>
        <v>4800</v>
      </c>
      <c r="AP295" s="12">
        <f t="shared" si="61"/>
        <v>0</v>
      </c>
      <c r="AQ295" s="15">
        <f t="shared" si="62"/>
        <v>46134</v>
      </c>
      <c r="AR295" s="7">
        <f t="shared" si="63"/>
        <v>46489</v>
      </c>
      <c r="AS295" s="5">
        <v>1361</v>
      </c>
      <c r="AT295" s="7">
        <v>45922</v>
      </c>
      <c r="AU295" s="5" t="s">
        <v>78</v>
      </c>
      <c r="AV295" s="17">
        <v>213</v>
      </c>
      <c r="AW295" s="37">
        <v>45979</v>
      </c>
      <c r="AX295" s="5" t="s">
        <v>355</v>
      </c>
      <c r="AY295" s="5" t="s">
        <v>790</v>
      </c>
      <c r="AZ295" s="45" t="s">
        <v>849</v>
      </c>
      <c r="BA295" s="12">
        <v>96000</v>
      </c>
      <c r="BB295" s="7">
        <v>45975</v>
      </c>
      <c r="BC295" s="14"/>
      <c r="BD295" s="14"/>
      <c r="BF295" s="12"/>
      <c r="BG295" s="14"/>
      <c r="BH295" s="19">
        <v>45979</v>
      </c>
      <c r="BI295" s="5">
        <v>1544</v>
      </c>
      <c r="BJ295" s="19">
        <v>45979</v>
      </c>
      <c r="BM295" s="18"/>
      <c r="BN295" s="18"/>
      <c r="BO295" s="18"/>
      <c r="BP295" s="18"/>
      <c r="BQ295" s="5"/>
      <c r="BR295" s="18"/>
      <c r="BS295" s="18"/>
      <c r="BT295" s="35">
        <f t="shared" si="64"/>
        <v>46099</v>
      </c>
    </row>
    <row r="296" spans="1:72" ht="43.5" x14ac:dyDescent="0.35">
      <c r="A296" s="5">
        <v>295</v>
      </c>
      <c r="B296" s="5"/>
      <c r="C296" s="5" t="s">
        <v>78</v>
      </c>
      <c r="D296" s="5">
        <v>14</v>
      </c>
      <c r="E296" s="5">
        <v>14</v>
      </c>
      <c r="F296" s="8" t="s">
        <v>655</v>
      </c>
      <c r="G296" s="8"/>
      <c r="H296" s="5" t="s">
        <v>332</v>
      </c>
      <c r="I296" s="5" t="str" cm="1">
        <f t="array" ref="I296">_xlfn.IFS(
  H296="Mahuva", "Mahuva",
  H296="Jesar", "Mahuva",
  H296="Palitana", "Palitana",
  H296="Gariyadhar", "Palitana",
  H296="Talaja", "Talaja",
  H296="Vallabhipur", "Vallabhipur",
  H296="Umrala", "Vallabhipur",
  H296="Shihor", "Shihor",
  H296="Ghogha", "Bhavnagar",
  H296="Bhavnagar", "Bhavnagar"
)</f>
        <v>Bhavnagar</v>
      </c>
      <c r="J296" s="5" t="s">
        <v>256</v>
      </c>
      <c r="K296" s="5" t="s">
        <v>418</v>
      </c>
      <c r="L296" s="5">
        <v>211795</v>
      </c>
      <c r="M296" s="5"/>
      <c r="N296" s="7">
        <v>45872</v>
      </c>
      <c r="O296" s="7">
        <v>45880</v>
      </c>
      <c r="P296" s="7">
        <v>45881</v>
      </c>
      <c r="Q296" s="7">
        <f t="shared" si="53"/>
        <v>46000</v>
      </c>
      <c r="R296" s="9">
        <v>2079935.08</v>
      </c>
      <c r="S296" s="33"/>
      <c r="T296" s="9">
        <v>2015249.1</v>
      </c>
      <c r="U296" s="10">
        <v>-3.11</v>
      </c>
      <c r="V296" s="10" t="str">
        <f t="shared" si="54"/>
        <v>Below</v>
      </c>
      <c r="W296" s="11" t="str" cm="1">
        <f t="array" ref="W296">NumberToWords(T296)</f>
        <v>Twenty Lakh Fifteen Thousand Two Hundred Forty Nine Rupees and One Paise Only</v>
      </c>
      <c r="X296" s="10" t="str">
        <f t="shared" si="55"/>
        <v>Division</v>
      </c>
      <c r="Z296" s="9">
        <f t="shared" si="56"/>
        <v>2015249.1</v>
      </c>
      <c r="AA296" s="5" t="s">
        <v>632</v>
      </c>
      <c r="AB296" s="8" t="str">
        <f>_xlfn.XLOOKUP(AA296, 'Agency List'!A$2:A$145, 'Agency List'!B$2:B$145, "Not Found")</f>
        <v>Dineshbhai Harjibhai Parmar</v>
      </c>
      <c r="AC296" s="8" t="str">
        <f>_xlfn.XLOOKUP(AA296, 'Agency List'!A$2:A$145, 'Agency List'!C$2:C$145, "Not Found")</f>
        <v>C/732, Kesariya Hanuman Road, Kaliyabid, Bhavnagar-364001</v>
      </c>
      <c r="AD296" s="8">
        <f>_xlfn.XLOOKUP(AA296, 'Agency List'!A$2:A$145, 'Agency List'!D$2:D$145, "Not Found")</f>
        <v>9426844701</v>
      </c>
      <c r="AE296" s="7"/>
      <c r="AF296" s="5" t="s">
        <v>357</v>
      </c>
      <c r="AG296" s="5" t="str">
        <f t="shared" si="57"/>
        <v>Bandhkam</v>
      </c>
      <c r="AH296" s="5"/>
      <c r="AI296" s="8"/>
      <c r="AJ296" s="8"/>
      <c r="AL296" s="16">
        <v>4</v>
      </c>
      <c r="AM296" s="12">
        <f t="shared" si="58"/>
        <v>101000</v>
      </c>
      <c r="AN296" s="7">
        <f t="shared" si="59"/>
        <v>46574</v>
      </c>
      <c r="AO296" s="12">
        <f t="shared" si="60"/>
        <v>5000</v>
      </c>
      <c r="AP296" s="12">
        <f t="shared" si="61"/>
        <v>0</v>
      </c>
      <c r="AQ296" s="15">
        <f t="shared" si="62"/>
        <v>46159</v>
      </c>
      <c r="AR296" s="7">
        <f t="shared" si="63"/>
        <v>46514</v>
      </c>
      <c r="AS296" s="5">
        <v>1319</v>
      </c>
      <c r="AT296" s="7">
        <v>45915</v>
      </c>
      <c r="AU296" s="5" t="s">
        <v>78</v>
      </c>
      <c r="AV296" s="17">
        <v>237</v>
      </c>
      <c r="AW296" s="37">
        <v>46004</v>
      </c>
      <c r="AX296" s="5" t="s">
        <v>355</v>
      </c>
      <c r="AY296" s="5" t="s">
        <v>363</v>
      </c>
      <c r="AZ296" s="45" t="s">
        <v>921</v>
      </c>
      <c r="BA296" s="12">
        <v>101000</v>
      </c>
      <c r="BB296" s="7">
        <v>45958</v>
      </c>
      <c r="BC296" s="14"/>
      <c r="BD296" s="14"/>
      <c r="BF296" s="12"/>
      <c r="BG296" s="14"/>
      <c r="BH296" s="19">
        <v>46004</v>
      </c>
      <c r="BI296" s="5">
        <v>1702</v>
      </c>
      <c r="BJ296" s="19">
        <v>46004</v>
      </c>
      <c r="BM296" s="18"/>
      <c r="BN296" s="18"/>
      <c r="BO296" s="18"/>
      <c r="BP296" s="18"/>
      <c r="BQ296" s="5"/>
      <c r="BR296" s="18"/>
      <c r="BS296" s="18"/>
      <c r="BT296" s="35">
        <f t="shared" ref="BT296:BT322" si="65">BH296+AL296*30</f>
        <v>46124</v>
      </c>
    </row>
    <row r="297" spans="1:72" ht="43.5" x14ac:dyDescent="0.35">
      <c r="A297" s="5">
        <v>296</v>
      </c>
      <c r="B297" s="5"/>
      <c r="C297" s="5" t="s">
        <v>78</v>
      </c>
      <c r="D297" s="5">
        <v>14</v>
      </c>
      <c r="E297" s="5">
        <v>15</v>
      </c>
      <c r="F297" s="8" t="s">
        <v>656</v>
      </c>
      <c r="G297" s="8"/>
      <c r="H297" s="5" t="s">
        <v>12</v>
      </c>
      <c r="I297" s="5" t="str" cm="1">
        <f t="array" ref="I297">_xlfn.IFS(
  H297="Mahuva", "Mahuva",
  H297="Jesar", "Mahuva",
  H297="Palitana", "Palitana",
  H297="Gariyadhar", "Palitana",
  H297="Talaja", "Talaja",
  H297="Vallabhipur", "Vallabhipur",
  H297="Umrala", "Vallabhipur",
  H297="Shihor", "Shihor",
  H297="Ghogha", "Bhavnagar",
  H297="Bhavnagar", "Bhavnagar"
)</f>
        <v>Mahuva</v>
      </c>
      <c r="J297" s="5" t="s">
        <v>256</v>
      </c>
      <c r="K297" s="5" t="s">
        <v>418</v>
      </c>
      <c r="L297" s="5">
        <v>211796</v>
      </c>
      <c r="M297" s="5"/>
      <c r="N297" s="7">
        <v>45872</v>
      </c>
      <c r="O297" s="7">
        <v>45880</v>
      </c>
      <c r="P297" s="7">
        <v>45881</v>
      </c>
      <c r="Q297" s="7">
        <f t="shared" si="53"/>
        <v>46000</v>
      </c>
      <c r="R297" s="9">
        <v>2079935.08</v>
      </c>
      <c r="S297" s="33"/>
      <c r="T297" s="9">
        <v>2012337.19</v>
      </c>
      <c r="U297" s="10">
        <v>-3.25</v>
      </c>
      <c r="V297" s="10" t="str">
        <f t="shared" si="54"/>
        <v>Below</v>
      </c>
      <c r="W297" s="11" t="str" cm="1">
        <f t="array" ref="W297">NumberToWords(T297)</f>
        <v>Twenty Lakh Twelve Thousand Three Hundred Thirty Seven Rupees and Nineteen Paise Only</v>
      </c>
      <c r="X297" s="10" t="str">
        <f t="shared" si="55"/>
        <v>Division</v>
      </c>
      <c r="Z297" s="9">
        <f t="shared" si="56"/>
        <v>2012337.19</v>
      </c>
      <c r="AA297" s="5" t="s">
        <v>633</v>
      </c>
      <c r="AB297" s="8" t="str">
        <f>_xlfn.XLOOKUP(AA297, 'Agency List'!A$2:A$145, 'Agency List'!B$2:B$145, "Not Found")</f>
        <v>Chhelana Vipul Hadabhai</v>
      </c>
      <c r="AC297" s="8" t="str">
        <f>_xlfn.XLOOKUP(AA297, 'Agency List'!A$2:A$145, 'Agency List'!C$2:C$145, "Not Found")</f>
        <v>At Survey No. 4 P, Shiv Hotel, Rohisha Chowkadi, Mahuva, Dist. Bhavnagar</v>
      </c>
      <c r="AD297" s="8">
        <f>_xlfn.XLOOKUP(AA297, 'Agency List'!A$2:A$145, 'Agency List'!D$2:D$145, "Not Found")</f>
        <v>7405505555</v>
      </c>
      <c r="AE297" s="7"/>
      <c r="AF297" s="5" t="s">
        <v>357</v>
      </c>
      <c r="AG297" s="5" t="str">
        <f t="shared" si="57"/>
        <v>Bandhkam</v>
      </c>
      <c r="AH297" s="5"/>
      <c r="AI297" s="8"/>
      <c r="AJ297" s="8"/>
      <c r="AL297" s="16">
        <v>4</v>
      </c>
      <c r="AM297" s="12">
        <f t="shared" si="58"/>
        <v>101000</v>
      </c>
      <c r="AN297" s="7">
        <f t="shared" si="59"/>
        <v>46515</v>
      </c>
      <c r="AO297" s="12">
        <f t="shared" si="60"/>
        <v>5000</v>
      </c>
      <c r="AP297" s="12">
        <f t="shared" si="61"/>
        <v>0</v>
      </c>
      <c r="AQ297" s="15">
        <f t="shared" si="62"/>
        <v>46100</v>
      </c>
      <c r="AR297" s="7">
        <f t="shared" si="63"/>
        <v>46455</v>
      </c>
      <c r="AS297" s="5">
        <v>1365</v>
      </c>
      <c r="AT297" s="7">
        <v>45922</v>
      </c>
      <c r="AU297" s="5" t="s">
        <v>78</v>
      </c>
      <c r="AV297" s="17">
        <v>178</v>
      </c>
      <c r="AW297" s="37">
        <v>45943</v>
      </c>
      <c r="AX297" s="5" t="s">
        <v>355</v>
      </c>
      <c r="AY297" s="5" t="s">
        <v>790</v>
      </c>
      <c r="AZ297" s="45" t="s">
        <v>797</v>
      </c>
      <c r="BA297" s="12">
        <v>101000</v>
      </c>
      <c r="BB297" s="7">
        <v>45937</v>
      </c>
      <c r="BC297" s="14"/>
      <c r="BD297" s="14"/>
      <c r="BF297" s="12"/>
      <c r="BG297" s="14"/>
      <c r="BH297" s="19">
        <v>45945</v>
      </c>
      <c r="BI297" s="5">
        <v>1459</v>
      </c>
      <c r="BJ297" s="19">
        <v>45943</v>
      </c>
      <c r="BM297" s="18"/>
      <c r="BN297" s="18"/>
      <c r="BO297" s="18"/>
      <c r="BP297" s="18"/>
      <c r="BQ297" s="5"/>
      <c r="BR297" s="18"/>
      <c r="BS297" s="18"/>
      <c r="BT297" s="35">
        <f t="shared" si="65"/>
        <v>46065</v>
      </c>
    </row>
    <row r="298" spans="1:72" ht="43.5" x14ac:dyDescent="0.35">
      <c r="A298" s="5">
        <v>297</v>
      </c>
      <c r="B298" s="5"/>
      <c r="C298" s="5" t="s">
        <v>78</v>
      </c>
      <c r="D298" s="5">
        <v>14</v>
      </c>
      <c r="E298" s="5">
        <v>16</v>
      </c>
      <c r="F298" s="8" t="s">
        <v>657</v>
      </c>
      <c r="G298" s="8"/>
      <c r="H298" s="5" t="s">
        <v>12</v>
      </c>
      <c r="I298" s="5" t="str" cm="1">
        <f t="array" ref="I298">_xlfn.IFS(
  H298="Mahuva", "Mahuva",
  H298="Jesar", "Mahuva",
  H298="Palitana", "Palitana",
  H298="Gariyadhar", "Palitana",
  H298="Talaja", "Talaja",
  H298="Vallabhipur", "Vallabhipur",
  H298="Umrala", "Vallabhipur",
  H298="Shihor", "Shihor",
  H298="Ghogha", "Bhavnagar",
  H298="Bhavnagar", "Bhavnagar"
)</f>
        <v>Mahuva</v>
      </c>
      <c r="J298" s="5" t="s">
        <v>256</v>
      </c>
      <c r="K298" s="5" t="s">
        <v>418</v>
      </c>
      <c r="L298" s="5">
        <v>211797</v>
      </c>
      <c r="M298" s="5"/>
      <c r="N298" s="7">
        <v>45872</v>
      </c>
      <c r="O298" s="7">
        <v>45880</v>
      </c>
      <c r="P298" s="7">
        <v>45881</v>
      </c>
      <c r="Q298" s="7">
        <f t="shared" si="53"/>
        <v>46000</v>
      </c>
      <c r="R298" s="9">
        <v>2079935.08</v>
      </c>
      <c r="S298" s="33"/>
      <c r="T298" s="9">
        <v>1960338.81</v>
      </c>
      <c r="U298" s="10">
        <v>-5.75</v>
      </c>
      <c r="V298" s="10" t="str">
        <f t="shared" si="54"/>
        <v>Below</v>
      </c>
      <c r="W298" s="11" t="str" cm="1">
        <f t="array" ref="W298">NumberToWords(T298)</f>
        <v>Nineteen Lakh Sixty Thousand Three Hundred Thirty Eight Rupees and Eighty One Paise Only</v>
      </c>
      <c r="X298" s="10" t="str">
        <f t="shared" si="55"/>
        <v>Division</v>
      </c>
      <c r="Z298" s="9">
        <f t="shared" si="56"/>
        <v>1960338.81</v>
      </c>
      <c r="AA298" s="5" t="s">
        <v>633</v>
      </c>
      <c r="AB298" s="8" t="str">
        <f>_xlfn.XLOOKUP(AA298, 'Agency List'!A$2:A$145, 'Agency List'!B$2:B$145, "Not Found")</f>
        <v>Chhelana Vipul Hadabhai</v>
      </c>
      <c r="AC298" s="8" t="str">
        <f>_xlfn.XLOOKUP(AA298, 'Agency List'!A$2:A$145, 'Agency List'!C$2:C$145, "Not Found")</f>
        <v>At Survey No. 4 P, Shiv Hotel, Rohisha Chowkadi, Mahuva, Dist. Bhavnagar</v>
      </c>
      <c r="AD298" s="8">
        <f>_xlfn.XLOOKUP(AA298, 'Agency List'!A$2:A$145, 'Agency List'!D$2:D$145, "Not Found")</f>
        <v>7405505555</v>
      </c>
      <c r="AE298" s="7"/>
      <c r="AF298" s="5" t="s">
        <v>357</v>
      </c>
      <c r="AG298" s="5" t="str">
        <f t="shared" si="57"/>
        <v>Bandhkam</v>
      </c>
      <c r="AH298" s="5"/>
      <c r="AI298" s="8"/>
      <c r="AJ298" s="8"/>
      <c r="AL298" s="16">
        <v>4</v>
      </c>
      <c r="AM298" s="12">
        <f t="shared" si="58"/>
        <v>99000</v>
      </c>
      <c r="AN298" s="7">
        <f t="shared" si="59"/>
        <v>46515</v>
      </c>
      <c r="AO298" s="12">
        <f t="shared" si="60"/>
        <v>4900</v>
      </c>
      <c r="AP298" s="12">
        <f t="shared" si="61"/>
        <v>0</v>
      </c>
      <c r="AQ298" s="15">
        <f t="shared" si="62"/>
        <v>46100</v>
      </c>
      <c r="AR298" s="7">
        <f t="shared" si="63"/>
        <v>46455</v>
      </c>
      <c r="AS298" s="5">
        <v>1362</v>
      </c>
      <c r="AT298" s="7">
        <v>45922</v>
      </c>
      <c r="AU298" s="5" t="s">
        <v>78</v>
      </c>
      <c r="AV298" s="17">
        <v>176</v>
      </c>
      <c r="AW298" s="37">
        <v>45943</v>
      </c>
      <c r="AX298" s="5" t="s">
        <v>355</v>
      </c>
      <c r="AY298" s="5" t="s">
        <v>790</v>
      </c>
      <c r="AZ298" s="45" t="s">
        <v>795</v>
      </c>
      <c r="BA298" s="12">
        <v>99000</v>
      </c>
      <c r="BB298" s="7">
        <v>45937</v>
      </c>
      <c r="BC298" s="14"/>
      <c r="BD298" s="14"/>
      <c r="BF298" s="12"/>
      <c r="BG298" s="14"/>
      <c r="BH298" s="19">
        <v>45945</v>
      </c>
      <c r="BI298" s="5">
        <v>1460</v>
      </c>
      <c r="BJ298" s="19">
        <v>45943</v>
      </c>
      <c r="BM298" s="18"/>
      <c r="BN298" s="18"/>
      <c r="BO298" s="18"/>
      <c r="BP298" s="18"/>
      <c r="BQ298" s="5"/>
      <c r="BR298" s="18"/>
      <c r="BS298" s="18"/>
      <c r="BT298" s="35">
        <f t="shared" si="65"/>
        <v>46065</v>
      </c>
    </row>
    <row r="299" spans="1:72" ht="43.5" x14ac:dyDescent="0.35">
      <c r="A299" s="5">
        <v>298</v>
      </c>
      <c r="B299" s="5"/>
      <c r="C299" s="5" t="s">
        <v>78</v>
      </c>
      <c r="D299" s="5">
        <v>14</v>
      </c>
      <c r="E299" s="5">
        <v>17</v>
      </c>
      <c r="F299" s="8" t="s">
        <v>658</v>
      </c>
      <c r="G299" s="8"/>
      <c r="H299" s="5" t="s">
        <v>12</v>
      </c>
      <c r="I299" s="5" t="str" cm="1">
        <f t="array" ref="I299">_xlfn.IFS(
  H299="Mahuva", "Mahuva",
  H299="Jesar", "Mahuva",
  H299="Palitana", "Palitana",
  H299="Gariyadhar", "Palitana",
  H299="Talaja", "Talaja",
  H299="Vallabhipur", "Vallabhipur",
  H299="Umrala", "Vallabhipur",
  H299="Shihor", "Shihor",
  H299="Ghogha", "Bhavnagar",
  H299="Bhavnagar", "Bhavnagar"
)</f>
        <v>Mahuva</v>
      </c>
      <c r="J299" s="5" t="s">
        <v>256</v>
      </c>
      <c r="K299" s="5" t="s">
        <v>418</v>
      </c>
      <c r="L299" s="5">
        <v>211798</v>
      </c>
      <c r="M299" s="5"/>
      <c r="N299" s="7">
        <v>45872</v>
      </c>
      <c r="O299" s="7">
        <v>45880</v>
      </c>
      <c r="P299" s="7">
        <v>45881</v>
      </c>
      <c r="Q299" s="7">
        <f t="shared" si="53"/>
        <v>46000</v>
      </c>
      <c r="R299" s="9">
        <v>2079935.08</v>
      </c>
      <c r="S299" s="33"/>
      <c r="T299" s="9">
        <v>2010673.24</v>
      </c>
      <c r="U299" s="10">
        <v>-3.33</v>
      </c>
      <c r="V299" s="10" t="str">
        <f t="shared" si="54"/>
        <v>Below</v>
      </c>
      <c r="W299" s="11" t="str" cm="1">
        <f t="array" ref="W299">NumberToWords(T299)</f>
        <v>Twenty Lakh Ten Thousand Six Hundred Seventy Three Rupees and Twenty Four Paise Only</v>
      </c>
      <c r="X299" s="10" t="str">
        <f t="shared" si="55"/>
        <v>Division</v>
      </c>
      <c r="Z299" s="9">
        <f t="shared" si="56"/>
        <v>2010673.24</v>
      </c>
      <c r="AA299" s="5" t="s">
        <v>279</v>
      </c>
      <c r="AB299" s="8" t="str">
        <f>_xlfn.XLOOKUP(AA299, 'Agency List'!A$2:A$145, 'Agency List'!B$2:B$145, "Not Found")</f>
        <v>ALIGBHAI LAKHUBHAI BARAL</v>
      </c>
      <c r="AC299" s="8" t="str">
        <f>_xlfn.XLOOKUP(AA299, 'Agency List'!A$2:A$145, 'Agency List'!C$2:C$145, "Not Found")</f>
        <v>At Bhandariya, Ta. Palitana, Dist. Bhavnagar</v>
      </c>
      <c r="AD299" s="8">
        <f>_xlfn.XLOOKUP(AA299, 'Agency List'!A$2:A$145, 'Agency List'!D$2:D$145, "Not Found")</f>
        <v>9828109453</v>
      </c>
      <c r="AE299" s="7"/>
      <c r="AF299" s="5" t="s">
        <v>357</v>
      </c>
      <c r="AG299" s="5" t="str">
        <f t="shared" si="57"/>
        <v>Bandhkam</v>
      </c>
      <c r="AH299" s="5"/>
      <c r="AI299" s="8"/>
      <c r="AJ299" s="8"/>
      <c r="AL299" s="16">
        <v>4</v>
      </c>
      <c r="AM299" s="12">
        <f t="shared" si="58"/>
        <v>101000</v>
      </c>
      <c r="AN299" s="7">
        <f t="shared" si="59"/>
        <v>46515</v>
      </c>
      <c r="AO299" s="12">
        <f t="shared" si="60"/>
        <v>5000</v>
      </c>
      <c r="AP299" s="12">
        <f t="shared" si="61"/>
        <v>0</v>
      </c>
      <c r="AQ299" s="15">
        <f t="shared" si="62"/>
        <v>46100</v>
      </c>
      <c r="AR299" s="7">
        <f t="shared" si="63"/>
        <v>46455</v>
      </c>
      <c r="AS299" s="5">
        <v>1309</v>
      </c>
      <c r="AT299" s="7">
        <v>45915</v>
      </c>
      <c r="AU299" s="5" t="s">
        <v>78</v>
      </c>
      <c r="AV299" s="17">
        <v>187</v>
      </c>
      <c r="AW299" s="37">
        <v>45943</v>
      </c>
      <c r="AX299" s="5" t="s">
        <v>355</v>
      </c>
      <c r="AY299" s="5" t="s">
        <v>803</v>
      </c>
      <c r="AZ299" s="45" t="s">
        <v>809</v>
      </c>
      <c r="BA299" s="12">
        <v>101000</v>
      </c>
      <c r="BB299" s="7">
        <v>45936</v>
      </c>
      <c r="BC299" s="14"/>
      <c r="BD299" s="14"/>
      <c r="BF299" s="12"/>
      <c r="BG299" s="14"/>
      <c r="BH299" s="19">
        <v>45945</v>
      </c>
      <c r="BI299" s="5">
        <v>1471</v>
      </c>
      <c r="BJ299" s="19">
        <v>45943</v>
      </c>
      <c r="BM299" s="18"/>
      <c r="BN299" s="18"/>
      <c r="BO299" s="18"/>
      <c r="BP299" s="18"/>
      <c r="BQ299" s="5"/>
      <c r="BR299" s="18"/>
      <c r="BS299" s="18"/>
      <c r="BT299" s="35">
        <f t="shared" si="65"/>
        <v>46065</v>
      </c>
    </row>
    <row r="300" spans="1:72" ht="43.5" x14ac:dyDescent="0.35">
      <c r="A300" s="5">
        <v>299</v>
      </c>
      <c r="B300" s="5"/>
      <c r="C300" s="5" t="s">
        <v>78</v>
      </c>
      <c r="D300" s="5">
        <v>14</v>
      </c>
      <c r="E300" s="5">
        <v>18</v>
      </c>
      <c r="F300" s="8" t="s">
        <v>659</v>
      </c>
      <c r="G300" s="8"/>
      <c r="H300" s="5" t="s">
        <v>12</v>
      </c>
      <c r="I300" s="5" t="str" cm="1">
        <f t="array" ref="I300">_xlfn.IFS(
  H300="Mahuva", "Mahuva",
  H300="Jesar", "Mahuva",
  H300="Palitana", "Palitana",
  H300="Gariyadhar", "Palitana",
  H300="Talaja", "Talaja",
  H300="Vallabhipur", "Vallabhipur",
  H300="Umrala", "Vallabhipur",
  H300="Shihor", "Shihor",
  H300="Ghogha", "Bhavnagar",
  H300="Bhavnagar", "Bhavnagar"
)</f>
        <v>Mahuva</v>
      </c>
      <c r="J300" s="5" t="s">
        <v>256</v>
      </c>
      <c r="K300" s="5" t="s">
        <v>418</v>
      </c>
      <c r="L300" s="5">
        <v>211800</v>
      </c>
      <c r="M300" s="5"/>
      <c r="N300" s="7">
        <v>45872</v>
      </c>
      <c r="O300" s="7">
        <v>45880</v>
      </c>
      <c r="P300" s="7">
        <v>45881</v>
      </c>
      <c r="Q300" s="7">
        <f t="shared" si="53"/>
        <v>46000</v>
      </c>
      <c r="R300" s="9">
        <v>2079935.08</v>
      </c>
      <c r="S300" s="33"/>
      <c r="T300" s="9">
        <v>2010673.24</v>
      </c>
      <c r="U300" s="10">
        <v>-3.33</v>
      </c>
      <c r="V300" s="10" t="str">
        <f t="shared" si="54"/>
        <v>Below</v>
      </c>
      <c r="W300" s="11" t="str" cm="1">
        <f t="array" ref="W300">NumberToWords(T300)</f>
        <v>Twenty Lakh Ten Thousand Six Hundred Seventy Three Rupees and Twenty Four Paise Only</v>
      </c>
      <c r="X300" s="10" t="str">
        <f t="shared" si="55"/>
        <v>Division</v>
      </c>
      <c r="Z300" s="9">
        <f t="shared" si="56"/>
        <v>2010673.24</v>
      </c>
      <c r="AA300" s="5" t="s">
        <v>279</v>
      </c>
      <c r="AB300" s="8" t="str">
        <f>_xlfn.XLOOKUP(AA300, 'Agency List'!A$2:A$145, 'Agency List'!B$2:B$145, "Not Found")</f>
        <v>ALIGBHAI LAKHUBHAI BARAL</v>
      </c>
      <c r="AC300" s="8" t="str">
        <f>_xlfn.XLOOKUP(AA300, 'Agency List'!A$2:A$145, 'Agency List'!C$2:C$145, "Not Found")</f>
        <v>At Bhandariya, Ta. Palitana, Dist. Bhavnagar</v>
      </c>
      <c r="AD300" s="8">
        <f>_xlfn.XLOOKUP(AA300, 'Agency List'!A$2:A$145, 'Agency List'!D$2:D$145, "Not Found")</f>
        <v>9828109453</v>
      </c>
      <c r="AE300" s="7"/>
      <c r="AF300" s="5" t="s">
        <v>357</v>
      </c>
      <c r="AG300" s="5" t="str">
        <f t="shared" si="57"/>
        <v>Bandhkam</v>
      </c>
      <c r="AH300" s="5"/>
      <c r="AI300" s="8"/>
      <c r="AJ300" s="8"/>
      <c r="AL300" s="16">
        <v>4</v>
      </c>
      <c r="AM300" s="12">
        <f t="shared" si="58"/>
        <v>101000</v>
      </c>
      <c r="AN300" s="7">
        <f t="shared" si="59"/>
        <v>46515</v>
      </c>
      <c r="AO300" s="12">
        <f t="shared" si="60"/>
        <v>5000</v>
      </c>
      <c r="AP300" s="12">
        <f t="shared" si="61"/>
        <v>0</v>
      </c>
      <c r="AQ300" s="15">
        <f t="shared" si="62"/>
        <v>46100</v>
      </c>
      <c r="AR300" s="7">
        <f t="shared" si="63"/>
        <v>46455</v>
      </c>
      <c r="AS300" s="5">
        <v>1327</v>
      </c>
      <c r="AT300" s="7">
        <v>45915</v>
      </c>
      <c r="AU300" s="5" t="s">
        <v>78</v>
      </c>
      <c r="AV300" s="17">
        <v>184</v>
      </c>
      <c r="AW300" s="37">
        <v>45943</v>
      </c>
      <c r="AX300" s="5" t="s">
        <v>355</v>
      </c>
      <c r="AY300" s="5" t="s">
        <v>803</v>
      </c>
      <c r="AZ300" s="45" t="s">
        <v>804</v>
      </c>
      <c r="BA300" s="12">
        <v>101000</v>
      </c>
      <c r="BB300" s="7">
        <v>45936</v>
      </c>
      <c r="BC300" s="14"/>
      <c r="BD300" s="14"/>
      <c r="BF300" s="12"/>
      <c r="BG300" s="14"/>
      <c r="BH300" s="19">
        <v>45945</v>
      </c>
      <c r="BI300" s="5">
        <v>1468</v>
      </c>
      <c r="BJ300" s="19">
        <v>45943</v>
      </c>
      <c r="BM300" s="18"/>
      <c r="BN300" s="18"/>
      <c r="BO300" s="18"/>
      <c r="BP300" s="18"/>
      <c r="BQ300" s="5"/>
      <c r="BR300" s="18"/>
      <c r="BS300" s="18"/>
      <c r="BT300" s="35">
        <f t="shared" si="65"/>
        <v>46065</v>
      </c>
    </row>
    <row r="301" spans="1:72" ht="43.5" x14ac:dyDescent="0.35">
      <c r="A301" s="5">
        <v>300</v>
      </c>
      <c r="B301" s="5"/>
      <c r="C301" s="5" t="s">
        <v>78</v>
      </c>
      <c r="D301" s="5">
        <v>14</v>
      </c>
      <c r="E301" s="5">
        <v>19</v>
      </c>
      <c r="F301" s="8" t="s">
        <v>660</v>
      </c>
      <c r="G301" s="8"/>
      <c r="H301" s="5" t="s">
        <v>12</v>
      </c>
      <c r="I301" s="5" t="str" cm="1">
        <f t="array" ref="I301">_xlfn.IFS(
  H301="Mahuva", "Mahuva",
  H301="Jesar", "Mahuva",
  H301="Palitana", "Palitana",
  H301="Gariyadhar", "Palitana",
  H301="Talaja", "Talaja",
  H301="Vallabhipur", "Vallabhipur",
  H301="Umrala", "Vallabhipur",
  H301="Shihor", "Shihor",
  H301="Ghogha", "Bhavnagar",
  H301="Bhavnagar", "Bhavnagar"
)</f>
        <v>Mahuva</v>
      </c>
      <c r="J301" s="5" t="s">
        <v>256</v>
      </c>
      <c r="K301" s="5" t="s">
        <v>418</v>
      </c>
      <c r="L301" s="5">
        <v>211801</v>
      </c>
      <c r="M301" s="5"/>
      <c r="N301" s="7">
        <v>45872</v>
      </c>
      <c r="O301" s="7">
        <v>45880</v>
      </c>
      <c r="P301" s="7">
        <v>45881</v>
      </c>
      <c r="Q301" s="7">
        <f t="shared" si="53"/>
        <v>46000</v>
      </c>
      <c r="R301" s="9">
        <v>2079935.08</v>
      </c>
      <c r="S301" s="33"/>
      <c r="T301" s="9">
        <v>1948899.17</v>
      </c>
      <c r="U301" s="10">
        <v>-6.3</v>
      </c>
      <c r="V301" s="10" t="str">
        <f t="shared" si="54"/>
        <v>Below</v>
      </c>
      <c r="W301" s="11" t="str" cm="1">
        <f t="array" ref="W301">NumberToWords(T301)</f>
        <v>Nineteen Lakh Forty Eight Thousand Eight Hundred Ninety Nine Rupees and Seventeen Paise Only</v>
      </c>
      <c r="X301" s="10" t="str">
        <f t="shared" si="55"/>
        <v>Division</v>
      </c>
      <c r="Z301" s="9">
        <f t="shared" si="56"/>
        <v>1948899.17</v>
      </c>
      <c r="AA301" s="5" t="s">
        <v>634</v>
      </c>
      <c r="AB301" s="8">
        <f>_xlfn.XLOOKUP(AA301, 'Agency List'!A$2:A$145, 'Agency List'!B$2:B$145, "Not Found")</f>
        <v>0</v>
      </c>
      <c r="AC301" s="8" t="str">
        <f>_xlfn.XLOOKUP(AA301, 'Agency List'!A$2:A$145, 'Agency List'!C$2:C$145, "Not Found")</f>
        <v>Plot No. 233, Nu.N.Yo. No.3, Near Muni Nagar, Mahuva</v>
      </c>
      <c r="AD301" s="8">
        <f>_xlfn.XLOOKUP(AA301, 'Agency List'!A$2:A$145, 'Agency List'!D$2:D$145, "Not Found")</f>
        <v>9824837530</v>
      </c>
      <c r="AE301" s="7"/>
      <c r="AF301" s="5" t="s">
        <v>357</v>
      </c>
      <c r="AG301" s="5" t="str">
        <f t="shared" si="57"/>
        <v>Bandhkam</v>
      </c>
      <c r="AH301" s="5"/>
      <c r="AI301" s="8"/>
      <c r="AJ301" s="8"/>
      <c r="AL301" s="16">
        <v>4</v>
      </c>
      <c r="AM301" s="12">
        <f t="shared" si="58"/>
        <v>98000</v>
      </c>
      <c r="AN301" s="7">
        <f t="shared" si="59"/>
        <v>46573</v>
      </c>
      <c r="AO301" s="12">
        <f t="shared" si="60"/>
        <v>4900</v>
      </c>
      <c r="AP301" s="12">
        <f t="shared" si="61"/>
        <v>0</v>
      </c>
      <c r="AQ301" s="15">
        <f t="shared" si="62"/>
        <v>46158</v>
      </c>
      <c r="AR301" s="7">
        <f t="shared" si="63"/>
        <v>46513</v>
      </c>
      <c r="AS301" s="5">
        <v>1329</v>
      </c>
      <c r="AT301" s="7">
        <v>45915</v>
      </c>
      <c r="AU301" s="5" t="s">
        <v>78</v>
      </c>
      <c r="AV301" s="17">
        <v>225</v>
      </c>
      <c r="AW301" s="37">
        <v>46003</v>
      </c>
      <c r="AX301" s="5" t="s">
        <v>355</v>
      </c>
      <c r="AY301" s="5" t="s">
        <v>609</v>
      </c>
      <c r="AZ301" s="45" t="s">
        <v>908</v>
      </c>
      <c r="BA301" s="12">
        <v>98000</v>
      </c>
      <c r="BB301" s="7">
        <v>45934</v>
      </c>
      <c r="BC301" s="14"/>
      <c r="BD301" s="14"/>
      <c r="BF301" s="12"/>
      <c r="BG301" s="14"/>
      <c r="BH301" s="19">
        <v>46003</v>
      </c>
      <c r="BI301" s="5">
        <v>1689</v>
      </c>
      <c r="BJ301" s="19">
        <v>46003</v>
      </c>
      <c r="BM301" s="18"/>
      <c r="BN301" s="18"/>
      <c r="BO301" s="18"/>
      <c r="BP301" s="18"/>
      <c r="BQ301" s="5"/>
      <c r="BR301" s="18"/>
      <c r="BS301" s="18"/>
      <c r="BT301" s="35">
        <f t="shared" si="65"/>
        <v>46123</v>
      </c>
    </row>
    <row r="302" spans="1:72" ht="43.5" x14ac:dyDescent="0.35">
      <c r="A302" s="5">
        <v>301</v>
      </c>
      <c r="B302" s="5"/>
      <c r="C302" s="5" t="s">
        <v>78</v>
      </c>
      <c r="D302" s="5">
        <v>14</v>
      </c>
      <c r="E302" s="5">
        <v>20</v>
      </c>
      <c r="F302" s="8" t="s">
        <v>661</v>
      </c>
      <c r="G302" s="8"/>
      <c r="H302" s="5" t="s">
        <v>12</v>
      </c>
      <c r="I302" s="5" t="str" cm="1">
        <f t="array" ref="I302">_xlfn.IFS(
  H302="Mahuva", "Mahuva",
  H302="Jesar", "Mahuva",
  H302="Palitana", "Palitana",
  H302="Gariyadhar", "Palitana",
  H302="Talaja", "Talaja",
  H302="Vallabhipur", "Vallabhipur",
  H302="Umrala", "Vallabhipur",
  H302="Shihor", "Shihor",
  H302="Ghogha", "Bhavnagar",
  H302="Bhavnagar", "Bhavnagar"
)</f>
        <v>Mahuva</v>
      </c>
      <c r="J302" s="5" t="s">
        <v>256</v>
      </c>
      <c r="K302" s="5" t="s">
        <v>418</v>
      </c>
      <c r="L302" s="5">
        <v>211802</v>
      </c>
      <c r="M302" s="5"/>
      <c r="N302" s="7">
        <v>45872</v>
      </c>
      <c r="O302" s="7">
        <v>45880</v>
      </c>
      <c r="P302" s="7">
        <v>45881</v>
      </c>
      <c r="Q302" s="7">
        <f t="shared" si="53"/>
        <v>46000</v>
      </c>
      <c r="R302" s="9">
        <v>2079935.08</v>
      </c>
      <c r="S302" s="33"/>
      <c r="T302" s="9">
        <v>2017537.03</v>
      </c>
      <c r="U302" s="10">
        <v>-3</v>
      </c>
      <c r="V302" s="10" t="str">
        <f t="shared" si="54"/>
        <v>Below</v>
      </c>
      <c r="W302" s="11" t="str" cm="1">
        <f t="array" ref="W302">NumberToWords(T302)</f>
        <v>Twenty Lakh Seventeen Thousand Five Hundred Thirty Seven Rupees and Three Paise Only</v>
      </c>
      <c r="X302" s="10" t="str">
        <f t="shared" si="55"/>
        <v>Division</v>
      </c>
      <c r="Z302" s="9">
        <f t="shared" si="56"/>
        <v>2017537.03</v>
      </c>
      <c r="AA302" s="5" t="s">
        <v>633</v>
      </c>
      <c r="AB302" s="8" t="str">
        <f>_xlfn.XLOOKUP(AA302, 'Agency List'!A$2:A$145, 'Agency List'!B$2:B$145, "Not Found")</f>
        <v>Chhelana Vipul Hadabhai</v>
      </c>
      <c r="AC302" s="8" t="str">
        <f>_xlfn.XLOOKUP(AA302, 'Agency List'!A$2:A$145, 'Agency List'!C$2:C$145, "Not Found")</f>
        <v>At Survey No. 4 P, Shiv Hotel, Rohisha Chowkadi, Mahuva, Dist. Bhavnagar</v>
      </c>
      <c r="AD302" s="8">
        <f>_xlfn.XLOOKUP(AA302, 'Agency List'!A$2:A$145, 'Agency List'!D$2:D$145, "Not Found")</f>
        <v>7405505555</v>
      </c>
      <c r="AE302" s="7"/>
      <c r="AF302" s="5" t="s">
        <v>357</v>
      </c>
      <c r="AG302" s="5" t="str">
        <f t="shared" si="57"/>
        <v>Bandhkam</v>
      </c>
      <c r="AH302" s="5"/>
      <c r="AI302" s="8"/>
      <c r="AJ302" s="8"/>
      <c r="AL302" s="16">
        <v>4</v>
      </c>
      <c r="AM302" s="12">
        <f t="shared" si="58"/>
        <v>101000</v>
      </c>
      <c r="AN302" s="7">
        <f t="shared" si="59"/>
        <v>46515</v>
      </c>
      <c r="AO302" s="12">
        <f t="shared" si="60"/>
        <v>5000</v>
      </c>
      <c r="AP302" s="12">
        <f t="shared" si="61"/>
        <v>0</v>
      </c>
      <c r="AQ302" s="15">
        <f t="shared" si="62"/>
        <v>46100</v>
      </c>
      <c r="AR302" s="7">
        <f t="shared" si="63"/>
        <v>46455</v>
      </c>
      <c r="AS302" s="5">
        <v>1360</v>
      </c>
      <c r="AT302" s="7">
        <v>45922</v>
      </c>
      <c r="AU302" s="5" t="s">
        <v>78</v>
      </c>
      <c r="AV302" s="17">
        <v>177</v>
      </c>
      <c r="AW302" s="37">
        <v>45943</v>
      </c>
      <c r="AX302" s="5" t="s">
        <v>355</v>
      </c>
      <c r="AY302" s="5" t="s">
        <v>790</v>
      </c>
      <c r="AZ302" s="45" t="s">
        <v>796</v>
      </c>
      <c r="BA302" s="12">
        <v>101000</v>
      </c>
      <c r="BB302" s="7">
        <v>45937</v>
      </c>
      <c r="BC302" s="14"/>
      <c r="BD302" s="14"/>
      <c r="BF302" s="12"/>
      <c r="BG302" s="14"/>
      <c r="BH302" s="19">
        <v>45945</v>
      </c>
      <c r="BI302" s="5">
        <v>1461</v>
      </c>
      <c r="BJ302" s="19">
        <v>45943</v>
      </c>
      <c r="BM302" s="18"/>
      <c r="BN302" s="18"/>
      <c r="BO302" s="18"/>
      <c r="BP302" s="18"/>
      <c r="BQ302" s="5"/>
      <c r="BR302" s="18"/>
      <c r="BS302" s="18"/>
      <c r="BT302" s="35">
        <f t="shared" si="65"/>
        <v>46065</v>
      </c>
    </row>
    <row r="303" spans="1:72" ht="43.5" x14ac:dyDescent="0.35">
      <c r="A303" s="5">
        <v>302</v>
      </c>
      <c r="B303" s="5"/>
      <c r="C303" s="5" t="s">
        <v>78</v>
      </c>
      <c r="D303" s="5">
        <v>14</v>
      </c>
      <c r="E303" s="5">
        <v>21</v>
      </c>
      <c r="F303" s="8" t="s">
        <v>662</v>
      </c>
      <c r="G303" s="8"/>
      <c r="H303" s="5" t="s">
        <v>12</v>
      </c>
      <c r="I303" s="5" t="str" cm="1">
        <f t="array" ref="I303">_xlfn.IFS(
  H303="Mahuva", "Mahuva",
  H303="Jesar", "Mahuva",
  H303="Palitana", "Palitana",
  H303="Gariyadhar", "Palitana",
  H303="Talaja", "Talaja",
  H303="Vallabhipur", "Vallabhipur",
  H303="Umrala", "Vallabhipur",
  H303="Shihor", "Shihor",
  H303="Ghogha", "Bhavnagar",
  H303="Bhavnagar", "Bhavnagar"
)</f>
        <v>Mahuva</v>
      </c>
      <c r="J303" s="5" t="s">
        <v>256</v>
      </c>
      <c r="K303" s="5" t="s">
        <v>418</v>
      </c>
      <c r="L303" s="5">
        <v>211803</v>
      </c>
      <c r="M303" s="5"/>
      <c r="N303" s="7">
        <v>45872</v>
      </c>
      <c r="O303" s="7">
        <v>45880</v>
      </c>
      <c r="P303" s="7">
        <v>45881</v>
      </c>
      <c r="Q303" s="7">
        <f t="shared" si="53"/>
        <v>46000</v>
      </c>
      <c r="R303" s="9">
        <v>2079935.08</v>
      </c>
      <c r="S303" s="33"/>
      <c r="T303" s="9">
        <v>1928723.8</v>
      </c>
      <c r="U303" s="10">
        <v>-7.27</v>
      </c>
      <c r="V303" s="10" t="str">
        <f t="shared" si="54"/>
        <v>Below</v>
      </c>
      <c r="W303" s="11" t="str" cm="1">
        <f t="array" ref="W303">NumberToWords(T303)</f>
        <v>Nineteen Lakh Twenty Eight Thousand Seven Hundred Twenty Three Rupees and Eight Paise Only</v>
      </c>
      <c r="X303" s="10" t="str">
        <f t="shared" si="55"/>
        <v>Division</v>
      </c>
      <c r="Z303" s="9">
        <f t="shared" si="56"/>
        <v>1928723.8</v>
      </c>
      <c r="AA303" s="5" t="s">
        <v>634</v>
      </c>
      <c r="AB303" s="8">
        <f>_xlfn.XLOOKUP(AA303, 'Agency List'!A$2:A$145, 'Agency List'!B$2:B$145, "Not Found")</f>
        <v>0</v>
      </c>
      <c r="AC303" s="8" t="str">
        <f>_xlfn.XLOOKUP(AA303, 'Agency List'!A$2:A$145, 'Agency List'!C$2:C$145, "Not Found")</f>
        <v>Plot No. 233, Nu.N.Yo. No.3, Near Muni Nagar, Mahuva</v>
      </c>
      <c r="AD303" s="8">
        <f>_xlfn.XLOOKUP(AA303, 'Agency List'!A$2:A$145, 'Agency List'!D$2:D$145, "Not Found")</f>
        <v>9824837530</v>
      </c>
      <c r="AE303" s="7"/>
      <c r="AF303" s="5" t="s">
        <v>357</v>
      </c>
      <c r="AG303" s="5" t="str">
        <f t="shared" si="57"/>
        <v>Bandhkam</v>
      </c>
      <c r="AH303" s="5"/>
      <c r="AI303" s="8"/>
      <c r="AJ303" s="8"/>
      <c r="AL303" s="16">
        <v>4</v>
      </c>
      <c r="AM303" s="12">
        <f t="shared" si="58"/>
        <v>97000</v>
      </c>
      <c r="AN303" s="7">
        <f t="shared" si="59"/>
        <v>46573</v>
      </c>
      <c r="AO303" s="12">
        <f t="shared" si="60"/>
        <v>4800</v>
      </c>
      <c r="AP303" s="12">
        <f t="shared" si="61"/>
        <v>0</v>
      </c>
      <c r="AQ303" s="15">
        <f t="shared" si="62"/>
        <v>46158</v>
      </c>
      <c r="AR303" s="7">
        <f t="shared" si="63"/>
        <v>46513</v>
      </c>
      <c r="AS303" s="5">
        <v>1321</v>
      </c>
      <c r="AT303" s="7">
        <v>45915</v>
      </c>
      <c r="AU303" s="5" t="s">
        <v>78</v>
      </c>
      <c r="AV303" s="17">
        <v>226</v>
      </c>
      <c r="AW303" s="37">
        <v>46003</v>
      </c>
      <c r="AX303" s="5" t="s">
        <v>355</v>
      </c>
      <c r="AY303" s="5" t="s">
        <v>609</v>
      </c>
      <c r="AZ303" s="45" t="s">
        <v>909</v>
      </c>
      <c r="BA303" s="12">
        <v>97000</v>
      </c>
      <c r="BB303" s="7">
        <v>45934</v>
      </c>
      <c r="BC303" s="14"/>
      <c r="BD303" s="14"/>
      <c r="BF303" s="12"/>
      <c r="BG303" s="14"/>
      <c r="BH303" s="19">
        <v>46003</v>
      </c>
      <c r="BI303" s="5">
        <v>1690</v>
      </c>
      <c r="BJ303" s="19">
        <v>46003</v>
      </c>
      <c r="BM303" s="18"/>
      <c r="BN303" s="18"/>
      <c r="BO303" s="18"/>
      <c r="BP303" s="18"/>
      <c r="BQ303" s="5"/>
      <c r="BR303" s="18"/>
      <c r="BS303" s="18"/>
      <c r="BT303" s="35">
        <f t="shared" si="65"/>
        <v>46123</v>
      </c>
    </row>
    <row r="304" spans="1:72" ht="43.5" x14ac:dyDescent="0.35">
      <c r="A304" s="5">
        <v>303</v>
      </c>
      <c r="B304" s="5"/>
      <c r="C304" s="5" t="s">
        <v>78</v>
      </c>
      <c r="D304" s="5">
        <v>14</v>
      </c>
      <c r="E304" s="5">
        <v>22</v>
      </c>
      <c r="F304" s="8" t="s">
        <v>732</v>
      </c>
      <c r="G304" s="8"/>
      <c r="H304" s="5" t="s">
        <v>12</v>
      </c>
      <c r="I304" s="5" t="str" cm="1">
        <f t="array" ref="I304">_xlfn.IFS(
  H304="Mahuva", "Mahuva",
  H304="Jesar", "Mahuva",
  H304="Palitana", "Palitana",
  H304="Gariyadhar", "Palitana",
  H304="Talaja", "Talaja",
  H304="Vallabhipur", "Vallabhipur",
  H304="Umrala", "Vallabhipur",
  H304="Shihor", "Shihor",
  H304="Ghogha", "Bhavnagar",
  H304="Bhavnagar", "Bhavnagar"
)</f>
        <v>Mahuva</v>
      </c>
      <c r="J304" s="5" t="s">
        <v>256</v>
      </c>
      <c r="K304" s="5" t="s">
        <v>418</v>
      </c>
      <c r="L304" s="5">
        <v>211804</v>
      </c>
      <c r="M304" s="5"/>
      <c r="N304" s="7">
        <v>45872</v>
      </c>
      <c r="O304" s="7">
        <v>45880</v>
      </c>
      <c r="P304" s="7">
        <v>45881</v>
      </c>
      <c r="Q304" s="7">
        <f t="shared" si="53"/>
        <v>46000</v>
      </c>
      <c r="R304" s="9">
        <v>2079935.08</v>
      </c>
      <c r="S304" s="33"/>
      <c r="T304" s="9">
        <v>1928723.8</v>
      </c>
      <c r="U304" s="10">
        <v>-7.27</v>
      </c>
      <c r="V304" s="10" t="str">
        <f t="shared" si="54"/>
        <v>Below</v>
      </c>
      <c r="W304" s="11" t="str" cm="1">
        <f t="array" ref="W304">NumberToWords(T304)</f>
        <v>Nineteen Lakh Twenty Eight Thousand Seven Hundred Twenty Three Rupees and Eight Paise Only</v>
      </c>
      <c r="X304" s="10" t="str">
        <f t="shared" si="55"/>
        <v>Division</v>
      </c>
      <c r="Z304" s="9">
        <f t="shared" si="56"/>
        <v>1928723.8</v>
      </c>
      <c r="AA304" s="5" t="s">
        <v>634</v>
      </c>
      <c r="AB304" s="8">
        <f>_xlfn.XLOOKUP(AA304, 'Agency List'!A$2:A$145, 'Agency List'!B$2:B$145, "Not Found")</f>
        <v>0</v>
      </c>
      <c r="AC304" s="8" t="str">
        <f>_xlfn.XLOOKUP(AA304, 'Agency List'!A$2:A$145, 'Agency List'!C$2:C$145, "Not Found")</f>
        <v>Plot No. 233, Nu.N.Yo. No.3, Near Muni Nagar, Mahuva</v>
      </c>
      <c r="AD304" s="8">
        <f>_xlfn.XLOOKUP(AA304, 'Agency List'!A$2:A$145, 'Agency List'!D$2:D$145, "Not Found")</f>
        <v>9824837530</v>
      </c>
      <c r="AE304" s="7"/>
      <c r="AF304" s="5" t="s">
        <v>357</v>
      </c>
      <c r="AG304" s="5" t="str">
        <f t="shared" si="57"/>
        <v>Bandhkam</v>
      </c>
      <c r="AH304" s="5"/>
      <c r="AI304" s="8"/>
      <c r="AJ304" s="8"/>
      <c r="AL304" s="16">
        <v>4</v>
      </c>
      <c r="AM304" s="12">
        <f t="shared" si="58"/>
        <v>97000</v>
      </c>
      <c r="AN304" s="7">
        <f t="shared" si="59"/>
        <v>46573</v>
      </c>
      <c r="AO304" s="12">
        <f t="shared" si="60"/>
        <v>4800</v>
      </c>
      <c r="AP304" s="12">
        <f t="shared" si="61"/>
        <v>0</v>
      </c>
      <c r="AQ304" s="15">
        <f t="shared" si="62"/>
        <v>46158</v>
      </c>
      <c r="AR304" s="7">
        <f t="shared" si="63"/>
        <v>46513</v>
      </c>
      <c r="AS304" s="5">
        <v>1320</v>
      </c>
      <c r="AT304" s="7">
        <v>45915</v>
      </c>
      <c r="AU304" s="5" t="s">
        <v>78</v>
      </c>
      <c r="AV304" s="17">
        <v>227</v>
      </c>
      <c r="AW304" s="37">
        <v>46003</v>
      </c>
      <c r="AX304" s="5" t="s">
        <v>355</v>
      </c>
      <c r="AY304" s="5" t="s">
        <v>609</v>
      </c>
      <c r="AZ304" s="45" t="s">
        <v>910</v>
      </c>
      <c r="BA304" s="12">
        <v>97000</v>
      </c>
      <c r="BB304" s="7">
        <v>45934</v>
      </c>
      <c r="BC304" s="14"/>
      <c r="BD304" s="14"/>
      <c r="BF304" s="12"/>
      <c r="BG304" s="14"/>
      <c r="BH304" s="19">
        <v>46003</v>
      </c>
      <c r="BI304" s="5">
        <v>1691</v>
      </c>
      <c r="BJ304" s="19">
        <v>46003</v>
      </c>
      <c r="BM304" s="18"/>
      <c r="BN304" s="18"/>
      <c r="BO304" s="18"/>
      <c r="BP304" s="18"/>
      <c r="BQ304" s="5"/>
      <c r="BR304" s="18"/>
      <c r="BS304" s="18"/>
      <c r="BT304" s="35">
        <f t="shared" si="65"/>
        <v>46123</v>
      </c>
    </row>
    <row r="305" spans="1:72" ht="43.5" x14ac:dyDescent="0.35">
      <c r="A305" s="5">
        <v>304</v>
      </c>
      <c r="B305" s="5"/>
      <c r="C305" s="5" t="s">
        <v>78</v>
      </c>
      <c r="D305" s="5">
        <v>14</v>
      </c>
      <c r="E305" s="5">
        <v>23</v>
      </c>
      <c r="F305" s="8" t="s">
        <v>663</v>
      </c>
      <c r="G305" s="8"/>
      <c r="H305" s="5" t="s">
        <v>12</v>
      </c>
      <c r="I305" s="5" t="str" cm="1">
        <f t="array" ref="I305">_xlfn.IFS(
  H305="Mahuva", "Mahuva",
  H305="Jesar", "Mahuva",
  H305="Palitana", "Palitana",
  H305="Gariyadhar", "Palitana",
  H305="Talaja", "Talaja",
  H305="Vallabhipur", "Vallabhipur",
  H305="Umrala", "Vallabhipur",
  H305="Shihor", "Shihor",
  H305="Ghogha", "Bhavnagar",
  H305="Bhavnagar", "Bhavnagar"
)</f>
        <v>Mahuva</v>
      </c>
      <c r="J305" s="5" t="s">
        <v>256</v>
      </c>
      <c r="K305" s="5" t="s">
        <v>418</v>
      </c>
      <c r="L305" s="5">
        <v>211805</v>
      </c>
      <c r="M305" s="5"/>
      <c r="N305" s="7">
        <v>45872</v>
      </c>
      <c r="O305" s="7">
        <v>45880</v>
      </c>
      <c r="P305" s="7">
        <v>45881</v>
      </c>
      <c r="Q305" s="7">
        <f t="shared" si="53"/>
        <v>46000</v>
      </c>
      <c r="R305" s="9">
        <v>2079935.08</v>
      </c>
      <c r="S305" s="33"/>
      <c r="T305" s="9">
        <v>1928723.8</v>
      </c>
      <c r="U305" s="10">
        <v>-7.27</v>
      </c>
      <c r="V305" s="10" t="str">
        <f t="shared" si="54"/>
        <v>Below</v>
      </c>
      <c r="W305" s="11" t="str" cm="1">
        <f t="array" ref="W305">NumberToWords(T305)</f>
        <v>Nineteen Lakh Twenty Eight Thousand Seven Hundred Twenty Three Rupees and Eight Paise Only</v>
      </c>
      <c r="X305" s="10" t="str">
        <f t="shared" si="55"/>
        <v>Division</v>
      </c>
      <c r="Z305" s="9">
        <f t="shared" si="56"/>
        <v>1928723.8</v>
      </c>
      <c r="AA305" s="5" t="s">
        <v>634</v>
      </c>
      <c r="AB305" s="8">
        <f>_xlfn.XLOOKUP(AA305, 'Agency List'!A$2:A$145, 'Agency List'!B$2:B$145, "Not Found")</f>
        <v>0</v>
      </c>
      <c r="AC305" s="8" t="str">
        <f>_xlfn.XLOOKUP(AA305, 'Agency List'!A$2:A$145, 'Agency List'!C$2:C$145, "Not Found")</f>
        <v>Plot No. 233, Nu.N.Yo. No.3, Near Muni Nagar, Mahuva</v>
      </c>
      <c r="AD305" s="8">
        <f>_xlfn.XLOOKUP(AA305, 'Agency List'!A$2:A$145, 'Agency List'!D$2:D$145, "Not Found")</f>
        <v>9824837530</v>
      </c>
      <c r="AE305" s="7"/>
      <c r="AF305" s="5" t="s">
        <v>357</v>
      </c>
      <c r="AG305" s="5" t="str">
        <f t="shared" si="57"/>
        <v>Bandhkam</v>
      </c>
      <c r="AH305" s="5"/>
      <c r="AI305" s="8"/>
      <c r="AJ305" s="8"/>
      <c r="AL305" s="16">
        <v>4</v>
      </c>
      <c r="AM305" s="12">
        <f t="shared" si="58"/>
        <v>97000</v>
      </c>
      <c r="AN305" s="7">
        <f t="shared" si="59"/>
        <v>46573</v>
      </c>
      <c r="AO305" s="12">
        <f t="shared" si="60"/>
        <v>4800</v>
      </c>
      <c r="AP305" s="12">
        <f t="shared" si="61"/>
        <v>0</v>
      </c>
      <c r="AQ305" s="15">
        <f t="shared" si="62"/>
        <v>46158</v>
      </c>
      <c r="AR305" s="7">
        <f t="shared" si="63"/>
        <v>46513</v>
      </c>
      <c r="AS305" s="5">
        <v>1325</v>
      </c>
      <c r="AT305" s="7">
        <v>45915</v>
      </c>
      <c r="AU305" s="5" t="s">
        <v>78</v>
      </c>
      <c r="AV305" s="17">
        <v>228</v>
      </c>
      <c r="AW305" s="37">
        <v>46003</v>
      </c>
      <c r="AX305" s="5" t="s">
        <v>355</v>
      </c>
      <c r="AY305" s="5" t="s">
        <v>609</v>
      </c>
      <c r="AZ305" s="45" t="s">
        <v>911</v>
      </c>
      <c r="BA305" s="12">
        <v>97000</v>
      </c>
      <c r="BB305" s="7">
        <v>45934</v>
      </c>
      <c r="BC305" s="14"/>
      <c r="BD305" s="14"/>
      <c r="BF305" s="12"/>
      <c r="BG305" s="14"/>
      <c r="BH305" s="19">
        <v>46003</v>
      </c>
      <c r="BI305" s="5">
        <v>1692</v>
      </c>
      <c r="BJ305" s="19">
        <v>46003</v>
      </c>
      <c r="BM305" s="18"/>
      <c r="BN305" s="18"/>
      <c r="BO305" s="18"/>
      <c r="BP305" s="18"/>
      <c r="BQ305" s="5"/>
      <c r="BR305" s="18"/>
      <c r="BS305" s="18"/>
      <c r="BT305" s="35">
        <f t="shared" si="65"/>
        <v>46123</v>
      </c>
    </row>
    <row r="306" spans="1:72" ht="43.5" x14ac:dyDescent="0.35">
      <c r="A306" s="5">
        <v>305</v>
      </c>
      <c r="B306" s="5"/>
      <c r="C306" s="5" t="s">
        <v>78</v>
      </c>
      <c r="D306" s="5">
        <v>14</v>
      </c>
      <c r="E306" s="5">
        <v>24</v>
      </c>
      <c r="F306" s="8" t="s">
        <v>664</v>
      </c>
      <c r="G306" s="8"/>
      <c r="H306" s="5" t="s">
        <v>12</v>
      </c>
      <c r="I306" s="5" t="str" cm="1">
        <f t="array" ref="I306">_xlfn.IFS(
  H306="Mahuva", "Mahuva",
  H306="Jesar", "Mahuva",
  H306="Palitana", "Palitana",
  H306="Gariyadhar", "Palitana",
  H306="Talaja", "Talaja",
  H306="Vallabhipur", "Vallabhipur",
  H306="Umrala", "Vallabhipur",
  H306="Shihor", "Shihor",
  H306="Ghogha", "Bhavnagar",
  H306="Bhavnagar", "Bhavnagar"
)</f>
        <v>Mahuva</v>
      </c>
      <c r="J306" s="5" t="s">
        <v>256</v>
      </c>
      <c r="K306" s="5" t="s">
        <v>418</v>
      </c>
      <c r="L306" s="5">
        <v>211806</v>
      </c>
      <c r="M306" s="5"/>
      <c r="N306" s="7">
        <v>45872</v>
      </c>
      <c r="O306" s="7">
        <v>45880</v>
      </c>
      <c r="P306" s="7">
        <v>45881</v>
      </c>
      <c r="Q306" s="7">
        <f t="shared" si="53"/>
        <v>46000</v>
      </c>
      <c r="R306" s="9">
        <v>2079935.08</v>
      </c>
      <c r="S306" s="33"/>
      <c r="T306" s="9">
        <v>2038336.38</v>
      </c>
      <c r="U306" s="10">
        <v>-2</v>
      </c>
      <c r="V306" s="10" t="str">
        <f t="shared" si="54"/>
        <v>Below</v>
      </c>
      <c r="W306" s="11" t="str" cm="1">
        <f t="array" ref="W306">NumberToWords(T306)</f>
        <v>Twenty Lakh Thirty Eight Thousand Three Hundred Thirty Six Rupees and Thirty Eight Paise Only</v>
      </c>
      <c r="X306" s="10" t="str">
        <f t="shared" si="55"/>
        <v>Division</v>
      </c>
      <c r="Z306" s="9">
        <f t="shared" si="56"/>
        <v>2038336.38</v>
      </c>
      <c r="AA306" s="5" t="s">
        <v>633</v>
      </c>
      <c r="AB306" s="8" t="str">
        <f>_xlfn.XLOOKUP(AA306, 'Agency List'!A$2:A$145, 'Agency List'!B$2:B$145, "Not Found")</f>
        <v>Chhelana Vipul Hadabhai</v>
      </c>
      <c r="AC306" s="8" t="str">
        <f>_xlfn.XLOOKUP(AA306, 'Agency List'!A$2:A$145, 'Agency List'!C$2:C$145, "Not Found")</f>
        <v>At Survey No. 4 P, Shiv Hotel, Rohisha Chowkadi, Mahuva, Dist. Bhavnagar</v>
      </c>
      <c r="AD306" s="8">
        <f>_xlfn.XLOOKUP(AA306, 'Agency List'!A$2:A$145, 'Agency List'!D$2:D$145, "Not Found")</f>
        <v>7405505555</v>
      </c>
      <c r="AE306" s="7"/>
      <c r="AF306" s="5" t="s">
        <v>357</v>
      </c>
      <c r="AG306" s="5" t="str">
        <f t="shared" si="57"/>
        <v>Bandhkam</v>
      </c>
      <c r="AH306" s="5"/>
      <c r="AI306" s="8"/>
      <c r="AJ306" s="8"/>
      <c r="AL306" s="16">
        <v>4</v>
      </c>
      <c r="AM306" s="12">
        <f t="shared" si="58"/>
        <v>102000</v>
      </c>
      <c r="AN306" s="7">
        <f t="shared" si="59"/>
        <v>46515</v>
      </c>
      <c r="AO306" s="12">
        <f t="shared" si="60"/>
        <v>5000</v>
      </c>
      <c r="AP306" s="12">
        <f t="shared" si="61"/>
        <v>0</v>
      </c>
      <c r="AQ306" s="15">
        <f t="shared" si="62"/>
        <v>46100</v>
      </c>
      <c r="AR306" s="7">
        <f t="shared" si="63"/>
        <v>46455</v>
      </c>
      <c r="AS306" s="5">
        <v>1366</v>
      </c>
      <c r="AT306" s="7">
        <v>45922</v>
      </c>
      <c r="AU306" s="5" t="s">
        <v>78</v>
      </c>
      <c r="AV306" s="17">
        <v>173</v>
      </c>
      <c r="AW306" s="37">
        <v>45943</v>
      </c>
      <c r="AX306" s="5" t="s">
        <v>355</v>
      </c>
      <c r="AY306" s="5" t="s">
        <v>790</v>
      </c>
      <c r="AZ306" s="45" t="s">
        <v>792</v>
      </c>
      <c r="BA306" s="12">
        <v>102000</v>
      </c>
      <c r="BB306" s="7">
        <v>45937</v>
      </c>
      <c r="BC306" s="14"/>
      <c r="BD306" s="14"/>
      <c r="BF306" s="12"/>
      <c r="BG306" s="14"/>
      <c r="BH306" s="19">
        <v>45945</v>
      </c>
      <c r="BI306" s="5">
        <v>1462</v>
      </c>
      <c r="BJ306" s="19">
        <v>45943</v>
      </c>
      <c r="BM306" s="18"/>
      <c r="BN306" s="18"/>
      <c r="BO306" s="18"/>
      <c r="BP306" s="18"/>
      <c r="BQ306" s="5"/>
      <c r="BR306" s="18"/>
      <c r="BS306" s="18"/>
      <c r="BT306" s="35">
        <f t="shared" si="65"/>
        <v>46065</v>
      </c>
    </row>
    <row r="307" spans="1:72" ht="43.5" x14ac:dyDescent="0.35">
      <c r="A307" s="5">
        <v>306</v>
      </c>
      <c r="B307" s="5"/>
      <c r="C307" s="5" t="s">
        <v>78</v>
      </c>
      <c r="D307" s="5">
        <v>14</v>
      </c>
      <c r="E307" s="5">
        <v>25</v>
      </c>
      <c r="F307" s="8" t="s">
        <v>665</v>
      </c>
      <c r="G307" s="8"/>
      <c r="H307" s="5" t="s">
        <v>12</v>
      </c>
      <c r="I307" s="5" t="str" cm="1">
        <f t="array" ref="I307">_xlfn.IFS(
  H307="Mahuva", "Mahuva",
  H307="Jesar", "Mahuva",
  H307="Palitana", "Palitana",
  H307="Gariyadhar", "Palitana",
  H307="Talaja", "Talaja",
  H307="Vallabhipur", "Vallabhipur",
  H307="Umrala", "Vallabhipur",
  H307="Shihor", "Shihor",
  H307="Ghogha", "Bhavnagar",
  H307="Bhavnagar", "Bhavnagar"
)</f>
        <v>Mahuva</v>
      </c>
      <c r="J307" s="5" t="s">
        <v>256</v>
      </c>
      <c r="K307" s="5" t="s">
        <v>418</v>
      </c>
      <c r="L307" s="5">
        <v>211820</v>
      </c>
      <c r="M307" s="5"/>
      <c r="N307" s="7">
        <v>45872</v>
      </c>
      <c r="O307" s="7">
        <v>45880</v>
      </c>
      <c r="P307" s="7">
        <v>45881</v>
      </c>
      <c r="Q307" s="7">
        <f t="shared" si="53"/>
        <v>46000</v>
      </c>
      <c r="R307" s="9">
        <v>2079935.08</v>
      </c>
      <c r="S307" s="33"/>
      <c r="T307" s="9">
        <v>1928723.8</v>
      </c>
      <c r="U307" s="10">
        <v>-7.27</v>
      </c>
      <c r="V307" s="10" t="str">
        <f t="shared" si="54"/>
        <v>Below</v>
      </c>
      <c r="W307" s="11" t="str" cm="1">
        <f t="array" ref="W307">NumberToWords(T307)</f>
        <v>Nineteen Lakh Twenty Eight Thousand Seven Hundred Twenty Three Rupees and Eight Paise Only</v>
      </c>
      <c r="X307" s="10" t="str">
        <f t="shared" si="55"/>
        <v>Division</v>
      </c>
      <c r="Z307" s="9">
        <f t="shared" si="56"/>
        <v>1928723.8</v>
      </c>
      <c r="AA307" s="5" t="s">
        <v>634</v>
      </c>
      <c r="AB307" s="8">
        <f>_xlfn.XLOOKUP(AA307, 'Agency List'!A$2:A$145, 'Agency List'!B$2:B$145, "Not Found")</f>
        <v>0</v>
      </c>
      <c r="AC307" s="8" t="str">
        <f>_xlfn.XLOOKUP(AA307, 'Agency List'!A$2:A$145, 'Agency List'!C$2:C$145, "Not Found")</f>
        <v>Plot No. 233, Nu.N.Yo. No.3, Near Muni Nagar, Mahuva</v>
      </c>
      <c r="AD307" s="8">
        <f>_xlfn.XLOOKUP(AA307, 'Agency List'!A$2:A$145, 'Agency List'!D$2:D$145, "Not Found")</f>
        <v>9824837530</v>
      </c>
      <c r="AE307" s="7"/>
      <c r="AF307" s="5" t="s">
        <v>357</v>
      </c>
      <c r="AG307" s="5" t="str">
        <f t="shared" si="57"/>
        <v>Bandhkam</v>
      </c>
      <c r="AH307" s="5"/>
      <c r="AI307" s="8"/>
      <c r="AJ307" s="8"/>
      <c r="AL307" s="16">
        <v>4</v>
      </c>
      <c r="AM307" s="12">
        <f t="shared" si="58"/>
        <v>97000</v>
      </c>
      <c r="AN307" s="7">
        <f t="shared" si="59"/>
        <v>46573</v>
      </c>
      <c r="AO307" s="12">
        <f t="shared" si="60"/>
        <v>4800</v>
      </c>
      <c r="AP307" s="12">
        <f t="shared" si="61"/>
        <v>0</v>
      </c>
      <c r="AQ307" s="15">
        <f t="shared" si="62"/>
        <v>46158</v>
      </c>
      <c r="AR307" s="7">
        <f t="shared" si="63"/>
        <v>46513</v>
      </c>
      <c r="AS307" s="5">
        <v>1326</v>
      </c>
      <c r="AT307" s="7">
        <v>45915</v>
      </c>
      <c r="AU307" s="5" t="s">
        <v>78</v>
      </c>
      <c r="AV307" s="17">
        <v>229</v>
      </c>
      <c r="AW307" s="37">
        <v>46003</v>
      </c>
      <c r="AX307" s="5" t="s">
        <v>355</v>
      </c>
      <c r="AY307" s="5" t="s">
        <v>609</v>
      </c>
      <c r="AZ307" s="45" t="s">
        <v>912</v>
      </c>
      <c r="BA307" s="12">
        <v>97000</v>
      </c>
      <c r="BB307" s="7">
        <v>45934</v>
      </c>
      <c r="BC307" s="14"/>
      <c r="BD307" s="14"/>
      <c r="BF307" s="12"/>
      <c r="BG307" s="14"/>
      <c r="BH307" s="19">
        <v>46003</v>
      </c>
      <c r="BI307" s="5">
        <v>1693</v>
      </c>
      <c r="BJ307" s="19">
        <v>46003</v>
      </c>
      <c r="BM307" s="18"/>
      <c r="BN307" s="18"/>
      <c r="BO307" s="18"/>
      <c r="BP307" s="18"/>
      <c r="BQ307" s="5"/>
      <c r="BR307" s="18"/>
      <c r="BS307" s="18"/>
      <c r="BT307" s="35">
        <f t="shared" si="65"/>
        <v>46123</v>
      </c>
    </row>
    <row r="308" spans="1:72" ht="43.5" x14ac:dyDescent="0.35">
      <c r="A308" s="5">
        <v>307</v>
      </c>
      <c r="B308" s="5"/>
      <c r="C308" s="5" t="s">
        <v>78</v>
      </c>
      <c r="D308" s="5">
        <v>14</v>
      </c>
      <c r="E308" s="5">
        <v>26</v>
      </c>
      <c r="F308" s="8" t="s">
        <v>666</v>
      </c>
      <c r="G308" s="8"/>
      <c r="H308" s="5" t="s">
        <v>12</v>
      </c>
      <c r="I308" s="5" t="str" cm="1">
        <f t="array" ref="I308">_xlfn.IFS(
  H308="Mahuva", "Mahuva",
  H308="Jesar", "Mahuva",
  H308="Palitana", "Palitana",
  H308="Gariyadhar", "Palitana",
  H308="Talaja", "Talaja",
  H308="Vallabhipur", "Vallabhipur",
  H308="Umrala", "Vallabhipur",
  H308="Shihor", "Shihor",
  H308="Ghogha", "Bhavnagar",
  H308="Bhavnagar", "Bhavnagar"
)</f>
        <v>Mahuva</v>
      </c>
      <c r="J308" s="5" t="s">
        <v>256</v>
      </c>
      <c r="K308" s="5" t="s">
        <v>418</v>
      </c>
      <c r="L308" s="5">
        <v>211821</v>
      </c>
      <c r="M308" s="5"/>
      <c r="N308" s="7">
        <v>45872</v>
      </c>
      <c r="O308" s="7">
        <v>45880</v>
      </c>
      <c r="P308" s="7">
        <v>45881</v>
      </c>
      <c r="Q308" s="7">
        <f t="shared" si="53"/>
        <v>46000</v>
      </c>
      <c r="R308" s="9">
        <v>2079935.08</v>
      </c>
      <c r="S308" s="33"/>
      <c r="T308" s="9">
        <v>1955138.98</v>
      </c>
      <c r="U308" s="10">
        <v>-6</v>
      </c>
      <c r="V308" s="10" t="str">
        <f t="shared" si="54"/>
        <v>Below</v>
      </c>
      <c r="W308" s="11" t="str" cm="1">
        <f t="array" ref="W308">NumberToWords(T308)</f>
        <v>Nineteen Lakh Fifty Five Thousand One Hundred Thirty Eight Rupees and Ninety Eight Paise Only</v>
      </c>
      <c r="X308" s="10" t="str">
        <f t="shared" si="55"/>
        <v>Division</v>
      </c>
      <c r="Z308" s="9">
        <f t="shared" si="56"/>
        <v>1955138.98</v>
      </c>
      <c r="AA308" s="5" t="s">
        <v>633</v>
      </c>
      <c r="AB308" s="8" t="str">
        <f>_xlfn.XLOOKUP(AA308, 'Agency List'!A$2:A$145, 'Agency List'!B$2:B$145, "Not Found")</f>
        <v>Chhelana Vipul Hadabhai</v>
      </c>
      <c r="AC308" s="8" t="str">
        <f>_xlfn.XLOOKUP(AA308, 'Agency List'!A$2:A$145, 'Agency List'!C$2:C$145, "Not Found")</f>
        <v>At Survey No. 4 P, Shiv Hotel, Rohisha Chowkadi, Mahuva, Dist. Bhavnagar</v>
      </c>
      <c r="AD308" s="8">
        <f>_xlfn.XLOOKUP(AA308, 'Agency List'!A$2:A$145, 'Agency List'!D$2:D$145, "Not Found")</f>
        <v>7405505555</v>
      </c>
      <c r="AE308" s="7"/>
      <c r="AF308" s="5" t="s">
        <v>357</v>
      </c>
      <c r="AG308" s="5" t="str">
        <f t="shared" si="57"/>
        <v>Bandhkam</v>
      </c>
      <c r="AH308" s="5"/>
      <c r="AI308" s="8"/>
      <c r="AJ308" s="8"/>
      <c r="AL308" s="16">
        <v>4</v>
      </c>
      <c r="AM308" s="12">
        <f t="shared" si="58"/>
        <v>98000</v>
      </c>
      <c r="AN308" s="7">
        <f t="shared" si="59"/>
        <v>46515</v>
      </c>
      <c r="AO308" s="12">
        <f t="shared" si="60"/>
        <v>4900</v>
      </c>
      <c r="AP308" s="12">
        <f t="shared" si="61"/>
        <v>0</v>
      </c>
      <c r="AQ308" s="15">
        <f t="shared" si="62"/>
        <v>46100</v>
      </c>
      <c r="AR308" s="7">
        <f t="shared" si="63"/>
        <v>46455</v>
      </c>
      <c r="AS308" s="5">
        <v>1371</v>
      </c>
      <c r="AT308" s="7">
        <v>45922</v>
      </c>
      <c r="AU308" s="5" t="s">
        <v>78</v>
      </c>
      <c r="AV308" s="17">
        <v>172</v>
      </c>
      <c r="AW308" s="37">
        <v>45943</v>
      </c>
      <c r="AX308" s="5" t="s">
        <v>355</v>
      </c>
      <c r="AY308" s="5" t="s">
        <v>790</v>
      </c>
      <c r="AZ308" s="45" t="s">
        <v>791</v>
      </c>
      <c r="BA308" s="12">
        <v>98000</v>
      </c>
      <c r="BB308" s="7">
        <v>45937</v>
      </c>
      <c r="BC308" s="14"/>
      <c r="BD308" s="14"/>
      <c r="BF308" s="12"/>
      <c r="BG308" s="14"/>
      <c r="BH308" s="19">
        <v>45945</v>
      </c>
      <c r="BI308" s="5">
        <v>1456</v>
      </c>
      <c r="BJ308" s="19">
        <v>45943</v>
      </c>
      <c r="BM308" s="18"/>
      <c r="BN308" s="18"/>
      <c r="BO308" s="18"/>
      <c r="BP308" s="18"/>
      <c r="BQ308" s="5"/>
      <c r="BR308" s="18"/>
      <c r="BS308" s="18"/>
      <c r="BT308" s="35">
        <f t="shared" si="65"/>
        <v>46065</v>
      </c>
    </row>
    <row r="309" spans="1:72" ht="43.5" x14ac:dyDescent="0.35">
      <c r="A309" s="5">
        <v>308</v>
      </c>
      <c r="B309" s="5"/>
      <c r="C309" s="5" t="s">
        <v>78</v>
      </c>
      <c r="D309" s="5">
        <v>14</v>
      </c>
      <c r="E309" s="5">
        <v>27</v>
      </c>
      <c r="F309" s="8" t="s">
        <v>667</v>
      </c>
      <c r="G309" s="8"/>
      <c r="H309" s="5" t="s">
        <v>12</v>
      </c>
      <c r="I309" s="5" t="str" cm="1">
        <f t="array" ref="I309">_xlfn.IFS(
  H309="Mahuva", "Mahuva",
  H309="Jesar", "Mahuva",
  H309="Palitana", "Palitana",
  H309="Gariyadhar", "Palitana",
  H309="Talaja", "Talaja",
  H309="Vallabhipur", "Vallabhipur",
  H309="Umrala", "Vallabhipur",
  H309="Shihor", "Shihor",
  H309="Ghogha", "Bhavnagar",
  H309="Bhavnagar", "Bhavnagar"
)</f>
        <v>Mahuva</v>
      </c>
      <c r="J309" s="5" t="s">
        <v>256</v>
      </c>
      <c r="K309" s="5" t="s">
        <v>418</v>
      </c>
      <c r="L309" s="5">
        <v>211822</v>
      </c>
      <c r="M309" s="5"/>
      <c r="N309" s="7">
        <v>45872</v>
      </c>
      <c r="O309" s="7">
        <v>45880</v>
      </c>
      <c r="P309" s="7">
        <v>45881</v>
      </c>
      <c r="Q309" s="7">
        <f t="shared" si="53"/>
        <v>46000</v>
      </c>
      <c r="R309" s="9">
        <v>2079935.08</v>
      </c>
      <c r="S309" s="33"/>
      <c r="T309" s="9">
        <v>1975938.33</v>
      </c>
      <c r="U309" s="10">
        <v>-5</v>
      </c>
      <c r="V309" s="10" t="str">
        <f t="shared" si="54"/>
        <v>Below</v>
      </c>
      <c r="W309" s="11" t="str" cm="1">
        <f t="array" ref="W309">NumberToWords(T309)</f>
        <v>Nineteen Lakh Seventy Five Thousand Nine Hundred Thirty Eight Rupees and Thirty Three Paise Only</v>
      </c>
      <c r="X309" s="10" t="str">
        <f t="shared" si="55"/>
        <v>Division</v>
      </c>
      <c r="Z309" s="9">
        <f t="shared" si="56"/>
        <v>1975938.33</v>
      </c>
      <c r="AA309" s="5" t="s">
        <v>633</v>
      </c>
      <c r="AB309" s="8" t="str">
        <f>_xlfn.XLOOKUP(AA309, 'Agency List'!A$2:A$145, 'Agency List'!B$2:B$145, "Not Found")</f>
        <v>Chhelana Vipul Hadabhai</v>
      </c>
      <c r="AC309" s="8" t="str">
        <f>_xlfn.XLOOKUP(AA309, 'Agency List'!A$2:A$145, 'Agency List'!C$2:C$145, "Not Found")</f>
        <v>At Survey No. 4 P, Shiv Hotel, Rohisha Chowkadi, Mahuva, Dist. Bhavnagar</v>
      </c>
      <c r="AD309" s="8">
        <f>_xlfn.XLOOKUP(AA309, 'Agency List'!A$2:A$145, 'Agency List'!D$2:D$145, "Not Found")</f>
        <v>7405505555</v>
      </c>
      <c r="AE309" s="7"/>
      <c r="AF309" s="5" t="s">
        <v>357</v>
      </c>
      <c r="AG309" s="5" t="str">
        <f t="shared" si="57"/>
        <v>Bandhkam</v>
      </c>
      <c r="AH309" s="5"/>
      <c r="AI309" s="8"/>
      <c r="AJ309" s="8"/>
      <c r="AL309" s="16">
        <v>4</v>
      </c>
      <c r="AM309" s="12">
        <f t="shared" si="58"/>
        <v>99000</v>
      </c>
      <c r="AN309" s="7">
        <f t="shared" si="59"/>
        <v>46515</v>
      </c>
      <c r="AO309" s="12">
        <f t="shared" si="60"/>
        <v>4900</v>
      </c>
      <c r="AP309" s="12">
        <f t="shared" si="61"/>
        <v>0</v>
      </c>
      <c r="AQ309" s="15">
        <f t="shared" si="62"/>
        <v>46100</v>
      </c>
      <c r="AR309" s="7">
        <f t="shared" si="63"/>
        <v>46455</v>
      </c>
      <c r="AS309" s="5">
        <v>1372</v>
      </c>
      <c r="AT309" s="7">
        <v>45915</v>
      </c>
      <c r="AU309" s="5" t="s">
        <v>78</v>
      </c>
      <c r="AV309" s="17">
        <v>175</v>
      </c>
      <c r="AW309" s="37">
        <v>45943</v>
      </c>
      <c r="AX309" s="5" t="s">
        <v>355</v>
      </c>
      <c r="AY309" s="5" t="s">
        <v>790</v>
      </c>
      <c r="AZ309" s="45" t="s">
        <v>794</v>
      </c>
      <c r="BA309" s="12">
        <v>99000</v>
      </c>
      <c r="BB309" s="7">
        <v>45937</v>
      </c>
      <c r="BC309" s="14"/>
      <c r="BD309" s="14"/>
      <c r="BF309" s="12"/>
      <c r="BG309" s="14"/>
      <c r="BH309" s="19">
        <v>45945</v>
      </c>
      <c r="BI309" s="5">
        <v>1463</v>
      </c>
      <c r="BJ309" s="19">
        <v>45943</v>
      </c>
      <c r="BM309" s="18"/>
      <c r="BN309" s="18"/>
      <c r="BO309" s="18"/>
      <c r="BP309" s="18"/>
      <c r="BQ309" s="5"/>
      <c r="BR309" s="18"/>
      <c r="BS309" s="18"/>
      <c r="BT309" s="35">
        <f t="shared" si="65"/>
        <v>46065</v>
      </c>
    </row>
    <row r="310" spans="1:72" ht="43.5" x14ac:dyDescent="0.35">
      <c r="A310" s="5">
        <v>309</v>
      </c>
      <c r="B310" s="5"/>
      <c r="C310" s="5" t="s">
        <v>78</v>
      </c>
      <c r="D310" s="5">
        <v>14</v>
      </c>
      <c r="E310" s="5">
        <v>28</v>
      </c>
      <c r="F310" s="8" t="s">
        <v>668</v>
      </c>
      <c r="G310" s="8"/>
      <c r="H310" s="5" t="s">
        <v>12</v>
      </c>
      <c r="I310" s="5" t="str" cm="1">
        <f t="array" ref="I310">_xlfn.IFS(
  H310="Mahuva", "Mahuva",
  H310="Jesar", "Mahuva",
  H310="Palitana", "Palitana",
  H310="Gariyadhar", "Palitana",
  H310="Talaja", "Talaja",
  H310="Vallabhipur", "Vallabhipur",
  H310="Umrala", "Vallabhipur",
  H310="Shihor", "Shihor",
  H310="Ghogha", "Bhavnagar",
  H310="Bhavnagar", "Bhavnagar"
)</f>
        <v>Mahuva</v>
      </c>
      <c r="J310" s="5" t="s">
        <v>256</v>
      </c>
      <c r="K310" s="5" t="s">
        <v>418</v>
      </c>
      <c r="L310" s="5">
        <v>211823</v>
      </c>
      <c r="M310" s="5"/>
      <c r="N310" s="7">
        <v>45872</v>
      </c>
      <c r="O310" s="7">
        <v>45880</v>
      </c>
      <c r="P310" s="7">
        <v>45881</v>
      </c>
      <c r="Q310" s="7">
        <f t="shared" si="53"/>
        <v>46000</v>
      </c>
      <c r="R310" s="9">
        <v>2079935.08</v>
      </c>
      <c r="S310" s="33"/>
      <c r="T310" s="9">
        <v>1934339.62</v>
      </c>
      <c r="U310" s="10">
        <v>-7</v>
      </c>
      <c r="V310" s="10" t="str">
        <f t="shared" si="54"/>
        <v>Below</v>
      </c>
      <c r="W310" s="11" t="str" cm="1">
        <f t="array" ref="W310">NumberToWords(T310)</f>
        <v>Nineteen Lakh Thirty Four Thousand Three Hundred Thirty Nine Rupees and Sixty Two Paise Only</v>
      </c>
      <c r="X310" s="10" t="str">
        <f t="shared" si="55"/>
        <v>Division</v>
      </c>
      <c r="Z310" s="9">
        <f t="shared" si="56"/>
        <v>1934339.62</v>
      </c>
      <c r="AA310" s="5" t="s">
        <v>633</v>
      </c>
      <c r="AB310" s="8" t="str">
        <f>_xlfn.XLOOKUP(AA310, 'Agency List'!A$2:A$145, 'Agency List'!B$2:B$145, "Not Found")</f>
        <v>Chhelana Vipul Hadabhai</v>
      </c>
      <c r="AC310" s="8" t="str">
        <f>_xlfn.XLOOKUP(AA310, 'Agency List'!A$2:A$145, 'Agency List'!C$2:C$145, "Not Found")</f>
        <v>At Survey No. 4 P, Shiv Hotel, Rohisha Chowkadi, Mahuva, Dist. Bhavnagar</v>
      </c>
      <c r="AD310" s="8">
        <f>_xlfn.XLOOKUP(AA310, 'Agency List'!A$2:A$145, 'Agency List'!D$2:D$145, "Not Found")</f>
        <v>7405505555</v>
      </c>
      <c r="AE310" s="7"/>
      <c r="AF310" s="5" t="s">
        <v>357</v>
      </c>
      <c r="AG310" s="5" t="str">
        <f t="shared" si="57"/>
        <v>Bandhkam</v>
      </c>
      <c r="AH310" s="5"/>
      <c r="AI310" s="8"/>
      <c r="AJ310" s="8"/>
      <c r="AL310" s="16">
        <v>4</v>
      </c>
      <c r="AM310" s="12">
        <f t="shared" si="58"/>
        <v>97000</v>
      </c>
      <c r="AN310" s="7">
        <f t="shared" si="59"/>
        <v>46515</v>
      </c>
      <c r="AO310" s="12">
        <f t="shared" si="60"/>
        <v>4800</v>
      </c>
      <c r="AP310" s="12">
        <f t="shared" si="61"/>
        <v>0</v>
      </c>
      <c r="AQ310" s="15">
        <f t="shared" si="62"/>
        <v>46100</v>
      </c>
      <c r="AR310" s="7">
        <f t="shared" si="63"/>
        <v>46455</v>
      </c>
      <c r="AS310" s="5">
        <v>1368</v>
      </c>
      <c r="AT310" s="7">
        <v>45922</v>
      </c>
      <c r="AU310" s="5" t="s">
        <v>78</v>
      </c>
      <c r="AV310" s="17">
        <v>174</v>
      </c>
      <c r="AW310" s="37">
        <v>45943</v>
      </c>
      <c r="AX310" s="5" t="s">
        <v>355</v>
      </c>
      <c r="AY310" s="5" t="s">
        <v>790</v>
      </c>
      <c r="AZ310" s="45" t="s">
        <v>793</v>
      </c>
      <c r="BA310" s="12">
        <v>97000</v>
      </c>
      <c r="BB310" s="7">
        <v>45937</v>
      </c>
      <c r="BC310" s="14"/>
      <c r="BD310" s="14"/>
      <c r="BF310" s="12"/>
      <c r="BG310" s="14"/>
      <c r="BH310" s="19">
        <v>45945</v>
      </c>
      <c r="BI310" s="5">
        <v>1464</v>
      </c>
      <c r="BJ310" s="19">
        <v>45943</v>
      </c>
      <c r="BM310" s="18"/>
      <c r="BN310" s="18"/>
      <c r="BO310" s="18"/>
      <c r="BP310" s="18"/>
      <c r="BQ310" s="5"/>
      <c r="BR310" s="18"/>
      <c r="BS310" s="18"/>
      <c r="BT310" s="35">
        <f t="shared" si="65"/>
        <v>46065</v>
      </c>
    </row>
    <row r="311" spans="1:72" ht="43.5" x14ac:dyDescent="0.35">
      <c r="A311" s="5">
        <v>310</v>
      </c>
      <c r="B311" s="5"/>
      <c r="C311" s="5" t="s">
        <v>78</v>
      </c>
      <c r="D311" s="5">
        <v>14</v>
      </c>
      <c r="E311" s="5">
        <v>29</v>
      </c>
      <c r="F311" s="8" t="s">
        <v>669</v>
      </c>
      <c r="G311" s="8"/>
      <c r="H311" s="5" t="s">
        <v>12</v>
      </c>
      <c r="I311" s="5" t="str" cm="1">
        <f t="array" ref="I311">_xlfn.IFS(
  H311="Mahuva", "Mahuva",
  H311="Jesar", "Mahuva",
  H311="Palitana", "Palitana",
  H311="Gariyadhar", "Palitana",
  H311="Talaja", "Talaja",
  H311="Vallabhipur", "Vallabhipur",
  H311="Umrala", "Vallabhipur",
  H311="Shihor", "Shihor",
  H311="Ghogha", "Bhavnagar",
  H311="Bhavnagar", "Bhavnagar"
)</f>
        <v>Mahuva</v>
      </c>
      <c r="J311" s="5" t="s">
        <v>256</v>
      </c>
      <c r="K311" s="5" t="s">
        <v>418</v>
      </c>
      <c r="L311" s="5">
        <v>211824</v>
      </c>
      <c r="M311" s="5"/>
      <c r="N311" s="7">
        <v>45872</v>
      </c>
      <c r="O311" s="7">
        <v>45880</v>
      </c>
      <c r="P311" s="7">
        <v>45881</v>
      </c>
      <c r="Q311" s="7">
        <f t="shared" si="53"/>
        <v>46000</v>
      </c>
      <c r="R311" s="9">
        <v>2079935.08</v>
      </c>
      <c r="S311" s="33"/>
      <c r="T311" s="9">
        <v>1934339.62</v>
      </c>
      <c r="U311" s="10">
        <v>-7</v>
      </c>
      <c r="V311" s="10" t="str">
        <f t="shared" si="54"/>
        <v>Below</v>
      </c>
      <c r="W311" s="11" t="str" cm="1">
        <f t="array" ref="W311">NumberToWords(T311)</f>
        <v>Nineteen Lakh Thirty Four Thousand Three Hundred Thirty Nine Rupees and Sixty Two Paise Only</v>
      </c>
      <c r="X311" s="10" t="str">
        <f t="shared" si="55"/>
        <v>Division</v>
      </c>
      <c r="Z311" s="9">
        <f t="shared" si="56"/>
        <v>1934339.62</v>
      </c>
      <c r="AA311" s="5" t="s">
        <v>633</v>
      </c>
      <c r="AB311" s="8" t="str">
        <f>_xlfn.XLOOKUP(AA311, 'Agency List'!A$2:A$145, 'Agency List'!B$2:B$145, "Not Found")</f>
        <v>Chhelana Vipul Hadabhai</v>
      </c>
      <c r="AC311" s="8" t="str">
        <f>_xlfn.XLOOKUP(AA311, 'Agency List'!A$2:A$145, 'Agency List'!C$2:C$145, "Not Found")</f>
        <v>At Survey No. 4 P, Shiv Hotel, Rohisha Chowkadi, Mahuva, Dist. Bhavnagar</v>
      </c>
      <c r="AD311" s="8">
        <f>_xlfn.XLOOKUP(AA311, 'Agency List'!A$2:A$145, 'Agency List'!D$2:D$145, "Not Found")</f>
        <v>7405505555</v>
      </c>
      <c r="AE311" s="7"/>
      <c r="AF311" s="5" t="s">
        <v>357</v>
      </c>
      <c r="AG311" s="5" t="str">
        <f t="shared" si="57"/>
        <v>Bandhkam</v>
      </c>
      <c r="AH311" s="5"/>
      <c r="AI311" s="8"/>
      <c r="AJ311" s="8"/>
      <c r="AL311" s="16">
        <v>4</v>
      </c>
      <c r="AM311" s="12">
        <f t="shared" si="58"/>
        <v>97000</v>
      </c>
      <c r="AN311" s="7">
        <f t="shared" si="59"/>
        <v>46515</v>
      </c>
      <c r="AO311" s="12">
        <f t="shared" si="60"/>
        <v>4800</v>
      </c>
      <c r="AP311" s="12">
        <f t="shared" si="61"/>
        <v>0</v>
      </c>
      <c r="AQ311" s="15">
        <f t="shared" si="62"/>
        <v>46100</v>
      </c>
      <c r="AR311" s="7">
        <f t="shared" si="63"/>
        <v>46455</v>
      </c>
      <c r="AS311" s="5">
        <v>1363</v>
      </c>
      <c r="AT311" s="7">
        <v>45922</v>
      </c>
      <c r="AU311" s="5" t="s">
        <v>78</v>
      </c>
      <c r="AV311" s="17">
        <v>180</v>
      </c>
      <c r="AW311" s="37">
        <v>45943</v>
      </c>
      <c r="AX311" s="5" t="s">
        <v>355</v>
      </c>
      <c r="AY311" s="5" t="s">
        <v>790</v>
      </c>
      <c r="AZ311" s="45" t="s">
        <v>799</v>
      </c>
      <c r="BA311" s="12">
        <v>97000</v>
      </c>
      <c r="BB311" s="7">
        <v>45937</v>
      </c>
      <c r="BC311" s="14"/>
      <c r="BD311" s="14"/>
      <c r="BF311" s="12"/>
      <c r="BG311" s="14"/>
      <c r="BH311" s="19">
        <v>45945</v>
      </c>
      <c r="BI311" s="5">
        <v>1465</v>
      </c>
      <c r="BJ311" s="19">
        <v>45943</v>
      </c>
      <c r="BM311" s="18"/>
      <c r="BN311" s="18"/>
      <c r="BO311" s="18"/>
      <c r="BP311" s="18"/>
      <c r="BQ311" s="5"/>
      <c r="BR311" s="18"/>
      <c r="BS311" s="18"/>
      <c r="BT311" s="35">
        <f t="shared" si="65"/>
        <v>46065</v>
      </c>
    </row>
    <row r="312" spans="1:72" ht="43.5" x14ac:dyDescent="0.35">
      <c r="A312" s="5">
        <v>311</v>
      </c>
      <c r="B312" s="5"/>
      <c r="C312" s="5" t="s">
        <v>78</v>
      </c>
      <c r="D312" s="5">
        <v>14</v>
      </c>
      <c r="E312" s="5">
        <v>30</v>
      </c>
      <c r="F312" s="8" t="s">
        <v>670</v>
      </c>
      <c r="G312" s="8"/>
      <c r="H312" s="5" t="s">
        <v>3</v>
      </c>
      <c r="I312" s="5" t="str" cm="1">
        <f t="array" ref="I312">_xlfn.IFS(
  H312="Mahuva", "Mahuva",
  H312="Jesar", "Mahuva",
  H312="Palitana", "Palitana",
  H312="Gariyadhar", "Palitana",
  H312="Talaja", "Talaja",
  H312="Vallabhipur", "Vallabhipur",
  H312="Umrala", "Vallabhipur",
  H312="Shihor", "Shihor",
  H312="Ghogha", "Bhavnagar",
  H312="Bhavnagar", "Bhavnagar"
)</f>
        <v>Palitana</v>
      </c>
      <c r="J312" s="5" t="s">
        <v>256</v>
      </c>
      <c r="K312" s="5" t="s">
        <v>418</v>
      </c>
      <c r="L312" s="5">
        <v>211825</v>
      </c>
      <c r="M312" s="5"/>
      <c r="N312" s="7">
        <v>45872</v>
      </c>
      <c r="O312" s="7">
        <v>45880</v>
      </c>
      <c r="P312" s="7">
        <v>45881</v>
      </c>
      <c r="Q312" s="7">
        <f t="shared" si="53"/>
        <v>46000</v>
      </c>
      <c r="R312" s="9">
        <v>2079935.08</v>
      </c>
      <c r="S312" s="33"/>
      <c r="T312" s="9">
        <v>1903140.6</v>
      </c>
      <c r="U312" s="10">
        <v>-8.5</v>
      </c>
      <c r="V312" s="10" t="str">
        <f t="shared" si="54"/>
        <v>Below</v>
      </c>
      <c r="W312" s="11" t="str" cm="1">
        <f t="array" ref="W312">NumberToWords(T312)</f>
        <v>Nineteen Lakh Three Thousand One Hundred Forty Rupees and Six Paise Only</v>
      </c>
      <c r="X312" s="10" t="str">
        <f t="shared" si="55"/>
        <v>Division</v>
      </c>
      <c r="Z312" s="9">
        <f t="shared" si="56"/>
        <v>1903140.6</v>
      </c>
      <c r="AA312" s="5" t="s">
        <v>630</v>
      </c>
      <c r="AB312" s="8">
        <f>_xlfn.XLOOKUP(AA312, 'Agency List'!A$2:A$145, 'Agency List'!B$2:B$145, "Not Found")</f>
        <v>0</v>
      </c>
      <c r="AC312" s="8" t="str">
        <f>_xlfn.XLOOKUP(AA312, 'Agency List'!A$2:A$145, 'Agency List'!C$2:C$145, "Not Found")</f>
        <v>Plot No. 9, Gayatri Society, Ramabaug, Anantwadi, Bhavnagar - 364002</v>
      </c>
      <c r="AD312" s="8">
        <f>_xlfn.XLOOKUP(AA312, 'Agency List'!A$2:A$145, 'Agency List'!D$2:D$145, "Not Found")</f>
        <v>0</v>
      </c>
      <c r="AE312" s="7"/>
      <c r="AF312" s="5"/>
      <c r="AG312" s="5" t="str">
        <f t="shared" si="57"/>
        <v>Bandhkam</v>
      </c>
      <c r="AH312" s="5"/>
      <c r="AI312" s="8"/>
      <c r="AJ312" s="8"/>
      <c r="AL312" s="16">
        <v>4</v>
      </c>
      <c r="AM312" s="12">
        <f t="shared" si="58"/>
        <v>96000</v>
      </c>
      <c r="AN312" s="7">
        <f t="shared" si="59"/>
        <v>46549</v>
      </c>
      <c r="AO312" s="12">
        <f t="shared" si="60"/>
        <v>4800</v>
      </c>
      <c r="AP312" s="12">
        <f t="shared" si="61"/>
        <v>0</v>
      </c>
      <c r="AQ312" s="15">
        <f t="shared" si="62"/>
        <v>46134</v>
      </c>
      <c r="AR312" s="7">
        <f t="shared" si="63"/>
        <v>46489</v>
      </c>
      <c r="AS312" s="5">
        <v>1358</v>
      </c>
      <c r="AT312" s="7">
        <v>45922</v>
      </c>
      <c r="AU312" s="5" t="s">
        <v>78</v>
      </c>
      <c r="AV312" s="17">
        <v>214</v>
      </c>
      <c r="AW312" s="37">
        <v>45979</v>
      </c>
      <c r="AX312" s="5" t="s">
        <v>355</v>
      </c>
      <c r="AY312" s="5" t="s">
        <v>790</v>
      </c>
      <c r="AZ312" s="45" t="s">
        <v>850</v>
      </c>
      <c r="BA312" s="12">
        <v>96000</v>
      </c>
      <c r="BB312" s="7">
        <v>45975</v>
      </c>
      <c r="BC312" s="14"/>
      <c r="BD312" s="14"/>
      <c r="BF312" s="12"/>
      <c r="BG312" s="14"/>
      <c r="BH312" s="19">
        <v>45979</v>
      </c>
      <c r="BI312" s="5">
        <v>1545</v>
      </c>
      <c r="BJ312" s="19">
        <v>45979</v>
      </c>
      <c r="BM312" s="18"/>
      <c r="BN312" s="18"/>
      <c r="BO312" s="18"/>
      <c r="BP312" s="18"/>
      <c r="BQ312" s="5"/>
      <c r="BR312" s="18"/>
      <c r="BS312" s="18"/>
      <c r="BT312" s="35">
        <f t="shared" si="65"/>
        <v>46099</v>
      </c>
    </row>
    <row r="313" spans="1:72" ht="43.5" x14ac:dyDescent="0.35">
      <c r="A313" s="5">
        <v>312</v>
      </c>
      <c r="B313" s="5"/>
      <c r="C313" s="5" t="s">
        <v>78</v>
      </c>
      <c r="D313" s="5">
        <v>14</v>
      </c>
      <c r="E313" s="5">
        <v>31</v>
      </c>
      <c r="F313" s="8" t="s">
        <v>671</v>
      </c>
      <c r="G313" s="8"/>
      <c r="H313" s="5" t="s">
        <v>2</v>
      </c>
      <c r="I313" s="5" t="str" cm="1">
        <f t="array" ref="I313">_xlfn.IFS(
  H313="Mahuva", "Mahuva",
  H313="Jesar", "Mahuva",
  H313="Palitana", "Palitana",
  H313="Gariyadhar", "Palitana",
  H313="Talaja", "Talaja",
  H313="Vallabhipur", "Vallabhipur",
  H313="Umrala", "Vallabhipur",
  H313="Shihor", "Shihor",
  H313="Ghogha", "Bhavnagar",
  H313="Bhavnagar", "Bhavnagar"
)</f>
        <v>Vallabhipur</v>
      </c>
      <c r="J313" s="5" t="s">
        <v>256</v>
      </c>
      <c r="K313" s="5" t="s">
        <v>418</v>
      </c>
      <c r="L313" s="5">
        <v>211826</v>
      </c>
      <c r="M313" s="5"/>
      <c r="N313" s="7">
        <v>45872</v>
      </c>
      <c r="O313" s="7">
        <v>45880</v>
      </c>
      <c r="P313" s="7">
        <v>45881</v>
      </c>
      <c r="Q313" s="7">
        <f t="shared" si="53"/>
        <v>46000</v>
      </c>
      <c r="R313" s="9">
        <v>2079935.08</v>
      </c>
      <c r="S313" s="33"/>
      <c r="T313" s="9">
        <v>1902932.6</v>
      </c>
      <c r="U313" s="10">
        <v>-8.51</v>
      </c>
      <c r="V313" s="10" t="str">
        <f t="shared" si="54"/>
        <v>Below</v>
      </c>
      <c r="W313" s="11" t="str" cm="1">
        <f t="array" ref="W313">NumberToWords(T313)</f>
        <v>Nineteen Lakh Two Thousand Nine Hundred Thirty Two Rupees and Six Paise Only</v>
      </c>
      <c r="X313" s="10" t="str">
        <f t="shared" si="55"/>
        <v>Division</v>
      </c>
      <c r="Z313" s="9">
        <f t="shared" si="56"/>
        <v>1902932.6</v>
      </c>
      <c r="AA313" s="5" t="s">
        <v>298</v>
      </c>
      <c r="AB313" s="8" t="str">
        <f>_xlfn.XLOOKUP(AA313, 'Agency List'!A$2:A$145, 'Agency List'!B$2:B$145, "Not Found")</f>
        <v>D. H. Gohil</v>
      </c>
      <c r="AC313" s="8" t="str">
        <f>_xlfn.XLOOKUP(AA313, 'Agency List'!A$2:A$145, 'Agency List'!C$2:C$145, "Not Found")</f>
        <v>At. Vangadhra, Ta.Umrala, Dist. Bhavnagar</v>
      </c>
      <c r="AD313" s="8">
        <f>_xlfn.XLOOKUP(AA313, 'Agency List'!A$2:A$145, 'Agency List'!D$2:D$145, "Not Found")</f>
        <v>8780286268</v>
      </c>
      <c r="AE313" s="7"/>
      <c r="AF313" s="5" t="s">
        <v>357</v>
      </c>
      <c r="AG313" s="5" t="str">
        <f t="shared" si="57"/>
        <v>Bandhkam</v>
      </c>
      <c r="AH313" s="5"/>
      <c r="AI313" s="8"/>
      <c r="AJ313" s="8"/>
      <c r="AL313" s="16">
        <v>4</v>
      </c>
      <c r="AM313" s="12">
        <f t="shared" si="58"/>
        <v>96000</v>
      </c>
      <c r="AN313" s="7">
        <f t="shared" si="59"/>
        <v>46599</v>
      </c>
      <c r="AO313" s="12">
        <f t="shared" si="60"/>
        <v>4800</v>
      </c>
      <c r="AP313" s="12">
        <f t="shared" si="61"/>
        <v>0</v>
      </c>
      <c r="AQ313" s="15">
        <f t="shared" si="62"/>
        <v>46184</v>
      </c>
      <c r="AR313" s="7">
        <f t="shared" si="63"/>
        <v>46539</v>
      </c>
      <c r="AS313" s="5">
        <v>1322</v>
      </c>
      <c r="AT313" s="7">
        <v>45915</v>
      </c>
      <c r="AU313" s="5" t="s">
        <v>78</v>
      </c>
      <c r="AV313" s="17">
        <v>260</v>
      </c>
      <c r="AW313" s="37">
        <v>46029</v>
      </c>
      <c r="AX313" s="5" t="s">
        <v>355</v>
      </c>
      <c r="AY313" s="5" t="s">
        <v>369</v>
      </c>
      <c r="AZ313" s="13">
        <v>44743358475</v>
      </c>
      <c r="BA313" s="12">
        <v>96000</v>
      </c>
      <c r="BB313" s="7">
        <v>46007</v>
      </c>
      <c r="BC313" s="14"/>
      <c r="BD313" s="14"/>
      <c r="BF313" s="12"/>
      <c r="BG313" s="14"/>
      <c r="BH313" s="19">
        <v>46029</v>
      </c>
      <c r="BI313" s="5">
        <v>31</v>
      </c>
      <c r="BJ313" s="19">
        <v>46029</v>
      </c>
      <c r="BK313" s="5">
        <v>1712</v>
      </c>
      <c r="BL313" s="7">
        <v>46006</v>
      </c>
      <c r="BM313" s="18"/>
      <c r="BN313" s="18"/>
      <c r="BO313" s="18"/>
      <c r="BP313" s="18"/>
      <c r="BQ313" s="5"/>
      <c r="BR313" s="18"/>
      <c r="BS313" s="18"/>
      <c r="BT313" s="35">
        <f t="shared" si="65"/>
        <v>46149</v>
      </c>
    </row>
    <row r="314" spans="1:72" ht="43.5" x14ac:dyDescent="0.35">
      <c r="A314" s="5">
        <v>313</v>
      </c>
      <c r="B314" s="5"/>
      <c r="C314" s="5" t="s">
        <v>78</v>
      </c>
      <c r="D314" s="5">
        <v>14</v>
      </c>
      <c r="E314" s="5">
        <v>32</v>
      </c>
      <c r="F314" s="8" t="s">
        <v>672</v>
      </c>
      <c r="G314" s="8"/>
      <c r="H314" s="5" t="s">
        <v>13</v>
      </c>
      <c r="I314" s="5" t="str" cm="1">
        <f t="array" ref="I314">_xlfn.IFS(
  H314="Mahuva", "Mahuva",
  H314="Jesar", "Mahuva",
  H314="Palitana", "Palitana",
  H314="Gariyadhar", "Palitana",
  H314="Talaja", "Talaja",
  H314="Vallabhipur", "Vallabhipur",
  H314="Umrala", "Vallabhipur",
  H314="Shihor", "Shihor",
  H314="Ghogha", "Bhavnagar",
  H314="Bhavnagar", "Bhavnagar"
)</f>
        <v>Shihor</v>
      </c>
      <c r="J314" s="5" t="s">
        <v>256</v>
      </c>
      <c r="K314" s="5" t="s">
        <v>418</v>
      </c>
      <c r="L314" s="5">
        <v>211827</v>
      </c>
      <c r="M314" s="5"/>
      <c r="N314" s="7">
        <v>45872</v>
      </c>
      <c r="O314" s="7">
        <v>45880</v>
      </c>
      <c r="P314" s="7">
        <v>45881</v>
      </c>
      <c r="Q314" s="7">
        <f t="shared" si="53"/>
        <v>46000</v>
      </c>
      <c r="R314" s="9">
        <v>2079935.08</v>
      </c>
      <c r="S314" s="33"/>
      <c r="T314" s="9">
        <v>1955346.97</v>
      </c>
      <c r="U314" s="10">
        <v>-5.99</v>
      </c>
      <c r="V314" s="10" t="str">
        <f t="shared" si="54"/>
        <v>Below</v>
      </c>
      <c r="W314" s="11" t="str" cm="1">
        <f t="array" ref="W314">NumberToWords(T314)</f>
        <v>Nineteen Lakh Fifty Five Thousand Three Hundred Forty Six Rupees and Ninety Seven Paise Only</v>
      </c>
      <c r="X314" s="10" t="str">
        <f t="shared" si="55"/>
        <v>Division</v>
      </c>
      <c r="Z314" s="9">
        <f t="shared" si="56"/>
        <v>1955346.97</v>
      </c>
      <c r="AA314" s="5" t="s">
        <v>173</v>
      </c>
      <c r="AB314" s="8" t="str">
        <f>_xlfn.XLOOKUP(AA314, 'Agency List'!A$2:A$145, 'Agency List'!B$2:B$145, "Not Found")</f>
        <v>Majithiya Dhruvin Nareshbhai</v>
      </c>
      <c r="AC314" s="8" t="str">
        <f>_xlfn.XLOOKUP(AA314, 'Agency List'!A$2:A$145, 'Agency List'!C$2:C$145, "Not Found")</f>
        <v>82/1, Bajaran Society, Near Gayatri Temple, Chitra, Bhavnagar-364004</v>
      </c>
      <c r="AD314" s="8">
        <f>_xlfn.XLOOKUP(AA314, 'Agency List'!A$2:A$145, 'Agency List'!D$2:D$145, "Not Found")</f>
        <v>8200557028</v>
      </c>
      <c r="AE314" s="7"/>
      <c r="AF314" s="5" t="s">
        <v>357</v>
      </c>
      <c r="AG314" s="5" t="str">
        <f t="shared" si="57"/>
        <v>Bandhkam</v>
      </c>
      <c r="AH314" s="5"/>
      <c r="AI314" s="8"/>
      <c r="AJ314" s="8"/>
      <c r="AL314" s="16">
        <v>4</v>
      </c>
      <c r="AM314" s="12">
        <f t="shared" si="58"/>
        <v>98000</v>
      </c>
      <c r="AN314" s="7">
        <f t="shared" si="59"/>
        <v>46584</v>
      </c>
      <c r="AO314" s="12">
        <f t="shared" si="60"/>
        <v>4900</v>
      </c>
      <c r="AP314" s="12">
        <f t="shared" si="61"/>
        <v>0</v>
      </c>
      <c r="AQ314" s="15">
        <f t="shared" si="62"/>
        <v>46169</v>
      </c>
      <c r="AR314" s="7">
        <f t="shared" si="63"/>
        <v>46524</v>
      </c>
      <c r="AS314" s="5">
        <v>1316</v>
      </c>
      <c r="AT314" s="7">
        <v>45915</v>
      </c>
      <c r="AU314" s="5" t="s">
        <v>78</v>
      </c>
      <c r="AV314" s="17">
        <v>253</v>
      </c>
      <c r="AW314" s="37">
        <v>46014</v>
      </c>
      <c r="AX314" s="5" t="s">
        <v>355</v>
      </c>
      <c r="AY314" s="5" t="s">
        <v>723</v>
      </c>
      <c r="AZ314" s="45" t="s">
        <v>951</v>
      </c>
      <c r="BA314" s="12">
        <v>98000</v>
      </c>
      <c r="BB314" s="7">
        <v>46009</v>
      </c>
      <c r="BC314" s="14"/>
      <c r="BD314" s="14"/>
      <c r="BF314" s="12"/>
      <c r="BG314" s="14"/>
      <c r="BH314" s="19">
        <v>46014</v>
      </c>
      <c r="BI314" s="5">
        <v>1798</v>
      </c>
      <c r="BJ314" s="19">
        <v>46014</v>
      </c>
      <c r="BK314" s="5">
        <v>1716</v>
      </c>
      <c r="BL314" s="7">
        <v>46006</v>
      </c>
      <c r="BM314" s="18"/>
      <c r="BN314" s="18"/>
      <c r="BO314" s="18"/>
      <c r="BP314" s="18"/>
      <c r="BQ314" s="5"/>
      <c r="BR314" s="18"/>
      <c r="BS314" s="18"/>
      <c r="BT314" s="35">
        <f t="shared" si="65"/>
        <v>46134</v>
      </c>
    </row>
    <row r="315" spans="1:72" ht="43.5" x14ac:dyDescent="0.35">
      <c r="A315" s="5">
        <v>314</v>
      </c>
      <c r="B315" s="5"/>
      <c r="C315" s="5" t="s">
        <v>78</v>
      </c>
      <c r="D315" s="5">
        <v>14</v>
      </c>
      <c r="E315" s="5">
        <v>33</v>
      </c>
      <c r="F315" s="8" t="s">
        <v>673</v>
      </c>
      <c r="G315" s="8"/>
      <c r="H315" s="5" t="s">
        <v>13</v>
      </c>
      <c r="I315" s="5" t="str" cm="1">
        <f t="array" ref="I315">_xlfn.IFS(
  H315="Mahuva", "Mahuva",
  H315="Jesar", "Mahuva",
  H315="Palitana", "Palitana",
  H315="Gariyadhar", "Palitana",
  H315="Talaja", "Talaja",
  H315="Vallabhipur", "Vallabhipur",
  H315="Umrala", "Vallabhipur",
  H315="Shihor", "Shihor",
  H315="Ghogha", "Bhavnagar",
  H315="Bhavnagar", "Bhavnagar"
)</f>
        <v>Shihor</v>
      </c>
      <c r="J315" s="5" t="s">
        <v>256</v>
      </c>
      <c r="K315" s="5" t="s">
        <v>418</v>
      </c>
      <c r="L315" s="5">
        <v>211828</v>
      </c>
      <c r="M315" s="5"/>
      <c r="N315" s="7">
        <v>45872</v>
      </c>
      <c r="O315" s="7">
        <v>45880</v>
      </c>
      <c r="P315" s="7">
        <v>45881</v>
      </c>
      <c r="Q315" s="7">
        <f t="shared" si="53"/>
        <v>46000</v>
      </c>
      <c r="R315" s="9">
        <v>2079935.08</v>
      </c>
      <c r="S315" s="33" t="s">
        <v>233</v>
      </c>
      <c r="U315" s="10"/>
      <c r="V315" s="10" t="str">
        <f t="shared" si="54"/>
        <v>Equals</v>
      </c>
      <c r="W315" s="11" t="str" cm="1">
        <f t="array" ref="W315">NumberToWords(T315)</f>
        <v>Zero Rupees Only</v>
      </c>
      <c r="X315" s="10" t="str">
        <f t="shared" si="55"/>
        <v>Division</v>
      </c>
      <c r="Z315" s="9">
        <f t="shared" si="56"/>
        <v>0</v>
      </c>
      <c r="AB315" s="8">
        <f>_xlfn.XLOOKUP(AA315, 'Agency List'!A$2:A$145, 'Agency List'!B$2:B$145, "Not Found")</f>
        <v>0</v>
      </c>
      <c r="AC315" s="8">
        <f>_xlfn.XLOOKUP(AA315, 'Agency List'!A$2:A$145, 'Agency List'!C$2:C$145, "Not Found")</f>
        <v>0</v>
      </c>
      <c r="AD315" s="8">
        <f>_xlfn.XLOOKUP(AA315, 'Agency List'!A$2:A$145, 'Agency List'!D$2:D$145, "Not Found")</f>
        <v>0</v>
      </c>
      <c r="AE315" s="7"/>
      <c r="AF315" s="5"/>
      <c r="AG315" s="5" t="str">
        <f t="shared" si="57"/>
        <v>Bandhkam</v>
      </c>
      <c r="AH315" s="5"/>
      <c r="AI315" s="8"/>
      <c r="AJ315" s="8"/>
      <c r="AL315" s="16"/>
      <c r="AM315" s="12">
        <f t="shared" si="58"/>
        <v>0</v>
      </c>
      <c r="AN315" s="7">
        <f t="shared" si="59"/>
        <v>450</v>
      </c>
      <c r="AO315" s="12">
        <f t="shared" si="60"/>
        <v>0</v>
      </c>
      <c r="AP315" s="12">
        <f t="shared" si="61"/>
        <v>0</v>
      </c>
      <c r="AQ315" s="15">
        <f t="shared" si="62"/>
        <v>35</v>
      </c>
      <c r="AR315" s="7">
        <f t="shared" si="63"/>
        <v>390</v>
      </c>
      <c r="AS315" s="5"/>
      <c r="AU315" s="5"/>
      <c r="AV315" s="17"/>
      <c r="AW315" s="17"/>
      <c r="AX315" s="5"/>
      <c r="AY315" s="5"/>
      <c r="AZ315" s="13"/>
      <c r="BA315" s="12"/>
      <c r="BB315" s="7"/>
      <c r="BC315" s="14"/>
      <c r="BD315" s="14"/>
      <c r="BF315" s="12"/>
      <c r="BG315" s="14"/>
      <c r="BH315" s="19"/>
      <c r="BI315" s="5"/>
      <c r="BM315" s="18"/>
      <c r="BN315" s="18"/>
      <c r="BO315" s="18"/>
      <c r="BP315" s="18"/>
      <c r="BQ315" s="5"/>
      <c r="BR315" s="18"/>
      <c r="BS315" s="18"/>
      <c r="BT315" s="35">
        <f t="shared" si="65"/>
        <v>0</v>
      </c>
    </row>
    <row r="316" spans="1:72" ht="43.5" x14ac:dyDescent="0.35">
      <c r="A316" s="5">
        <v>315</v>
      </c>
      <c r="B316" s="5"/>
      <c r="C316" s="5" t="s">
        <v>78</v>
      </c>
      <c r="D316" s="5">
        <v>14</v>
      </c>
      <c r="E316" s="5">
        <v>34</v>
      </c>
      <c r="F316" s="8" t="s">
        <v>674</v>
      </c>
      <c r="G316" s="8"/>
      <c r="H316" s="5" t="s">
        <v>13</v>
      </c>
      <c r="I316" s="5" t="str" cm="1">
        <f t="array" ref="I316">_xlfn.IFS(
  H316="Mahuva", "Mahuva",
  H316="Jesar", "Mahuva",
  H316="Palitana", "Palitana",
  H316="Gariyadhar", "Palitana",
  H316="Talaja", "Talaja",
  H316="Vallabhipur", "Vallabhipur",
  H316="Umrala", "Vallabhipur",
  H316="Shihor", "Shihor",
  H316="Ghogha", "Bhavnagar",
  H316="Bhavnagar", "Bhavnagar"
)</f>
        <v>Shihor</v>
      </c>
      <c r="J316" s="5" t="s">
        <v>256</v>
      </c>
      <c r="K316" s="5" t="s">
        <v>418</v>
      </c>
      <c r="L316" s="5">
        <v>211829</v>
      </c>
      <c r="M316" s="5"/>
      <c r="N316" s="7">
        <v>45872</v>
      </c>
      <c r="O316" s="7">
        <v>45880</v>
      </c>
      <c r="P316" s="7">
        <v>45881</v>
      </c>
      <c r="Q316" s="7">
        <f t="shared" si="53"/>
        <v>46000</v>
      </c>
      <c r="R316" s="9">
        <v>2079935.08</v>
      </c>
      <c r="S316" s="33"/>
      <c r="T316" s="9">
        <v>1953683.02</v>
      </c>
      <c r="U316" s="10">
        <v>-6.07</v>
      </c>
      <c r="V316" s="10" t="str">
        <f t="shared" si="54"/>
        <v>Below</v>
      </c>
      <c r="W316" s="11" t="str" cm="1">
        <f t="array" ref="W316">NumberToWords(T316)</f>
        <v>Nineteen Lakh Fifty Three Thousand Six Hundred Eighty Three Rupees and Two Paise Only</v>
      </c>
      <c r="X316" s="10" t="str">
        <f t="shared" si="55"/>
        <v>Division</v>
      </c>
      <c r="Z316" s="9">
        <f t="shared" si="56"/>
        <v>1953683.02</v>
      </c>
      <c r="AA316" s="5" t="s">
        <v>400</v>
      </c>
      <c r="AB316" s="8" t="str">
        <f>_xlfn.XLOOKUP(AA316, 'Agency List'!A$2:A$145, 'Agency List'!B$2:B$145, "Not Found")</f>
        <v>PARTH Kiritkumar MEHTA</v>
      </c>
      <c r="AC316" s="8" t="str">
        <f>_xlfn.XLOOKUP(AA316, 'Agency List'!A$2:A$145, 'Agency List'!C$2:C$145, "Not Found")</f>
        <v>Plot No. 1578/I, New Champa Tenament, Divadi Road, Rupani Circle, Bhavnagar - 364002</v>
      </c>
      <c r="AD316" s="8">
        <f>_xlfn.XLOOKUP(AA316, 'Agency List'!A$2:A$145, 'Agency List'!D$2:D$145, "Not Found")</f>
        <v>7990934709</v>
      </c>
      <c r="AE316" s="7"/>
      <c r="AF316" s="5" t="s">
        <v>357</v>
      </c>
      <c r="AG316" s="5" t="str">
        <f t="shared" si="57"/>
        <v>Bandhkam</v>
      </c>
      <c r="AH316" s="5"/>
      <c r="AI316" s="8"/>
      <c r="AJ316" s="8"/>
      <c r="AL316" s="16">
        <v>4</v>
      </c>
      <c r="AM316" s="12">
        <f t="shared" si="58"/>
        <v>98000</v>
      </c>
      <c r="AN316" s="7">
        <f t="shared" si="59"/>
        <v>46501</v>
      </c>
      <c r="AO316" s="12">
        <f t="shared" si="60"/>
        <v>4900</v>
      </c>
      <c r="AP316" s="12">
        <f t="shared" si="61"/>
        <v>0</v>
      </c>
      <c r="AQ316" s="15">
        <f t="shared" si="62"/>
        <v>46086</v>
      </c>
      <c r="AR316" s="7">
        <f t="shared" si="63"/>
        <v>46441</v>
      </c>
      <c r="AS316" s="5">
        <v>1312</v>
      </c>
      <c r="AT316" s="7">
        <v>45915</v>
      </c>
      <c r="AU316" s="5"/>
      <c r="AV316" s="17"/>
      <c r="AW316" s="17"/>
      <c r="AX316" s="5"/>
      <c r="AY316" s="5"/>
      <c r="AZ316" s="13"/>
      <c r="BA316" s="12"/>
      <c r="BB316" s="7"/>
      <c r="BC316" s="14"/>
      <c r="BD316" s="14"/>
      <c r="BF316" s="12"/>
      <c r="BG316" s="14"/>
      <c r="BH316" s="19">
        <v>45931</v>
      </c>
      <c r="BI316" s="5"/>
      <c r="BK316" s="5">
        <v>1710</v>
      </c>
      <c r="BL316" s="7">
        <v>46006</v>
      </c>
      <c r="BM316" s="18"/>
      <c r="BN316" s="18"/>
      <c r="BO316" s="18"/>
      <c r="BP316" s="18"/>
      <c r="BQ316" s="5"/>
      <c r="BR316" s="18"/>
      <c r="BS316" s="18"/>
      <c r="BT316" s="35">
        <f t="shared" si="65"/>
        <v>46051</v>
      </c>
    </row>
    <row r="317" spans="1:72" ht="43.5" x14ac:dyDescent="0.35">
      <c r="A317" s="5">
        <v>316</v>
      </c>
      <c r="B317" s="5"/>
      <c r="C317" s="5" t="s">
        <v>78</v>
      </c>
      <c r="D317" s="5">
        <v>14</v>
      </c>
      <c r="E317" s="5">
        <v>35</v>
      </c>
      <c r="F317" s="8" t="s">
        <v>675</v>
      </c>
      <c r="G317" s="8"/>
      <c r="H317" s="5" t="s">
        <v>13</v>
      </c>
      <c r="I317" s="5" t="str" cm="1">
        <f t="array" ref="I317">_xlfn.IFS(
  H317="Mahuva", "Mahuva",
  H317="Jesar", "Mahuva",
  H317="Palitana", "Palitana",
  H317="Gariyadhar", "Palitana",
  H317="Talaja", "Talaja",
  H317="Vallabhipur", "Vallabhipur",
  H317="Umrala", "Vallabhipur",
  H317="Shihor", "Shihor",
  H317="Ghogha", "Bhavnagar",
  H317="Bhavnagar", "Bhavnagar"
)</f>
        <v>Shihor</v>
      </c>
      <c r="J317" s="5" t="s">
        <v>256</v>
      </c>
      <c r="K317" s="5" t="s">
        <v>418</v>
      </c>
      <c r="L317" s="5">
        <v>211830</v>
      </c>
      <c r="M317" s="5"/>
      <c r="N317" s="7">
        <v>45872</v>
      </c>
      <c r="O317" s="7">
        <v>45880</v>
      </c>
      <c r="P317" s="7">
        <v>45881</v>
      </c>
      <c r="Q317" s="7">
        <f t="shared" si="53"/>
        <v>46000</v>
      </c>
      <c r="R317" s="9">
        <v>2079935.08</v>
      </c>
      <c r="S317" s="33"/>
      <c r="T317" s="9">
        <v>1953683.02</v>
      </c>
      <c r="U317" s="10">
        <v>-6.07</v>
      </c>
      <c r="V317" s="10" t="str">
        <f t="shared" si="54"/>
        <v>Below</v>
      </c>
      <c r="W317" s="11" t="str" cm="1">
        <f t="array" ref="W317">NumberToWords(T317)</f>
        <v>Nineteen Lakh Fifty Three Thousand Six Hundred Eighty Three Rupees and Two Paise Only</v>
      </c>
      <c r="X317" s="10" t="str">
        <f t="shared" si="55"/>
        <v>Division</v>
      </c>
      <c r="Z317" s="9">
        <f t="shared" si="56"/>
        <v>1953683.02</v>
      </c>
      <c r="AA317" s="5" t="s">
        <v>400</v>
      </c>
      <c r="AB317" s="8" t="str">
        <f>_xlfn.XLOOKUP(AA317, 'Agency List'!A$2:A$145, 'Agency List'!B$2:B$145, "Not Found")</f>
        <v>PARTH Kiritkumar MEHTA</v>
      </c>
      <c r="AC317" s="8" t="str">
        <f>_xlfn.XLOOKUP(AA317, 'Agency List'!A$2:A$145, 'Agency List'!C$2:C$145, "Not Found")</f>
        <v>Plot No. 1578/I, New Champa Tenament, Divadi Road, Rupani Circle, Bhavnagar - 364002</v>
      </c>
      <c r="AD317" s="8">
        <f>_xlfn.XLOOKUP(AA317, 'Agency List'!A$2:A$145, 'Agency List'!D$2:D$145, "Not Found")</f>
        <v>7990934709</v>
      </c>
      <c r="AE317" s="7"/>
      <c r="AF317" s="5" t="s">
        <v>357</v>
      </c>
      <c r="AG317" s="5" t="str">
        <f t="shared" si="57"/>
        <v>Bandhkam</v>
      </c>
      <c r="AH317" s="5"/>
      <c r="AI317" s="8"/>
      <c r="AJ317" s="8"/>
      <c r="AL317" s="16">
        <v>4</v>
      </c>
      <c r="AM317" s="12">
        <f t="shared" si="58"/>
        <v>98000</v>
      </c>
      <c r="AN317" s="7">
        <f t="shared" si="59"/>
        <v>46501</v>
      </c>
      <c r="AO317" s="12">
        <f t="shared" si="60"/>
        <v>4900</v>
      </c>
      <c r="AP317" s="12">
        <f t="shared" si="61"/>
        <v>0</v>
      </c>
      <c r="AQ317" s="15">
        <f t="shared" si="62"/>
        <v>46086</v>
      </c>
      <c r="AR317" s="7">
        <f t="shared" si="63"/>
        <v>46441</v>
      </c>
      <c r="AS317" s="5">
        <v>1323</v>
      </c>
      <c r="AT317" s="7">
        <v>45915</v>
      </c>
      <c r="AU317" s="5"/>
      <c r="AV317" s="17"/>
      <c r="AW317" s="17"/>
      <c r="AX317" s="5"/>
      <c r="AY317" s="5"/>
      <c r="AZ317" s="13"/>
      <c r="BA317" s="12"/>
      <c r="BB317" s="7"/>
      <c r="BC317" s="14"/>
      <c r="BD317" s="14"/>
      <c r="BF317" s="12"/>
      <c r="BG317" s="14"/>
      <c r="BH317" s="19">
        <v>45931</v>
      </c>
      <c r="BI317" s="5"/>
      <c r="BK317" s="5">
        <v>1706</v>
      </c>
      <c r="BL317" s="7">
        <v>46006</v>
      </c>
      <c r="BM317" s="18"/>
      <c r="BN317" s="18"/>
      <c r="BO317" s="18"/>
      <c r="BP317" s="18"/>
      <c r="BQ317" s="5"/>
      <c r="BR317" s="18"/>
      <c r="BS317" s="18"/>
      <c r="BT317" s="35">
        <f t="shared" si="65"/>
        <v>46051</v>
      </c>
    </row>
    <row r="318" spans="1:72" ht="43.5" x14ac:dyDescent="0.35">
      <c r="A318" s="5">
        <v>317</v>
      </c>
      <c r="B318" s="5"/>
      <c r="C318" s="5" t="s">
        <v>78</v>
      </c>
      <c r="D318" s="5">
        <v>14</v>
      </c>
      <c r="E318" s="5">
        <v>36</v>
      </c>
      <c r="F318" s="8" t="s">
        <v>676</v>
      </c>
      <c r="G318" s="8"/>
      <c r="H318" s="5" t="s">
        <v>13</v>
      </c>
      <c r="I318" s="5" t="str" cm="1">
        <f t="array" ref="I318">_xlfn.IFS(
  H318="Mahuva", "Mahuva",
  H318="Jesar", "Mahuva",
  H318="Palitana", "Palitana",
  H318="Gariyadhar", "Palitana",
  H318="Talaja", "Talaja",
  H318="Vallabhipur", "Vallabhipur",
  H318="Umrala", "Vallabhipur",
  H318="Shihor", "Shihor",
  H318="Ghogha", "Bhavnagar",
  H318="Bhavnagar", "Bhavnagar"
)</f>
        <v>Shihor</v>
      </c>
      <c r="J318" s="5" t="s">
        <v>256</v>
      </c>
      <c r="K318" s="5" t="s">
        <v>418</v>
      </c>
      <c r="L318" s="5">
        <v>211831</v>
      </c>
      <c r="M318" s="5"/>
      <c r="N318" s="7">
        <v>45872</v>
      </c>
      <c r="O318" s="7">
        <v>45880</v>
      </c>
      <c r="P318" s="7">
        <v>45881</v>
      </c>
      <c r="Q318" s="7">
        <f t="shared" si="53"/>
        <v>46000</v>
      </c>
      <c r="R318" s="9">
        <v>2079935.08</v>
      </c>
      <c r="S318" s="33"/>
      <c r="T318" s="9">
        <v>1985714.02</v>
      </c>
      <c r="U318" s="10">
        <v>-4.53</v>
      </c>
      <c r="V318" s="10" t="str">
        <f t="shared" si="54"/>
        <v>Below</v>
      </c>
      <c r="W318" s="11" t="str" cm="1">
        <f t="array" ref="W318">NumberToWords(T318)</f>
        <v>Nineteen Lakh Eighty Five Thousand Seven Hundred Fourteen Rupees and Two Paise Only</v>
      </c>
      <c r="X318" s="10" t="str">
        <f t="shared" si="55"/>
        <v>Division</v>
      </c>
      <c r="Z318" s="9">
        <f t="shared" si="56"/>
        <v>1985714.02</v>
      </c>
      <c r="AA318" s="5" t="s">
        <v>408</v>
      </c>
      <c r="AB318" s="8">
        <f>_xlfn.XLOOKUP(AA318, 'Agency List'!A$2:A$145, 'Agency List'!B$2:B$145, "Not Found")</f>
        <v>0</v>
      </c>
      <c r="AC318" s="8" t="str">
        <f>_xlfn.XLOOKUP(AA318, 'Agency List'!A$2:A$145, 'Agency List'!C$2:C$145, "Not Found")</f>
        <v>At Tana, Tal. Shihor, Dist. Bhavnagar - 364260</v>
      </c>
      <c r="AD318" s="8">
        <f>_xlfn.XLOOKUP(AA318, 'Agency List'!A$2:A$145, 'Agency List'!D$2:D$145, "Not Found")</f>
        <v>9510343132</v>
      </c>
      <c r="AE318" s="7"/>
      <c r="AF318" s="5" t="s">
        <v>357</v>
      </c>
      <c r="AG318" s="5" t="str">
        <f t="shared" si="57"/>
        <v>Bandhkam</v>
      </c>
      <c r="AH318" s="5"/>
      <c r="AI318" s="8"/>
      <c r="AJ318" s="8"/>
      <c r="AL318" s="16">
        <v>4</v>
      </c>
      <c r="AM318" s="12">
        <f t="shared" si="58"/>
        <v>100000</v>
      </c>
      <c r="AN318" s="7">
        <f t="shared" si="59"/>
        <v>46541</v>
      </c>
      <c r="AO318" s="12">
        <f t="shared" si="60"/>
        <v>4900</v>
      </c>
      <c r="AP318" s="12">
        <f t="shared" si="61"/>
        <v>0</v>
      </c>
      <c r="AQ318" s="15">
        <f t="shared" si="62"/>
        <v>46126</v>
      </c>
      <c r="AR318" s="7">
        <f t="shared" si="63"/>
        <v>46481</v>
      </c>
      <c r="AS318" s="5">
        <v>1317</v>
      </c>
      <c r="AT318" s="7">
        <v>45915</v>
      </c>
      <c r="AU318" s="5" t="s">
        <v>78</v>
      </c>
      <c r="AV318" s="17">
        <v>201</v>
      </c>
      <c r="AW318" s="37">
        <v>45969</v>
      </c>
      <c r="AX318" s="5" t="s">
        <v>355</v>
      </c>
      <c r="AY318" s="5" t="s">
        <v>609</v>
      </c>
      <c r="AZ318" s="45" t="s">
        <v>820</v>
      </c>
      <c r="BA318" s="12">
        <v>100000</v>
      </c>
      <c r="BB318" s="7">
        <v>45891</v>
      </c>
      <c r="BC318" s="14"/>
      <c r="BD318" s="14"/>
      <c r="BF318" s="12"/>
      <c r="BG318" s="14"/>
      <c r="BH318" s="19">
        <v>45971</v>
      </c>
      <c r="BI318" s="5">
        <v>1506</v>
      </c>
      <c r="BJ318" s="19">
        <v>45969</v>
      </c>
      <c r="BM318" s="18"/>
      <c r="BN318" s="18"/>
      <c r="BO318" s="18"/>
      <c r="BP318" s="18"/>
      <c r="BQ318" s="5"/>
      <c r="BR318" s="18"/>
      <c r="BS318" s="18"/>
      <c r="BT318" s="35">
        <f t="shared" si="65"/>
        <v>46091</v>
      </c>
    </row>
    <row r="319" spans="1:72" ht="43.5" x14ac:dyDescent="0.35">
      <c r="A319" s="5">
        <v>318</v>
      </c>
      <c r="B319" s="5"/>
      <c r="C319" s="5" t="s">
        <v>78</v>
      </c>
      <c r="D319" s="5">
        <v>14</v>
      </c>
      <c r="E319" s="5">
        <v>37</v>
      </c>
      <c r="F319" s="8" t="s">
        <v>731</v>
      </c>
      <c r="G319" s="8"/>
      <c r="H319" s="5" t="s">
        <v>13</v>
      </c>
      <c r="I319" s="5" t="str" cm="1">
        <f t="array" ref="I319">_xlfn.IFS(
  H319="Mahuva", "Mahuva",
  H319="Jesar", "Mahuva",
  H319="Palitana", "Palitana",
  H319="Gariyadhar", "Palitana",
  H319="Talaja", "Talaja",
  H319="Vallabhipur", "Vallabhipur",
  H319="Umrala", "Vallabhipur",
  H319="Shihor", "Shihor",
  H319="Ghogha", "Bhavnagar",
  H319="Bhavnagar", "Bhavnagar"
)</f>
        <v>Shihor</v>
      </c>
      <c r="J319" s="5" t="s">
        <v>256</v>
      </c>
      <c r="K319" s="5" t="s">
        <v>418</v>
      </c>
      <c r="L319" s="5">
        <v>211832</v>
      </c>
      <c r="M319" s="5"/>
      <c r="N319" s="7">
        <v>45872</v>
      </c>
      <c r="O319" s="7">
        <v>45880</v>
      </c>
      <c r="P319" s="7">
        <v>45881</v>
      </c>
      <c r="Q319" s="7">
        <f t="shared" si="53"/>
        <v>46000</v>
      </c>
      <c r="R319" s="9">
        <v>2079935.08</v>
      </c>
      <c r="S319" s="33"/>
      <c r="T319" s="9">
        <v>1933091.66</v>
      </c>
      <c r="U319" s="10">
        <v>-7.06</v>
      </c>
      <c r="V319" s="10" t="str">
        <f t="shared" si="54"/>
        <v>Below</v>
      </c>
      <c r="W319" s="11" t="str" cm="1">
        <f t="array" ref="W319">NumberToWords(T319)</f>
        <v>Nineteen Lakh Thirty Three Thousand Ninety One Rupees and Sixty Six Paise Only</v>
      </c>
      <c r="X319" s="10" t="str">
        <f t="shared" si="55"/>
        <v>Division</v>
      </c>
      <c r="Z319" s="9">
        <f t="shared" si="56"/>
        <v>1933091.66</v>
      </c>
      <c r="AA319" s="5" t="s">
        <v>400</v>
      </c>
      <c r="AB319" s="8" t="str">
        <f>_xlfn.XLOOKUP(AA319, 'Agency List'!A$2:A$145, 'Agency List'!B$2:B$145, "Not Found")</f>
        <v>PARTH Kiritkumar MEHTA</v>
      </c>
      <c r="AC319" s="8" t="str">
        <f>_xlfn.XLOOKUP(AA319, 'Agency List'!A$2:A$145, 'Agency List'!C$2:C$145, "Not Found")</f>
        <v>Plot No. 1578/I, New Champa Tenament, Divadi Road, Rupani Circle, Bhavnagar - 364002</v>
      </c>
      <c r="AD319" s="8">
        <f>_xlfn.XLOOKUP(AA319, 'Agency List'!A$2:A$145, 'Agency List'!D$2:D$145, "Not Found")</f>
        <v>7990934709</v>
      </c>
      <c r="AE319" s="7"/>
      <c r="AF319" s="5" t="s">
        <v>357</v>
      </c>
      <c r="AG319" s="5" t="str">
        <f t="shared" si="57"/>
        <v>Bandhkam</v>
      </c>
      <c r="AH319" s="5"/>
      <c r="AI319" s="8"/>
      <c r="AJ319" s="8"/>
      <c r="AL319" s="16">
        <v>4</v>
      </c>
      <c r="AM319" s="12">
        <f t="shared" si="58"/>
        <v>97000</v>
      </c>
      <c r="AN319" s="7">
        <f t="shared" si="59"/>
        <v>46501</v>
      </c>
      <c r="AO319" s="12">
        <f t="shared" si="60"/>
        <v>4800</v>
      </c>
      <c r="AP319" s="12">
        <f t="shared" si="61"/>
        <v>0</v>
      </c>
      <c r="AQ319" s="15">
        <f t="shared" si="62"/>
        <v>46086</v>
      </c>
      <c r="AR319" s="7">
        <f t="shared" si="63"/>
        <v>46441</v>
      </c>
      <c r="AS319" s="5">
        <v>1314</v>
      </c>
      <c r="AT319" s="7">
        <v>45915</v>
      </c>
      <c r="AU319" s="5"/>
      <c r="AV319" s="17"/>
      <c r="AW319" s="17"/>
      <c r="AX319" s="5"/>
      <c r="AY319" s="5"/>
      <c r="AZ319" s="13"/>
      <c r="BA319" s="12"/>
      <c r="BB319" s="7"/>
      <c r="BC319" s="14"/>
      <c r="BD319" s="14"/>
      <c r="BF319" s="12"/>
      <c r="BG319" s="14"/>
      <c r="BH319" s="19">
        <v>45931</v>
      </c>
      <c r="BI319" s="5"/>
      <c r="BK319" s="5">
        <v>1715</v>
      </c>
      <c r="BL319" s="7">
        <v>46006</v>
      </c>
      <c r="BM319" s="18"/>
      <c r="BN319" s="18"/>
      <c r="BO319" s="18"/>
      <c r="BP319" s="18"/>
      <c r="BQ319" s="5"/>
      <c r="BR319" s="18"/>
      <c r="BS319" s="18"/>
      <c r="BT319" s="35">
        <f t="shared" si="65"/>
        <v>46051</v>
      </c>
    </row>
    <row r="320" spans="1:72" ht="43.5" x14ac:dyDescent="0.35">
      <c r="A320" s="5">
        <v>319</v>
      </c>
      <c r="B320" s="5"/>
      <c r="C320" s="5" t="s">
        <v>78</v>
      </c>
      <c r="D320" s="5">
        <v>14</v>
      </c>
      <c r="E320" s="5">
        <v>38</v>
      </c>
      <c r="F320" s="8" t="s">
        <v>677</v>
      </c>
      <c r="G320" s="8"/>
      <c r="H320" s="5" t="s">
        <v>13</v>
      </c>
      <c r="I320" s="5" t="str" cm="1">
        <f t="array" ref="I320">_xlfn.IFS(
  H320="Mahuva", "Mahuva",
  H320="Jesar", "Mahuva",
  H320="Palitana", "Palitana",
  H320="Gariyadhar", "Palitana",
  H320="Talaja", "Talaja",
  H320="Vallabhipur", "Vallabhipur",
  H320="Umrala", "Vallabhipur",
  H320="Shihor", "Shihor",
  H320="Ghogha", "Bhavnagar",
  H320="Bhavnagar", "Bhavnagar"
)</f>
        <v>Shihor</v>
      </c>
      <c r="J320" s="5" t="s">
        <v>256</v>
      </c>
      <c r="K320" s="5" t="s">
        <v>418</v>
      </c>
      <c r="L320" s="5">
        <v>211834</v>
      </c>
      <c r="M320" s="5"/>
      <c r="N320" s="7">
        <v>45872</v>
      </c>
      <c r="O320" s="7">
        <v>45880</v>
      </c>
      <c r="P320" s="7">
        <v>45881</v>
      </c>
      <c r="Q320" s="7">
        <f t="shared" si="53"/>
        <v>46000</v>
      </c>
      <c r="R320" s="9">
        <v>2079935.08</v>
      </c>
      <c r="S320" s="33"/>
      <c r="T320" s="9">
        <v>1953683.02</v>
      </c>
      <c r="U320" s="10">
        <v>-6.07</v>
      </c>
      <c r="V320" s="10" t="str">
        <f t="shared" si="54"/>
        <v>Below</v>
      </c>
      <c r="W320" s="11" t="str" cm="1">
        <f t="array" ref="W320">NumberToWords(T320)</f>
        <v>Nineteen Lakh Fifty Three Thousand Six Hundred Eighty Three Rupees and Two Paise Only</v>
      </c>
      <c r="X320" s="10" t="str">
        <f t="shared" si="55"/>
        <v>Division</v>
      </c>
      <c r="Z320" s="9">
        <f t="shared" si="56"/>
        <v>1953683.02</v>
      </c>
      <c r="AA320" s="5" t="s">
        <v>400</v>
      </c>
      <c r="AB320" s="8" t="str">
        <f>_xlfn.XLOOKUP(AA320, 'Agency List'!A$2:A$145, 'Agency List'!B$2:B$145, "Not Found")</f>
        <v>PARTH Kiritkumar MEHTA</v>
      </c>
      <c r="AC320" s="8" t="str">
        <f>_xlfn.XLOOKUP(AA320, 'Agency List'!A$2:A$145, 'Agency List'!C$2:C$145, "Not Found")</f>
        <v>Plot No. 1578/I, New Champa Tenament, Divadi Road, Rupani Circle, Bhavnagar - 364002</v>
      </c>
      <c r="AD320" s="8">
        <f>_xlfn.XLOOKUP(AA320, 'Agency List'!A$2:A$145, 'Agency List'!D$2:D$145, "Not Found")</f>
        <v>7990934709</v>
      </c>
      <c r="AE320" s="7"/>
      <c r="AF320" s="5" t="s">
        <v>357</v>
      </c>
      <c r="AG320" s="5" t="str">
        <f t="shared" si="57"/>
        <v>Bandhkam</v>
      </c>
      <c r="AH320" s="5"/>
      <c r="AI320" s="8"/>
      <c r="AJ320" s="8"/>
      <c r="AL320" s="16">
        <v>4</v>
      </c>
      <c r="AM320" s="12">
        <f t="shared" si="58"/>
        <v>98000</v>
      </c>
      <c r="AN320" s="7">
        <f t="shared" si="59"/>
        <v>46501</v>
      </c>
      <c r="AO320" s="12">
        <f t="shared" si="60"/>
        <v>4900</v>
      </c>
      <c r="AP320" s="12">
        <f t="shared" si="61"/>
        <v>0</v>
      </c>
      <c r="AQ320" s="15">
        <f t="shared" si="62"/>
        <v>46086</v>
      </c>
      <c r="AR320" s="7">
        <f t="shared" si="63"/>
        <v>46441</v>
      </c>
      <c r="AS320" s="5">
        <v>1330</v>
      </c>
      <c r="AT320" s="7">
        <v>45915</v>
      </c>
      <c r="AU320" s="5"/>
      <c r="AV320" s="17"/>
      <c r="AW320" s="17"/>
      <c r="AX320" s="5"/>
      <c r="AY320" s="5"/>
      <c r="AZ320" s="13"/>
      <c r="BA320" s="12"/>
      <c r="BB320" s="7"/>
      <c r="BC320" s="14"/>
      <c r="BD320" s="14"/>
      <c r="BF320" s="12"/>
      <c r="BG320" s="14"/>
      <c r="BH320" s="19">
        <v>45931</v>
      </c>
      <c r="BI320" s="5"/>
      <c r="BK320" s="5">
        <v>1711</v>
      </c>
      <c r="BL320" s="7">
        <v>46006</v>
      </c>
      <c r="BM320" s="18"/>
      <c r="BN320" s="18"/>
      <c r="BO320" s="18"/>
      <c r="BP320" s="18"/>
      <c r="BQ320" s="5"/>
      <c r="BR320" s="18"/>
      <c r="BS320" s="18"/>
      <c r="BT320" s="35">
        <f t="shared" si="65"/>
        <v>46051</v>
      </c>
    </row>
    <row r="321" spans="1:72" ht="43.5" x14ac:dyDescent="0.35">
      <c r="A321" s="5">
        <v>320</v>
      </c>
      <c r="B321" s="5"/>
      <c r="C321" s="5" t="s">
        <v>78</v>
      </c>
      <c r="D321" s="5">
        <v>14</v>
      </c>
      <c r="E321" s="5">
        <v>39</v>
      </c>
      <c r="F321" s="8" t="s">
        <v>678</v>
      </c>
      <c r="G321" s="8"/>
      <c r="H321" s="5" t="s">
        <v>13</v>
      </c>
      <c r="I321" s="5" t="str" cm="1">
        <f t="array" ref="I321">_xlfn.IFS(
  H321="Mahuva", "Mahuva",
  H321="Jesar", "Mahuva",
  H321="Palitana", "Palitana",
  H321="Gariyadhar", "Palitana",
  H321="Talaja", "Talaja",
  H321="Vallabhipur", "Vallabhipur",
  H321="Umrala", "Vallabhipur",
  H321="Shihor", "Shihor",
  H321="Ghogha", "Bhavnagar",
  H321="Bhavnagar", "Bhavnagar"
)</f>
        <v>Shihor</v>
      </c>
      <c r="J321" s="5" t="s">
        <v>256</v>
      </c>
      <c r="K321" s="5" t="s">
        <v>418</v>
      </c>
      <c r="L321" s="5">
        <v>211837</v>
      </c>
      <c r="M321" s="5"/>
      <c r="N321" s="7">
        <v>45872</v>
      </c>
      <c r="O321" s="7">
        <v>45880</v>
      </c>
      <c r="P321" s="7">
        <v>45881</v>
      </c>
      <c r="Q321" s="7">
        <f t="shared" si="53"/>
        <v>46000</v>
      </c>
      <c r="R321" s="9">
        <v>2079935.08</v>
      </c>
      <c r="S321" s="33"/>
      <c r="T321" s="9">
        <v>1953683.02</v>
      </c>
      <c r="U321" s="10">
        <v>-6.07</v>
      </c>
      <c r="V321" s="10" t="str">
        <f t="shared" si="54"/>
        <v>Below</v>
      </c>
      <c r="W321" s="11" t="str" cm="1">
        <f t="array" ref="W321">NumberToWords(T321)</f>
        <v>Nineteen Lakh Fifty Three Thousand Six Hundred Eighty Three Rupees and Two Paise Only</v>
      </c>
      <c r="X321" s="10" t="str">
        <f t="shared" si="55"/>
        <v>Division</v>
      </c>
      <c r="Z321" s="9">
        <f t="shared" si="56"/>
        <v>1953683.02</v>
      </c>
      <c r="AA321" s="5" t="s">
        <v>400</v>
      </c>
      <c r="AB321" s="8" t="str">
        <f>_xlfn.XLOOKUP(AA321, 'Agency List'!A$2:A$145, 'Agency List'!B$2:B$145, "Not Found")</f>
        <v>PARTH Kiritkumar MEHTA</v>
      </c>
      <c r="AC321" s="8" t="str">
        <f>_xlfn.XLOOKUP(AA321, 'Agency List'!A$2:A$145, 'Agency List'!C$2:C$145, "Not Found")</f>
        <v>Plot No. 1578/I, New Champa Tenament, Divadi Road, Rupani Circle, Bhavnagar - 364002</v>
      </c>
      <c r="AD321" s="8">
        <f>_xlfn.XLOOKUP(AA321, 'Agency List'!A$2:A$145, 'Agency List'!D$2:D$145, "Not Found")</f>
        <v>7990934709</v>
      </c>
      <c r="AE321" s="7"/>
      <c r="AF321" s="5" t="s">
        <v>357</v>
      </c>
      <c r="AG321" s="5" t="str">
        <f t="shared" si="57"/>
        <v>Bandhkam</v>
      </c>
      <c r="AH321" s="5"/>
      <c r="AI321" s="8"/>
      <c r="AJ321" s="8"/>
      <c r="AL321" s="16">
        <v>4</v>
      </c>
      <c r="AM321" s="12">
        <f t="shared" si="58"/>
        <v>98000</v>
      </c>
      <c r="AN321" s="7">
        <f t="shared" si="59"/>
        <v>46515</v>
      </c>
      <c r="AO321" s="12">
        <f t="shared" si="60"/>
        <v>4900</v>
      </c>
      <c r="AP321" s="12">
        <f t="shared" si="61"/>
        <v>0</v>
      </c>
      <c r="AQ321" s="15">
        <f t="shared" si="62"/>
        <v>46100</v>
      </c>
      <c r="AR321" s="7">
        <f t="shared" si="63"/>
        <v>46455</v>
      </c>
      <c r="AS321" s="5">
        <v>1315</v>
      </c>
      <c r="AT321" s="7">
        <v>45915</v>
      </c>
      <c r="AU321" s="5" t="s">
        <v>78</v>
      </c>
      <c r="AV321" s="17">
        <v>189</v>
      </c>
      <c r="AW321" s="37">
        <v>45943</v>
      </c>
      <c r="AX321" s="5" t="s">
        <v>355</v>
      </c>
      <c r="AY321" s="5" t="s">
        <v>369</v>
      </c>
      <c r="AZ321" s="13">
        <v>44526140342</v>
      </c>
      <c r="BA321" s="12">
        <v>98000</v>
      </c>
      <c r="BB321" s="7">
        <v>45934</v>
      </c>
      <c r="BC321" s="14"/>
      <c r="BD321" s="14"/>
      <c r="BF321" s="12"/>
      <c r="BG321" s="14"/>
      <c r="BH321" s="19">
        <v>45945</v>
      </c>
      <c r="BI321" s="5">
        <v>1473</v>
      </c>
      <c r="BJ321" s="19">
        <v>45943</v>
      </c>
      <c r="BM321" s="18"/>
      <c r="BN321" s="18"/>
      <c r="BO321" s="18"/>
      <c r="BP321" s="18"/>
      <c r="BQ321" s="5"/>
      <c r="BR321" s="18"/>
      <c r="BS321" s="18"/>
      <c r="BT321" s="35">
        <f t="shared" si="65"/>
        <v>46065</v>
      </c>
    </row>
    <row r="322" spans="1:72" ht="43.5" x14ac:dyDescent="0.35">
      <c r="A322" s="5">
        <v>321</v>
      </c>
      <c r="B322" s="5"/>
      <c r="C322" s="5" t="s">
        <v>78</v>
      </c>
      <c r="D322" s="5">
        <v>14</v>
      </c>
      <c r="E322" s="5">
        <v>40</v>
      </c>
      <c r="F322" s="8" t="s">
        <v>679</v>
      </c>
      <c r="G322" s="8"/>
      <c r="H322" s="5" t="s">
        <v>278</v>
      </c>
      <c r="I322" s="5" t="str" cm="1">
        <f t="array" ref="I322">_xlfn.IFS(
  H322="Mahuva", "Mahuva",
  H322="Jesar", "Mahuva",
  H322="Palitana", "Palitana",
  H322="Gariyadhar", "Palitana",
  H322="Talaja", "Talaja",
  H322="Vallabhipur", "Vallabhipur",
  H322="Umrala", "Vallabhipur",
  H322="Shihor", "Shihor",
  H322="Ghogha", "Bhavnagar",
  H322="Bhavnagar", "Bhavnagar"
)</f>
        <v>Mahuva</v>
      </c>
      <c r="J322" s="5" t="s">
        <v>256</v>
      </c>
      <c r="K322" s="5" t="s">
        <v>418</v>
      </c>
      <c r="L322" s="5">
        <v>211841</v>
      </c>
      <c r="M322" s="5"/>
      <c r="N322" s="7">
        <v>45872</v>
      </c>
      <c r="O322" s="7">
        <v>45880</v>
      </c>
      <c r="P322" s="7">
        <v>45881</v>
      </c>
      <c r="Q322" s="7">
        <f t="shared" ref="Q322:Q385" si="66">O322+120</f>
        <v>46000</v>
      </c>
      <c r="R322" s="9">
        <v>2079935.08</v>
      </c>
      <c r="S322" s="33"/>
      <c r="T322" s="9">
        <v>1954514.99</v>
      </c>
      <c r="U322" s="10">
        <v>-6.03</v>
      </c>
      <c r="V322" s="10" t="str">
        <f t="shared" ref="V322:V385" si="67">IF(U322&lt;0,"Below",IF(U322&gt;0,"Above","Equals"))</f>
        <v>Below</v>
      </c>
      <c r="W322" s="11" t="str" cm="1">
        <f t="array" ref="W322">NumberToWords(T322)</f>
        <v>Nineteen Lakh Fifty Four Thousand Five Hundred Fourteen Rupees and Ninety Nine Paise Only</v>
      </c>
      <c r="X322" s="10" t="str">
        <f t="shared" ref="X322:X385" si="68">IF(T322&lt;5000000,"Division",IF(T322&lt;=20000000,"Circle","Government"))</f>
        <v>Division</v>
      </c>
      <c r="Z322" s="9">
        <f t="shared" ref="Z322:Z385" si="69">T322+Y322</f>
        <v>1954514.99</v>
      </c>
      <c r="AA322" s="5" t="s">
        <v>635</v>
      </c>
      <c r="AB322" s="8">
        <f>_xlfn.XLOOKUP(AA322, 'Agency List'!A$2:A$145, 'Agency List'!B$2:B$145, "Not Found")</f>
        <v>0</v>
      </c>
      <c r="AC322" s="8" t="str">
        <f>_xlfn.XLOOKUP(AA322, 'Agency List'!A$2:A$145, 'Agency List'!C$2:C$145, "Not Found")</f>
        <v>11, Brahman Sheri, At. Jesar, Dist. Bhavnagar</v>
      </c>
      <c r="AD322" s="8">
        <f>_xlfn.XLOOKUP(AA322, 'Agency List'!A$2:A$145, 'Agency List'!D$2:D$145, "Not Found")</f>
        <v>9825149802</v>
      </c>
      <c r="AE322" s="7"/>
      <c r="AF322" s="5"/>
      <c r="AG322" s="5" t="str">
        <f t="shared" ref="AG322:AG385" si="70">IF(AND(
   AF322&lt;&gt;"5054 MMGSY NORMAL",
   AF322&lt;&gt;"3054 MMGSY NORMAL",
   AF322&lt;&gt;"5054 MMGSY SCSP",
   AF322&lt;&gt;"5054 Suvidhapath"
),
   IF(T322&gt;2500000,"Karobari","Bandhkam"),
   "NA"
)</f>
        <v>Bandhkam</v>
      </c>
      <c r="AH322" s="5"/>
      <c r="AI322" s="8"/>
      <c r="AJ322" s="8"/>
      <c r="AL322" s="16">
        <v>4</v>
      </c>
      <c r="AM322" s="12">
        <f t="shared" ref="AM322:AM385" si="71">CEILING(T322*5/100, 1000)</f>
        <v>98000</v>
      </c>
      <c r="AN322" s="7">
        <f t="shared" ref="AN322:AN385" si="72">AR322+60</f>
        <v>46584</v>
      </c>
      <c r="AO322" s="12">
        <f t="shared" ref="AO322:AO385" si="73">CEILING(((AM322+AP322)*4.9/100),100)</f>
        <v>4900</v>
      </c>
      <c r="AP322" s="12">
        <f t="shared" ref="AP322:AP385" si="74">IF(U322&lt;-20,(CEILING(((R322*90/100)-T322)*30/100, 1000)),IF(U322&lt;-10,(CEILING(((R322*90/100)-T322)*20/100, 1000)),0))</f>
        <v>0</v>
      </c>
      <c r="AQ322" s="15">
        <f t="shared" ref="AQ322:AQ385" si="75">BH322+AL322*30+35</f>
        <v>46169</v>
      </c>
      <c r="AR322" s="7">
        <f t="shared" ref="AR322:AR385" si="76" xml:space="preserve">   IF(R322&gt;10000000,
      BH322 + AL322*30 + 36*30 + 30,
      BH322 + AL322*30 + 12*30 + 30
   )</f>
        <v>46524</v>
      </c>
      <c r="AS322" s="5">
        <v>1357</v>
      </c>
      <c r="AT322" s="7">
        <v>45922</v>
      </c>
      <c r="AU322" s="5" t="s">
        <v>78</v>
      </c>
      <c r="AV322" s="17">
        <v>257</v>
      </c>
      <c r="AW322" s="37">
        <v>46014</v>
      </c>
      <c r="AX322" s="5" t="s">
        <v>355</v>
      </c>
      <c r="AY322" s="5" t="s">
        <v>369</v>
      </c>
      <c r="AZ322" s="13">
        <v>44744794147</v>
      </c>
      <c r="BA322" s="12">
        <v>98000</v>
      </c>
      <c r="BB322" s="7">
        <v>46007</v>
      </c>
      <c r="BC322" s="14"/>
      <c r="BD322" s="14"/>
      <c r="BF322" s="12"/>
      <c r="BG322" s="14"/>
      <c r="BH322" s="19">
        <v>46014</v>
      </c>
      <c r="BI322" s="5">
        <v>1802</v>
      </c>
      <c r="BJ322" s="19">
        <v>46014</v>
      </c>
      <c r="BK322" s="5">
        <v>1707</v>
      </c>
      <c r="BL322" s="7">
        <v>46006</v>
      </c>
      <c r="BM322" s="53"/>
      <c r="BN322" s="18"/>
      <c r="BO322" s="18"/>
      <c r="BP322" s="18"/>
      <c r="BQ322" s="5"/>
      <c r="BR322" s="18"/>
      <c r="BS322" s="18"/>
      <c r="BT322" s="35">
        <f t="shared" si="65"/>
        <v>46134</v>
      </c>
    </row>
    <row r="323" spans="1:72" ht="43.5" x14ac:dyDescent="0.35">
      <c r="A323" s="5">
        <v>322</v>
      </c>
      <c r="B323" s="5"/>
      <c r="C323" s="5" t="s">
        <v>78</v>
      </c>
      <c r="D323" s="5">
        <v>14</v>
      </c>
      <c r="E323" s="5">
        <v>41</v>
      </c>
      <c r="F323" s="8" t="s">
        <v>620</v>
      </c>
      <c r="G323" s="8"/>
      <c r="H323" s="5" t="s">
        <v>3</v>
      </c>
      <c r="I323" s="5" t="str" cm="1">
        <f t="array" ref="I323">_xlfn.IFS(
  H323="Mahuva", "Mahuva",
  H323="Jesar", "Mahuva",
  H323="Palitana", "Palitana",
  H323="Gariyadhar", "Palitana",
  H323="Talaja", "Talaja",
  H323="Vallabhipur", "Vallabhipur",
  H323="Umrala", "Vallabhipur",
  H323="Shihor", "Shihor",
  H323="Ghogha", "Bhavnagar",
  H323="Bhavnagar", "Bhavnagar"
)</f>
        <v>Palitana</v>
      </c>
      <c r="J323" s="5" t="s">
        <v>256</v>
      </c>
      <c r="K323" s="5" t="s">
        <v>417</v>
      </c>
      <c r="L323" s="5">
        <v>211842</v>
      </c>
      <c r="M323" s="5">
        <v>2</v>
      </c>
      <c r="N323" s="7">
        <v>45872</v>
      </c>
      <c r="O323" s="7">
        <v>45880</v>
      </c>
      <c r="P323" s="7">
        <v>45881</v>
      </c>
      <c r="Q323" s="7">
        <f t="shared" si="66"/>
        <v>46000</v>
      </c>
      <c r="R323" s="9">
        <v>2420954.2000000002</v>
      </c>
      <c r="S323" s="33"/>
      <c r="T323" s="9">
        <v>2197742.2200000002</v>
      </c>
      <c r="U323" s="10">
        <v>-9.2200000000000006</v>
      </c>
      <c r="V323" s="10" t="str">
        <f t="shared" si="67"/>
        <v>Below</v>
      </c>
      <c r="W323" s="11" t="str" cm="1">
        <f t="array" ref="W323">NumberToWords(T323)</f>
        <v>Twenty One Lakh Ninety Seven Thousand Seven Hundred Forty Two Rupees and Twenty Two Paise Only</v>
      </c>
      <c r="X323" s="10" t="str">
        <f t="shared" si="68"/>
        <v>Division</v>
      </c>
      <c r="Z323" s="9">
        <f t="shared" si="69"/>
        <v>2197742.2200000002</v>
      </c>
      <c r="AA323" s="5" t="s">
        <v>618</v>
      </c>
      <c r="AB323" s="8">
        <f>_xlfn.XLOOKUP(AA323, 'Agency List'!A$2:A$145, 'Agency List'!B$2:B$145, "Not Found")</f>
        <v>0</v>
      </c>
      <c r="AC323" s="8" t="str">
        <f>_xlfn.XLOOKUP(AA323, 'Agency List'!A$2:A$145, 'Agency List'!C$2:C$145, "Not Found")</f>
        <v>At Modhuka, Ta. Vinchhiya, Dist. Rajkot</v>
      </c>
      <c r="AD323" s="8">
        <f>_xlfn.XLOOKUP(AA323, 'Agency List'!A$2:A$145, 'Agency List'!D$2:D$145, "Not Found")</f>
        <v>9723355852</v>
      </c>
      <c r="AE323" s="7"/>
      <c r="AF323" s="5" t="s">
        <v>817</v>
      </c>
      <c r="AG323" s="5" t="str">
        <f t="shared" si="70"/>
        <v>Bandhkam</v>
      </c>
      <c r="AH323" s="5"/>
      <c r="AI323" s="8"/>
      <c r="AJ323" s="8"/>
      <c r="AL323" s="16">
        <v>4</v>
      </c>
      <c r="AM323" s="12">
        <f t="shared" si="71"/>
        <v>110000</v>
      </c>
      <c r="AN323" s="7">
        <f t="shared" si="72"/>
        <v>46465</v>
      </c>
      <c r="AO323" s="12">
        <f t="shared" si="73"/>
        <v>5400</v>
      </c>
      <c r="AP323" s="12">
        <f t="shared" si="74"/>
        <v>0</v>
      </c>
      <c r="AQ323" s="15">
        <f t="shared" si="75"/>
        <v>46050</v>
      </c>
      <c r="AR323" s="7">
        <f t="shared" si="76"/>
        <v>46405</v>
      </c>
      <c r="AS323" s="5">
        <v>1181</v>
      </c>
      <c r="AT323" s="7">
        <v>45890</v>
      </c>
      <c r="AU323" s="5" t="s">
        <v>78</v>
      </c>
      <c r="AV323" s="17">
        <v>111</v>
      </c>
      <c r="AW323" s="37">
        <v>45895</v>
      </c>
      <c r="AX323" s="5" t="s">
        <v>355</v>
      </c>
      <c r="AY323" s="5" t="s">
        <v>363</v>
      </c>
      <c r="AZ323" s="13" t="s">
        <v>639</v>
      </c>
      <c r="BA323" s="12">
        <v>110000</v>
      </c>
      <c r="BB323" s="7">
        <v>45891</v>
      </c>
      <c r="BC323" s="14"/>
      <c r="BD323" s="14"/>
      <c r="BF323" s="12"/>
      <c r="BG323" s="14"/>
      <c r="BH323" s="37">
        <v>45895</v>
      </c>
      <c r="BI323" s="5">
        <v>1203</v>
      </c>
      <c r="BJ323" s="19">
        <v>45895</v>
      </c>
      <c r="BM323" s="18"/>
      <c r="BN323" s="18"/>
      <c r="BO323" s="18"/>
      <c r="BP323" s="18"/>
      <c r="BQ323" s="5"/>
      <c r="BR323" s="18"/>
      <c r="BS323" s="18"/>
      <c r="BT323" s="35"/>
    </row>
    <row r="324" spans="1:72" ht="58" x14ac:dyDescent="0.35">
      <c r="A324" s="5">
        <v>323</v>
      </c>
      <c r="B324" s="5"/>
      <c r="C324" s="5" t="s">
        <v>78</v>
      </c>
      <c r="D324" s="5">
        <v>14</v>
      </c>
      <c r="E324" s="5">
        <v>42</v>
      </c>
      <c r="F324" s="8" t="s">
        <v>619</v>
      </c>
      <c r="G324" s="8"/>
      <c r="H324" s="5" t="s">
        <v>2</v>
      </c>
      <c r="I324" s="5" t="str" cm="1">
        <f t="array" ref="I324">_xlfn.IFS(
  H324="Mahuva", "Mahuva",
  H324="Jesar", "Mahuva",
  H324="Palitana", "Palitana",
  H324="Gariyadhar", "Palitana",
  H324="Talaja", "Talaja",
  H324="Vallabhipur", "Vallabhipur",
  H324="Umrala", "Vallabhipur",
  H324="Shihor", "Shihor",
  H324="Ghogha", "Bhavnagar",
  H324="Bhavnagar", "Bhavnagar"
)</f>
        <v>Vallabhipur</v>
      </c>
      <c r="J324" s="5" t="s">
        <v>256</v>
      </c>
      <c r="K324" s="5" t="s">
        <v>417</v>
      </c>
      <c r="L324" s="5">
        <v>211843</v>
      </c>
      <c r="M324" s="5">
        <v>2</v>
      </c>
      <c r="N324" s="7">
        <v>45872</v>
      </c>
      <c r="O324" s="7">
        <v>45880</v>
      </c>
      <c r="P324" s="7">
        <v>45881</v>
      </c>
      <c r="Q324" s="7">
        <f t="shared" si="66"/>
        <v>46000</v>
      </c>
      <c r="R324" s="9">
        <v>1634615.63</v>
      </c>
      <c r="S324" s="33"/>
      <c r="T324" s="9">
        <v>1525750.23</v>
      </c>
      <c r="U324" s="10">
        <v>-6.66</v>
      </c>
      <c r="V324" s="10" t="str">
        <f t="shared" si="67"/>
        <v>Below</v>
      </c>
      <c r="W324" s="11" t="str" cm="1">
        <f t="array" ref="W324">NumberToWords(T324)</f>
        <v>Fifteen Lakh Twenty Five Thousand Seven Hundred Fifty Rupees and Twenty Three Paise Only</v>
      </c>
      <c r="X324" s="10" t="str">
        <f t="shared" si="68"/>
        <v>Division</v>
      </c>
      <c r="Z324" s="9">
        <f t="shared" si="69"/>
        <v>1525750.23</v>
      </c>
      <c r="AA324" s="5" t="s">
        <v>5</v>
      </c>
      <c r="AB324" s="8" t="str">
        <f>_xlfn.XLOOKUP(AA324, 'Agency List'!A$2:A$145, 'Agency List'!B$2:B$145, "Not Found")</f>
        <v>C. H. Gohil</v>
      </c>
      <c r="AC324" s="8" t="str">
        <f>_xlfn.XLOOKUP(AA324, 'Agency List'!A$2:A$145, 'Agency List'!C$2:C$145, "Not Found")</f>
        <v>Ground Floor, Shop No.2, House No.151, Near Chabutara, Dadva Road, Dhola, Ta.Umrala, Dist.Bhavnagar</v>
      </c>
      <c r="AD324" s="8">
        <f>_xlfn.XLOOKUP(AA324, 'Agency List'!A$2:A$145, 'Agency List'!D$2:D$145, "Not Found")</f>
        <v>9377666263</v>
      </c>
      <c r="AE324" s="7"/>
      <c r="AF324" s="5" t="s">
        <v>817</v>
      </c>
      <c r="AG324" s="5" t="str">
        <f t="shared" si="70"/>
        <v>Bandhkam</v>
      </c>
      <c r="AH324" s="5"/>
      <c r="AI324" s="8"/>
      <c r="AJ324" s="8"/>
      <c r="AL324" s="16">
        <v>4</v>
      </c>
      <c r="AM324" s="12">
        <f t="shared" si="71"/>
        <v>77000</v>
      </c>
      <c r="AN324" s="7">
        <f t="shared" si="72"/>
        <v>46501</v>
      </c>
      <c r="AO324" s="12">
        <f t="shared" si="73"/>
        <v>3800</v>
      </c>
      <c r="AP324" s="12">
        <f t="shared" si="74"/>
        <v>0</v>
      </c>
      <c r="AQ324" s="15">
        <f t="shared" si="75"/>
        <v>46086</v>
      </c>
      <c r="AR324" s="7">
        <f t="shared" si="76"/>
        <v>46441</v>
      </c>
      <c r="AS324" s="5">
        <v>1183</v>
      </c>
      <c r="AT324" s="7">
        <v>45890</v>
      </c>
      <c r="AU324" s="5" t="s">
        <v>78</v>
      </c>
      <c r="AV324" s="17">
        <v>167</v>
      </c>
      <c r="AW324" s="19">
        <v>45931</v>
      </c>
      <c r="AX324" s="5" t="s">
        <v>355</v>
      </c>
      <c r="AY324" s="5" t="s">
        <v>369</v>
      </c>
      <c r="AZ324" s="13">
        <v>44480750901</v>
      </c>
      <c r="BA324" s="12">
        <v>77000</v>
      </c>
      <c r="BB324" s="7">
        <v>45918</v>
      </c>
      <c r="BC324" s="14"/>
      <c r="BD324" s="14"/>
      <c r="BF324" s="12"/>
      <c r="BG324" s="14"/>
      <c r="BH324" s="19">
        <v>45931</v>
      </c>
      <c r="BI324" s="5">
        <v>1408</v>
      </c>
      <c r="BJ324" s="19">
        <v>45931</v>
      </c>
      <c r="BM324" s="18"/>
      <c r="BN324" s="18"/>
      <c r="BO324" s="18"/>
      <c r="BP324" s="18"/>
      <c r="BQ324" s="5"/>
      <c r="BR324" s="18"/>
      <c r="BS324" s="18"/>
      <c r="BT324" s="35"/>
    </row>
    <row r="325" spans="1:72" ht="43.5" x14ac:dyDescent="0.35">
      <c r="A325" s="5">
        <v>324</v>
      </c>
      <c r="B325" s="5"/>
      <c r="C325" s="5" t="s">
        <v>78</v>
      </c>
      <c r="D325" s="5">
        <v>14</v>
      </c>
      <c r="E325" s="5">
        <v>43</v>
      </c>
      <c r="F325" s="8" t="s">
        <v>617</v>
      </c>
      <c r="G325" s="8"/>
      <c r="H325" s="5" t="s">
        <v>2</v>
      </c>
      <c r="I325" s="5" t="str" cm="1">
        <f t="array" ref="I325">_xlfn.IFS(
  H325="Mahuva", "Mahuva",
  H325="Jesar", "Mahuva",
  H325="Palitana", "Palitana",
  H325="Gariyadhar", "Palitana",
  H325="Talaja", "Talaja",
  H325="Vallabhipur", "Vallabhipur",
  H325="Umrala", "Vallabhipur",
  H325="Shihor", "Shihor",
  H325="Ghogha", "Bhavnagar",
  H325="Bhavnagar", "Bhavnagar"
)</f>
        <v>Vallabhipur</v>
      </c>
      <c r="J325" s="5" t="s">
        <v>256</v>
      </c>
      <c r="K325" s="5" t="s">
        <v>417</v>
      </c>
      <c r="L325" s="5">
        <v>211846</v>
      </c>
      <c r="M325" s="5">
        <v>2</v>
      </c>
      <c r="N325" s="7">
        <v>45872</v>
      </c>
      <c r="O325" s="7">
        <v>45880</v>
      </c>
      <c r="P325" s="7">
        <v>45881</v>
      </c>
      <c r="Q325" s="7">
        <f t="shared" si="66"/>
        <v>46000</v>
      </c>
      <c r="R325" s="9">
        <v>1634615.63</v>
      </c>
      <c r="S325" s="33"/>
      <c r="T325" s="9">
        <v>1523952.15</v>
      </c>
      <c r="U325" s="10">
        <v>-6.77</v>
      </c>
      <c r="V325" s="10" t="str">
        <f t="shared" si="67"/>
        <v>Below</v>
      </c>
      <c r="W325" s="11" t="str" cm="1">
        <f t="array" ref="W325">NumberToWords(T325)</f>
        <v>Fifteen Lakh Twenty Three Thousand Nine Hundred Fifty Two Rupees and Fifteen Paise Only</v>
      </c>
      <c r="X325" s="10" t="str">
        <f t="shared" si="68"/>
        <v>Division</v>
      </c>
      <c r="Z325" s="9">
        <f t="shared" si="69"/>
        <v>1523952.15</v>
      </c>
      <c r="AA325" s="5" t="s">
        <v>618</v>
      </c>
      <c r="AB325" s="8">
        <f>_xlfn.XLOOKUP(AA325, 'Agency List'!A$2:A$145, 'Agency List'!B$2:B$145, "Not Found")</f>
        <v>0</v>
      </c>
      <c r="AC325" s="8" t="str">
        <f>_xlfn.XLOOKUP(AA325, 'Agency List'!A$2:A$145, 'Agency List'!C$2:C$145, "Not Found")</f>
        <v>At Modhuka, Ta. Vinchhiya, Dist. Rajkot</v>
      </c>
      <c r="AD325" s="8">
        <f>_xlfn.XLOOKUP(AA325, 'Agency List'!A$2:A$145, 'Agency List'!D$2:D$145, "Not Found")</f>
        <v>9723355852</v>
      </c>
      <c r="AE325" s="7"/>
      <c r="AF325" s="5" t="s">
        <v>817</v>
      </c>
      <c r="AG325" s="5" t="str">
        <f t="shared" si="70"/>
        <v>Bandhkam</v>
      </c>
      <c r="AH325" s="5"/>
      <c r="AI325" s="8"/>
      <c r="AJ325" s="8"/>
      <c r="AL325" s="16">
        <v>4</v>
      </c>
      <c r="AM325" s="12">
        <f t="shared" si="71"/>
        <v>77000</v>
      </c>
      <c r="AN325" s="7">
        <f t="shared" si="72"/>
        <v>46465</v>
      </c>
      <c r="AO325" s="12">
        <f t="shared" si="73"/>
        <v>3800</v>
      </c>
      <c r="AP325" s="12">
        <f t="shared" si="74"/>
        <v>0</v>
      </c>
      <c r="AQ325" s="15">
        <f t="shared" si="75"/>
        <v>46050</v>
      </c>
      <c r="AR325" s="7">
        <f t="shared" si="76"/>
        <v>46405</v>
      </c>
      <c r="AS325" s="5">
        <v>1182</v>
      </c>
      <c r="AT325" s="7">
        <v>45890</v>
      </c>
      <c r="AU325" s="5" t="s">
        <v>78</v>
      </c>
      <c r="AV325" s="17">
        <v>112</v>
      </c>
      <c r="AW325" s="37">
        <v>45895</v>
      </c>
      <c r="AX325" s="5" t="s">
        <v>355</v>
      </c>
      <c r="AY325" s="5" t="s">
        <v>363</v>
      </c>
      <c r="AZ325" s="13" t="s">
        <v>640</v>
      </c>
      <c r="BA325" s="12">
        <v>77000</v>
      </c>
      <c r="BB325" s="7">
        <v>45891</v>
      </c>
      <c r="BC325" s="14"/>
      <c r="BD325" s="14"/>
      <c r="BF325" s="12"/>
      <c r="BG325" s="14"/>
      <c r="BH325" s="37">
        <v>45895</v>
      </c>
      <c r="BI325" s="5">
        <v>1204</v>
      </c>
      <c r="BJ325" s="19">
        <v>45895</v>
      </c>
      <c r="BM325" s="18"/>
      <c r="BN325" s="18"/>
      <c r="BO325" s="18"/>
      <c r="BP325" s="18"/>
      <c r="BQ325" s="5"/>
      <c r="BR325" s="18"/>
      <c r="BS325" s="18"/>
      <c r="BT325" s="35"/>
    </row>
    <row r="326" spans="1:72" ht="58" x14ac:dyDescent="0.35">
      <c r="A326" s="5">
        <v>325</v>
      </c>
      <c r="B326" s="5"/>
      <c r="C326" s="5" t="s">
        <v>78</v>
      </c>
      <c r="D326" s="5">
        <v>14</v>
      </c>
      <c r="E326" s="5">
        <v>44</v>
      </c>
      <c r="F326" s="8" t="s">
        <v>594</v>
      </c>
      <c r="G326" s="8"/>
      <c r="H326" s="5" t="s">
        <v>257</v>
      </c>
      <c r="I326" s="5" t="str" cm="1">
        <f t="array" ref="I326">_xlfn.IFS(
  H326="Mahuva", "Mahuva",
  H326="Jesar", "Mahuva",
  H326="Palitana", "Palitana",
  H326="Gariyadhar", "Palitana",
  H326="Talaja", "Talaja",
  H326="Vallabhipur", "Vallabhipur",
  H326="Umrala", "Vallabhipur",
  H326="Shihor", "Shihor",
  H326="Ghogha", "Bhavnagar",
  H326="Bhavnagar", "Bhavnagar"
)</f>
        <v>Palitana</v>
      </c>
      <c r="J326" s="5" t="s">
        <v>256</v>
      </c>
      <c r="K326" s="5" t="s">
        <v>925</v>
      </c>
      <c r="L326" s="5">
        <v>211848</v>
      </c>
      <c r="M326" s="5"/>
      <c r="N326" s="7">
        <v>45872</v>
      </c>
      <c r="O326" s="7">
        <v>45880</v>
      </c>
      <c r="P326" s="7">
        <v>45881</v>
      </c>
      <c r="Q326" s="7">
        <f t="shared" si="66"/>
        <v>46000</v>
      </c>
      <c r="S326" s="33" t="s">
        <v>233</v>
      </c>
      <c r="U326" s="10"/>
      <c r="V326" s="10" t="str">
        <f t="shared" si="67"/>
        <v>Equals</v>
      </c>
      <c r="W326" s="11" t="str" cm="1">
        <f t="array" ref="W326">NumberToWords(T326)</f>
        <v>Zero Rupees Only</v>
      </c>
      <c r="X326" s="10" t="str">
        <f t="shared" si="68"/>
        <v>Division</v>
      </c>
      <c r="Z326" s="9">
        <f t="shared" si="69"/>
        <v>0</v>
      </c>
      <c r="AB326" s="8">
        <f>_xlfn.XLOOKUP(AA326, 'Agency List'!A$2:A$145, 'Agency List'!B$2:B$145, "Not Found")</f>
        <v>0</v>
      </c>
      <c r="AC326" s="8">
        <f>_xlfn.XLOOKUP(AA326, 'Agency List'!A$2:A$145, 'Agency List'!C$2:C$145, "Not Found")</f>
        <v>0</v>
      </c>
      <c r="AD326" s="8">
        <f>_xlfn.XLOOKUP(AA326, 'Agency List'!A$2:A$145, 'Agency List'!D$2:D$145, "Not Found")</f>
        <v>0</v>
      </c>
      <c r="AE326" s="7"/>
      <c r="AF326" s="5"/>
      <c r="AG326" s="5" t="str">
        <f t="shared" si="70"/>
        <v>Bandhkam</v>
      </c>
      <c r="AH326" s="5"/>
      <c r="AI326" s="8"/>
      <c r="AJ326" s="8"/>
      <c r="AL326" s="16"/>
      <c r="AM326" s="12">
        <f t="shared" si="71"/>
        <v>0</v>
      </c>
      <c r="AN326" s="7">
        <f t="shared" si="72"/>
        <v>450</v>
      </c>
      <c r="AO326" s="12">
        <f t="shared" si="73"/>
        <v>0</v>
      </c>
      <c r="AP326" s="12">
        <f t="shared" si="74"/>
        <v>0</v>
      </c>
      <c r="AQ326" s="15">
        <f t="shared" si="75"/>
        <v>35</v>
      </c>
      <c r="AR326" s="7">
        <f t="shared" si="76"/>
        <v>390</v>
      </c>
      <c r="AS326" s="5"/>
      <c r="AU326" s="5"/>
      <c r="AV326" s="17"/>
      <c r="AW326" s="17"/>
      <c r="AX326" s="5"/>
      <c r="AY326" s="5"/>
      <c r="AZ326" s="13"/>
      <c r="BA326" s="12"/>
      <c r="BB326" s="7"/>
      <c r="BC326" s="14"/>
      <c r="BD326" s="14"/>
      <c r="BF326" s="12"/>
      <c r="BG326" s="14"/>
      <c r="BH326" s="19"/>
      <c r="BI326" s="5"/>
      <c r="BM326" s="18"/>
      <c r="BN326" s="18"/>
      <c r="BO326" s="18"/>
      <c r="BP326" s="18"/>
      <c r="BQ326" s="5"/>
      <c r="BR326" s="18"/>
      <c r="BS326" s="18"/>
      <c r="BT326" s="35">
        <f t="shared" ref="BT326:BT341" si="77">BH326+AL326*30</f>
        <v>0</v>
      </c>
    </row>
    <row r="327" spans="1:72" ht="43.5" x14ac:dyDescent="0.35">
      <c r="A327" s="5">
        <v>326</v>
      </c>
      <c r="B327" s="5"/>
      <c r="C327" s="5" t="s">
        <v>78</v>
      </c>
      <c r="D327" s="5">
        <v>14</v>
      </c>
      <c r="E327" s="5">
        <v>45</v>
      </c>
      <c r="F327" s="8" t="s">
        <v>258</v>
      </c>
      <c r="G327" s="8"/>
      <c r="H327" s="5" t="s">
        <v>257</v>
      </c>
      <c r="I327" s="5" t="str" cm="1">
        <f t="array" ref="I327">_xlfn.IFS(
  H327="Mahuva", "Mahuva",
  H327="Jesar", "Mahuva",
  H327="Palitana", "Palitana",
  H327="Gariyadhar", "Palitana",
  H327="Talaja", "Talaja",
  H327="Vallabhipur", "Vallabhipur",
  H327="Umrala", "Vallabhipur",
  H327="Shihor", "Shihor",
  H327="Ghogha", "Bhavnagar",
  H327="Bhavnagar", "Bhavnagar"
)</f>
        <v>Palitana</v>
      </c>
      <c r="J327" s="5" t="s">
        <v>256</v>
      </c>
      <c r="K327" s="5" t="s">
        <v>418</v>
      </c>
      <c r="L327" s="5">
        <v>211850</v>
      </c>
      <c r="M327" s="5"/>
      <c r="N327" s="7">
        <v>45872</v>
      </c>
      <c r="O327" s="7">
        <v>45880</v>
      </c>
      <c r="P327" s="7">
        <v>45881</v>
      </c>
      <c r="Q327" s="7">
        <f t="shared" si="66"/>
        <v>46000</v>
      </c>
      <c r="S327" s="33" t="s">
        <v>233</v>
      </c>
      <c r="U327" s="10"/>
      <c r="V327" s="10" t="str">
        <f t="shared" si="67"/>
        <v>Equals</v>
      </c>
      <c r="W327" s="11" t="str" cm="1">
        <f t="array" ref="W327">NumberToWords(T327)</f>
        <v>Zero Rupees Only</v>
      </c>
      <c r="X327" s="10" t="str">
        <f t="shared" si="68"/>
        <v>Division</v>
      </c>
      <c r="Z327" s="9">
        <f t="shared" si="69"/>
        <v>0</v>
      </c>
      <c r="AB327" s="8">
        <f>_xlfn.XLOOKUP(AA327, 'Agency List'!A$2:A$145, 'Agency List'!B$2:B$145, "Not Found")</f>
        <v>0</v>
      </c>
      <c r="AC327" s="8">
        <f>_xlfn.XLOOKUP(AA327, 'Agency List'!A$2:A$145, 'Agency List'!C$2:C$145, "Not Found")</f>
        <v>0</v>
      </c>
      <c r="AD327" s="8">
        <f>_xlfn.XLOOKUP(AA327, 'Agency List'!A$2:A$145, 'Agency List'!D$2:D$145, "Not Found")</f>
        <v>0</v>
      </c>
      <c r="AE327" s="7"/>
      <c r="AF327" s="5"/>
      <c r="AG327" s="5" t="str">
        <f t="shared" si="70"/>
        <v>Bandhkam</v>
      </c>
      <c r="AH327" s="5"/>
      <c r="AI327" s="8"/>
      <c r="AJ327" s="8"/>
      <c r="AL327" s="16"/>
      <c r="AM327" s="12">
        <f t="shared" si="71"/>
        <v>0</v>
      </c>
      <c r="AN327" s="7">
        <f t="shared" si="72"/>
        <v>450</v>
      </c>
      <c r="AO327" s="12">
        <f t="shared" si="73"/>
        <v>0</v>
      </c>
      <c r="AP327" s="12">
        <f t="shared" si="74"/>
        <v>0</v>
      </c>
      <c r="AQ327" s="15">
        <f t="shared" si="75"/>
        <v>35</v>
      </c>
      <c r="AR327" s="7">
        <f t="shared" si="76"/>
        <v>390</v>
      </c>
      <c r="AS327" s="5"/>
      <c r="AU327" s="5"/>
      <c r="AV327" s="17"/>
      <c r="AW327" s="17"/>
      <c r="AX327" s="5"/>
      <c r="AY327" s="5"/>
      <c r="AZ327" s="13"/>
      <c r="BA327" s="12"/>
      <c r="BB327" s="7"/>
      <c r="BC327" s="14"/>
      <c r="BD327" s="14"/>
      <c r="BF327" s="12"/>
      <c r="BG327" s="14"/>
      <c r="BH327" s="19"/>
      <c r="BI327" s="5"/>
      <c r="BM327" s="18"/>
      <c r="BN327" s="18"/>
      <c r="BO327" s="18"/>
      <c r="BP327" s="18"/>
      <c r="BQ327" s="5"/>
      <c r="BR327" s="18"/>
      <c r="BS327" s="18"/>
      <c r="BT327" s="35">
        <f t="shared" si="77"/>
        <v>0</v>
      </c>
    </row>
    <row r="328" spans="1:72" ht="58" x14ac:dyDescent="0.35">
      <c r="A328" s="5">
        <v>327</v>
      </c>
      <c r="B328" s="5"/>
      <c r="C328" s="5" t="s">
        <v>78</v>
      </c>
      <c r="D328" s="5">
        <v>14</v>
      </c>
      <c r="E328" s="5">
        <v>46</v>
      </c>
      <c r="F328" s="8" t="s">
        <v>259</v>
      </c>
      <c r="G328" s="8"/>
      <c r="H328" s="5" t="s">
        <v>1</v>
      </c>
      <c r="I328" s="5" t="str" cm="1">
        <f t="array" ref="I328">_xlfn.IFS(
  H328="Mahuva", "Mahuva",
  H328="Jesar", "Mahuva",
  H328="Palitana", "Palitana",
  H328="Gariyadhar", "Palitana",
  H328="Talaja", "Talaja",
  H328="Vallabhipur", "Vallabhipur",
  H328="Umrala", "Vallabhipur",
  H328="Shihor", "Shihor",
  H328="Ghogha", "Bhavnagar",
  H328="Bhavnagar", "Bhavnagar"
)</f>
        <v>Bhavnagar</v>
      </c>
      <c r="J328" s="5" t="s">
        <v>256</v>
      </c>
      <c r="K328" s="5" t="s">
        <v>926</v>
      </c>
      <c r="L328" s="5">
        <v>211853</v>
      </c>
      <c r="M328" s="5"/>
      <c r="N328" s="7">
        <v>45872</v>
      </c>
      <c r="O328" s="7">
        <v>45880</v>
      </c>
      <c r="P328" s="7">
        <v>45881</v>
      </c>
      <c r="Q328" s="7">
        <f t="shared" si="66"/>
        <v>46000</v>
      </c>
      <c r="S328" s="33" t="s">
        <v>233</v>
      </c>
      <c r="U328" s="10"/>
      <c r="V328" s="10" t="str">
        <f t="shared" si="67"/>
        <v>Equals</v>
      </c>
      <c r="W328" s="11" t="str" cm="1">
        <f t="array" ref="W328">NumberToWords(T328)</f>
        <v>Zero Rupees Only</v>
      </c>
      <c r="X328" s="10" t="str">
        <f t="shared" si="68"/>
        <v>Division</v>
      </c>
      <c r="Z328" s="9">
        <f t="shared" si="69"/>
        <v>0</v>
      </c>
      <c r="AB328" s="8">
        <f>_xlfn.XLOOKUP(AA328, 'Agency List'!A$2:A$145, 'Agency List'!B$2:B$145, "Not Found")</f>
        <v>0</v>
      </c>
      <c r="AC328" s="8">
        <f>_xlfn.XLOOKUP(AA328, 'Agency List'!A$2:A$145, 'Agency List'!C$2:C$145, "Not Found")</f>
        <v>0</v>
      </c>
      <c r="AD328" s="8">
        <f>_xlfn.XLOOKUP(AA328, 'Agency List'!A$2:A$145, 'Agency List'!D$2:D$145, "Not Found")</f>
        <v>0</v>
      </c>
      <c r="AE328" s="7"/>
      <c r="AF328" s="5"/>
      <c r="AG328" s="5" t="str">
        <f t="shared" si="70"/>
        <v>Bandhkam</v>
      </c>
      <c r="AH328" s="5"/>
      <c r="AI328" s="8"/>
      <c r="AJ328" s="8"/>
      <c r="AL328" s="16"/>
      <c r="AM328" s="12">
        <f t="shared" si="71"/>
        <v>0</v>
      </c>
      <c r="AN328" s="7">
        <f t="shared" si="72"/>
        <v>450</v>
      </c>
      <c r="AO328" s="12">
        <f t="shared" si="73"/>
        <v>0</v>
      </c>
      <c r="AP328" s="12">
        <f t="shared" si="74"/>
        <v>0</v>
      </c>
      <c r="AQ328" s="15">
        <f t="shared" si="75"/>
        <v>35</v>
      </c>
      <c r="AR328" s="7">
        <f t="shared" si="76"/>
        <v>390</v>
      </c>
      <c r="AS328" s="5"/>
      <c r="AU328" s="5"/>
      <c r="AV328" s="17"/>
      <c r="AW328" s="17"/>
      <c r="AX328" s="5"/>
      <c r="AY328" s="5"/>
      <c r="AZ328" s="13"/>
      <c r="BA328" s="12"/>
      <c r="BB328" s="7"/>
      <c r="BC328" s="14"/>
      <c r="BD328" s="14"/>
      <c r="BF328" s="12"/>
      <c r="BG328" s="14"/>
      <c r="BH328" s="19"/>
      <c r="BI328" s="5"/>
      <c r="BM328" s="18"/>
      <c r="BN328" s="18"/>
      <c r="BO328" s="18"/>
      <c r="BP328" s="18"/>
      <c r="BQ328" s="5"/>
      <c r="BR328" s="18"/>
      <c r="BS328" s="18"/>
      <c r="BT328" s="35">
        <f t="shared" si="77"/>
        <v>0</v>
      </c>
    </row>
    <row r="329" spans="1:72" ht="29" x14ac:dyDescent="0.35">
      <c r="A329" s="5">
        <v>328</v>
      </c>
      <c r="B329" s="5"/>
      <c r="C329" s="5" t="s">
        <v>78</v>
      </c>
      <c r="D329" s="5">
        <v>14</v>
      </c>
      <c r="E329" s="5">
        <v>47</v>
      </c>
      <c r="F329" s="46" t="s">
        <v>261</v>
      </c>
      <c r="G329" s="8"/>
      <c r="H329" s="5" t="s">
        <v>12</v>
      </c>
      <c r="I329" s="5" t="str" cm="1">
        <f t="array" ref="I329">_xlfn.IFS(
  H329="Mahuva", "Mahuva",
  H329="Jesar", "Mahuva",
  H329="Palitana", "Palitana",
  H329="Gariyadhar", "Palitana",
  H329="Talaja", "Talaja",
  H329="Vallabhipur", "Vallabhipur",
  H329="Umrala", "Vallabhipur",
  H329="Shihor", "Shihor",
  H329="Ghogha", "Bhavnagar",
  H329="Bhavnagar", "Bhavnagar"
)</f>
        <v>Mahuva</v>
      </c>
      <c r="J329" s="5" t="s">
        <v>256</v>
      </c>
      <c r="K329" s="5" t="s">
        <v>624</v>
      </c>
      <c r="L329" s="5">
        <v>211854</v>
      </c>
      <c r="M329" s="5"/>
      <c r="N329" s="7">
        <v>45872</v>
      </c>
      <c r="O329" s="7">
        <v>45880</v>
      </c>
      <c r="P329" s="7">
        <v>45881</v>
      </c>
      <c r="Q329" s="7">
        <f t="shared" si="66"/>
        <v>46000</v>
      </c>
      <c r="S329" s="33" t="s">
        <v>233</v>
      </c>
      <c r="U329" s="10"/>
      <c r="V329" s="10" t="str">
        <f t="shared" si="67"/>
        <v>Equals</v>
      </c>
      <c r="W329" s="11" t="str" cm="1">
        <f t="array" ref="W329">NumberToWords(T329)</f>
        <v>Zero Rupees Only</v>
      </c>
      <c r="X329" s="10" t="str">
        <f t="shared" si="68"/>
        <v>Division</v>
      </c>
      <c r="Z329" s="9">
        <f t="shared" si="69"/>
        <v>0</v>
      </c>
      <c r="AB329" s="8">
        <f>_xlfn.XLOOKUP(AA329, 'Agency List'!A$2:A$145, 'Agency List'!B$2:B$145, "Not Found")</f>
        <v>0</v>
      </c>
      <c r="AC329" s="8">
        <f>_xlfn.XLOOKUP(AA329, 'Agency List'!A$2:A$145, 'Agency List'!C$2:C$145, "Not Found")</f>
        <v>0</v>
      </c>
      <c r="AD329" s="8">
        <f>_xlfn.XLOOKUP(AA329, 'Agency List'!A$2:A$145, 'Agency List'!D$2:D$145, "Not Found")</f>
        <v>0</v>
      </c>
      <c r="AE329" s="7"/>
      <c r="AF329" s="5"/>
      <c r="AG329" s="5" t="str">
        <f t="shared" si="70"/>
        <v>Bandhkam</v>
      </c>
      <c r="AH329" s="5"/>
      <c r="AI329" s="8"/>
      <c r="AJ329" s="8"/>
      <c r="AL329" s="16"/>
      <c r="AM329" s="12">
        <f t="shared" si="71"/>
        <v>0</v>
      </c>
      <c r="AN329" s="7">
        <f t="shared" si="72"/>
        <v>450</v>
      </c>
      <c r="AO329" s="12">
        <f t="shared" si="73"/>
        <v>0</v>
      </c>
      <c r="AP329" s="12">
        <f t="shared" si="74"/>
        <v>0</v>
      </c>
      <c r="AQ329" s="15">
        <f t="shared" si="75"/>
        <v>35</v>
      </c>
      <c r="AR329" s="7">
        <f t="shared" si="76"/>
        <v>390</v>
      </c>
      <c r="AS329" s="5"/>
      <c r="AU329" s="5"/>
      <c r="AV329" s="17"/>
      <c r="AW329" s="17"/>
      <c r="AX329" s="5"/>
      <c r="AY329" s="5"/>
      <c r="AZ329" s="13"/>
      <c r="BA329" s="12"/>
      <c r="BB329" s="7"/>
      <c r="BC329" s="14"/>
      <c r="BD329" s="14"/>
      <c r="BF329" s="12"/>
      <c r="BG329" s="14"/>
      <c r="BH329" s="19"/>
      <c r="BI329" s="5"/>
      <c r="BM329" s="18"/>
      <c r="BN329" s="18"/>
      <c r="BO329" s="18"/>
      <c r="BP329" s="18"/>
      <c r="BQ329" s="5"/>
      <c r="BR329" s="18"/>
      <c r="BS329" s="18"/>
      <c r="BT329" s="35">
        <f t="shared" si="77"/>
        <v>0</v>
      </c>
    </row>
    <row r="330" spans="1:72" ht="43.5" x14ac:dyDescent="0.35">
      <c r="A330" s="5">
        <v>329</v>
      </c>
      <c r="B330" s="5"/>
      <c r="C330" s="5" t="s">
        <v>78</v>
      </c>
      <c r="D330" s="5">
        <v>14</v>
      </c>
      <c r="E330" s="5">
        <v>48</v>
      </c>
      <c r="F330" s="8" t="s">
        <v>680</v>
      </c>
      <c r="G330" s="8"/>
      <c r="H330" s="5" t="s">
        <v>12</v>
      </c>
      <c r="I330" s="5" t="str" cm="1">
        <f t="array" ref="I330">_xlfn.IFS(
  H330="Mahuva", "Mahuva",
  H330="Jesar", "Mahuva",
  H330="Palitana", "Palitana",
  H330="Gariyadhar", "Palitana",
  H330="Talaja", "Talaja",
  H330="Vallabhipur", "Vallabhipur",
  H330="Umrala", "Vallabhipur",
  H330="Shihor", "Shihor",
  H330="Ghogha", "Bhavnagar",
  H330="Bhavnagar", "Bhavnagar"
)</f>
        <v>Mahuva</v>
      </c>
      <c r="J330" s="5" t="s">
        <v>256</v>
      </c>
      <c r="K330" s="5" t="s">
        <v>624</v>
      </c>
      <c r="L330" s="5">
        <v>211857</v>
      </c>
      <c r="M330" s="5"/>
      <c r="N330" s="7">
        <v>45872</v>
      </c>
      <c r="O330" s="7">
        <v>45880</v>
      </c>
      <c r="P330" s="7">
        <v>45881</v>
      </c>
      <c r="Q330" s="7">
        <f t="shared" si="66"/>
        <v>46000</v>
      </c>
      <c r="R330" s="9">
        <v>1024912.96</v>
      </c>
      <c r="S330" s="33"/>
      <c r="T330" s="9">
        <v>1012101.55</v>
      </c>
      <c r="U330" s="10">
        <v>-1.25</v>
      </c>
      <c r="V330" s="10" t="str">
        <f t="shared" si="67"/>
        <v>Below</v>
      </c>
      <c r="W330" s="11" t="str" cm="1">
        <f t="array" ref="W330">NumberToWords(T330)</f>
        <v>Ten Lakh Twelve Thousand One Hundred One Rupees and Fifty Five Paise Only</v>
      </c>
      <c r="X330" s="10" t="str">
        <f t="shared" si="68"/>
        <v>Division</v>
      </c>
      <c r="Z330" s="9">
        <f t="shared" si="69"/>
        <v>1012101.55</v>
      </c>
      <c r="AA330" s="5" t="s">
        <v>634</v>
      </c>
      <c r="AB330" s="8">
        <f>_xlfn.XLOOKUP(AA330, 'Agency List'!A$2:A$145, 'Agency List'!B$2:B$145, "Not Found")</f>
        <v>0</v>
      </c>
      <c r="AC330" s="8" t="str">
        <f>_xlfn.XLOOKUP(AA330, 'Agency List'!A$2:A$145, 'Agency List'!C$2:C$145, "Not Found")</f>
        <v>Plot No. 233, Nu.N.Yo. No.3, Near Muni Nagar, Mahuva</v>
      </c>
      <c r="AD330" s="8">
        <f>_xlfn.XLOOKUP(AA330, 'Agency List'!A$2:A$145, 'Agency List'!D$2:D$145, "Not Found")</f>
        <v>9824837530</v>
      </c>
      <c r="AE330" s="7"/>
      <c r="AF330" s="5" t="s">
        <v>914</v>
      </c>
      <c r="AG330" s="5" t="str">
        <f t="shared" si="70"/>
        <v>Bandhkam</v>
      </c>
      <c r="AH330" s="5"/>
      <c r="AI330" s="8"/>
      <c r="AJ330" s="8"/>
      <c r="AL330" s="16">
        <v>3</v>
      </c>
      <c r="AM330" s="12">
        <f t="shared" si="71"/>
        <v>51000</v>
      </c>
      <c r="AN330" s="7">
        <f t="shared" si="72"/>
        <v>46543</v>
      </c>
      <c r="AO330" s="12">
        <f t="shared" si="73"/>
        <v>2500</v>
      </c>
      <c r="AP330" s="12">
        <f t="shared" si="74"/>
        <v>0</v>
      </c>
      <c r="AQ330" s="15">
        <f t="shared" si="75"/>
        <v>46128</v>
      </c>
      <c r="AR330" s="7">
        <f t="shared" si="76"/>
        <v>46483</v>
      </c>
      <c r="AS330" s="5">
        <v>1331</v>
      </c>
      <c r="AT330" s="7">
        <v>45915</v>
      </c>
      <c r="AU330" s="5" t="s">
        <v>78</v>
      </c>
      <c r="AV330" s="17">
        <v>230</v>
      </c>
      <c r="AW330" s="37">
        <v>46003</v>
      </c>
      <c r="AX330" s="5" t="s">
        <v>355</v>
      </c>
      <c r="AY330" s="5" t="s">
        <v>609</v>
      </c>
      <c r="AZ330" s="45" t="s">
        <v>913</v>
      </c>
      <c r="BA330" s="12">
        <v>51000</v>
      </c>
      <c r="BB330" s="7">
        <v>45934</v>
      </c>
      <c r="BC330" s="14"/>
      <c r="BD330" s="14"/>
      <c r="BF330" s="12"/>
      <c r="BG330" s="14"/>
      <c r="BH330" s="19">
        <v>46003</v>
      </c>
      <c r="BI330" s="5">
        <v>1694</v>
      </c>
      <c r="BJ330" s="19">
        <v>46003</v>
      </c>
      <c r="BM330" s="18"/>
      <c r="BN330" s="18"/>
      <c r="BO330" s="18"/>
      <c r="BP330" s="18"/>
      <c r="BQ330" s="5"/>
      <c r="BR330" s="18"/>
      <c r="BS330" s="18"/>
      <c r="BT330" s="35">
        <f t="shared" si="77"/>
        <v>46093</v>
      </c>
    </row>
    <row r="331" spans="1:72" ht="43.5" x14ac:dyDescent="0.35">
      <c r="A331" s="5">
        <v>330</v>
      </c>
      <c r="B331" s="5"/>
      <c r="C331" s="5" t="s">
        <v>78</v>
      </c>
      <c r="D331" s="5">
        <v>14</v>
      </c>
      <c r="E331" s="5">
        <v>49</v>
      </c>
      <c r="F331" s="8" t="s">
        <v>268</v>
      </c>
      <c r="G331" s="8"/>
      <c r="H331" s="5" t="s">
        <v>12</v>
      </c>
      <c r="I331" s="5" t="str" cm="1">
        <f t="array" ref="I331">_xlfn.IFS(
  H331="Mahuva", "Mahuva",
  H331="Jesar", "Mahuva",
  H331="Palitana", "Palitana",
  H331="Gariyadhar", "Palitana",
  H331="Talaja", "Talaja",
  H331="Vallabhipur", "Vallabhipur",
  H331="Umrala", "Vallabhipur",
  H331="Shihor", "Shihor",
  H331="Ghogha", "Bhavnagar",
  H331="Bhavnagar", "Bhavnagar"
)</f>
        <v>Mahuva</v>
      </c>
      <c r="J331" s="5" t="s">
        <v>256</v>
      </c>
      <c r="K331" s="5" t="s">
        <v>624</v>
      </c>
      <c r="L331" s="5">
        <v>211859</v>
      </c>
      <c r="M331" s="5"/>
      <c r="N331" s="7">
        <v>45872</v>
      </c>
      <c r="O331" s="7">
        <v>45880</v>
      </c>
      <c r="P331" s="7">
        <v>45881</v>
      </c>
      <c r="Q331" s="7">
        <f t="shared" si="66"/>
        <v>46000</v>
      </c>
      <c r="S331" s="33" t="s">
        <v>233</v>
      </c>
      <c r="U331" s="10"/>
      <c r="V331" s="10" t="str">
        <f t="shared" si="67"/>
        <v>Equals</v>
      </c>
      <c r="W331" s="11" t="str" cm="1">
        <f t="array" ref="W331">NumberToWords(T331)</f>
        <v>Zero Rupees Only</v>
      </c>
      <c r="X331" s="10" t="str">
        <f t="shared" si="68"/>
        <v>Division</v>
      </c>
      <c r="Z331" s="9">
        <f t="shared" si="69"/>
        <v>0</v>
      </c>
      <c r="AB331" s="8">
        <f>_xlfn.XLOOKUP(AA331, 'Agency List'!A$2:A$145, 'Agency List'!B$2:B$145, "Not Found")</f>
        <v>0</v>
      </c>
      <c r="AC331" s="8">
        <f>_xlfn.XLOOKUP(AA331, 'Agency List'!A$2:A$145, 'Agency List'!C$2:C$145, "Not Found")</f>
        <v>0</v>
      </c>
      <c r="AD331" s="8">
        <f>_xlfn.XLOOKUP(AA331, 'Agency List'!A$2:A$145, 'Agency List'!D$2:D$145, "Not Found")</f>
        <v>0</v>
      </c>
      <c r="AE331" s="7"/>
      <c r="AF331" s="5"/>
      <c r="AG331" s="5" t="str">
        <f t="shared" si="70"/>
        <v>Bandhkam</v>
      </c>
      <c r="AH331" s="5"/>
      <c r="AI331" s="8"/>
      <c r="AJ331" s="8"/>
      <c r="AL331" s="16"/>
      <c r="AM331" s="12">
        <f t="shared" si="71"/>
        <v>0</v>
      </c>
      <c r="AN331" s="7">
        <f t="shared" si="72"/>
        <v>450</v>
      </c>
      <c r="AO331" s="12">
        <f t="shared" si="73"/>
        <v>0</v>
      </c>
      <c r="AP331" s="12">
        <f t="shared" si="74"/>
        <v>0</v>
      </c>
      <c r="AQ331" s="15">
        <f t="shared" si="75"/>
        <v>35</v>
      </c>
      <c r="AR331" s="7">
        <f t="shared" si="76"/>
        <v>390</v>
      </c>
      <c r="AS331" s="5"/>
      <c r="AU331" s="5"/>
      <c r="AV331" s="17"/>
      <c r="AW331" s="17"/>
      <c r="AX331" s="5"/>
      <c r="AY331" s="5"/>
      <c r="AZ331" s="13"/>
      <c r="BA331" s="12"/>
      <c r="BB331" s="7"/>
      <c r="BC331" s="14"/>
      <c r="BD331" s="14"/>
      <c r="BF331" s="12"/>
      <c r="BG331" s="14"/>
      <c r="BH331" s="19"/>
      <c r="BI331" s="5"/>
      <c r="BM331" s="18"/>
      <c r="BN331" s="18"/>
      <c r="BO331" s="18"/>
      <c r="BP331" s="18"/>
      <c r="BQ331" s="5"/>
      <c r="BR331" s="18"/>
      <c r="BS331" s="18"/>
      <c r="BT331" s="35">
        <f t="shared" si="77"/>
        <v>0</v>
      </c>
    </row>
    <row r="332" spans="1:72" ht="43.5" x14ac:dyDescent="0.35">
      <c r="A332" s="5">
        <v>331</v>
      </c>
      <c r="B332" s="5"/>
      <c r="C332" s="5" t="s">
        <v>78</v>
      </c>
      <c r="D332" s="5">
        <v>14</v>
      </c>
      <c r="E332" s="5">
        <v>50</v>
      </c>
      <c r="F332" s="8" t="s">
        <v>681</v>
      </c>
      <c r="G332" s="8"/>
      <c r="H332" s="5" t="s">
        <v>12</v>
      </c>
      <c r="I332" s="5" t="str" cm="1">
        <f t="array" ref="I332">_xlfn.IFS(
  H332="Mahuva", "Mahuva",
  H332="Jesar", "Mahuva",
  H332="Palitana", "Palitana",
  H332="Gariyadhar", "Palitana",
  H332="Talaja", "Talaja",
  H332="Vallabhipur", "Vallabhipur",
  H332="Umrala", "Vallabhipur",
  H332="Shihor", "Shihor",
  H332="Ghogha", "Bhavnagar",
  H332="Bhavnagar", "Bhavnagar"
)</f>
        <v>Mahuva</v>
      </c>
      <c r="J332" s="5" t="s">
        <v>256</v>
      </c>
      <c r="K332" s="5" t="s">
        <v>624</v>
      </c>
      <c r="L332" s="5">
        <v>211861</v>
      </c>
      <c r="M332" s="5"/>
      <c r="N332" s="7">
        <v>45872</v>
      </c>
      <c r="O332" s="7">
        <v>45880</v>
      </c>
      <c r="P332" s="7">
        <v>45881</v>
      </c>
      <c r="Q332" s="7">
        <f t="shared" si="66"/>
        <v>46000</v>
      </c>
      <c r="R332" s="9">
        <v>1024912.96</v>
      </c>
      <c r="S332" s="33"/>
      <c r="T332" s="9">
        <v>1098706.69</v>
      </c>
      <c r="U332" s="10">
        <v>7.2</v>
      </c>
      <c r="V332" s="10" t="str">
        <f t="shared" si="67"/>
        <v>Above</v>
      </c>
      <c r="W332" s="11" t="str" cm="1">
        <f t="array" ref="W332">NumberToWords(T332)</f>
        <v>Ten Lakh Ninety Eight Thousand Seven Hundred Six Rupees and Sixty Nine Paise Only</v>
      </c>
      <c r="X332" s="10" t="str">
        <f t="shared" si="68"/>
        <v>Division</v>
      </c>
      <c r="Z332" s="9">
        <f t="shared" si="69"/>
        <v>1098706.69</v>
      </c>
      <c r="AA332" s="5" t="s">
        <v>636</v>
      </c>
      <c r="AB332" s="8" t="str">
        <f>_xlfn.XLOOKUP(AA332, 'Agency List'!A$2:A$145, 'Agency List'!B$2:B$145, "Not Found")</f>
        <v>C. K. Vaniya</v>
      </c>
      <c r="AC332" s="8" t="str">
        <f>_xlfn.XLOOKUP(AA332, 'Agency List'!A$2:A$145, 'Agency List'!C$2:C$145, "Not Found")</f>
        <v>Dhuliya Pir Vali Sheri, At Sedarda, Ta. Mahuva, Dist. Bhavnagar - 364280</v>
      </c>
      <c r="AD332" s="8">
        <f>_xlfn.XLOOKUP(AA332, 'Agency List'!A$2:A$145, 'Agency List'!D$2:D$145, "Not Found")</f>
        <v>9978990613</v>
      </c>
      <c r="AE332" s="7"/>
      <c r="AF332" s="5"/>
      <c r="AG332" s="5" t="str">
        <f t="shared" si="70"/>
        <v>Bandhkam</v>
      </c>
      <c r="AH332" s="5"/>
      <c r="AI332" s="8"/>
      <c r="AJ332" s="8"/>
      <c r="AL332" s="16">
        <v>3</v>
      </c>
      <c r="AM332" s="12">
        <f t="shared" si="71"/>
        <v>55000</v>
      </c>
      <c r="AN332" s="7">
        <f t="shared" si="72"/>
        <v>46471</v>
      </c>
      <c r="AO332" s="12">
        <f t="shared" si="73"/>
        <v>2700</v>
      </c>
      <c r="AP332" s="12">
        <f t="shared" si="74"/>
        <v>0</v>
      </c>
      <c r="AQ332" s="15">
        <f t="shared" si="75"/>
        <v>46056</v>
      </c>
      <c r="AR332" s="7">
        <f t="shared" si="76"/>
        <v>46411</v>
      </c>
      <c r="AS332" s="5"/>
      <c r="AU332" s="5"/>
      <c r="AV332" s="17"/>
      <c r="AW332" s="17"/>
      <c r="AX332" s="5"/>
      <c r="AY332" s="5"/>
      <c r="AZ332" s="13"/>
      <c r="BA332" s="12"/>
      <c r="BB332" s="7"/>
      <c r="BC332" s="14"/>
      <c r="BD332" s="14"/>
      <c r="BF332" s="12"/>
      <c r="BG332" s="14"/>
      <c r="BH332" s="19">
        <v>45931</v>
      </c>
      <c r="BI332" s="5"/>
      <c r="BM332" s="18"/>
      <c r="BN332" s="18"/>
      <c r="BO332" s="18"/>
      <c r="BP332" s="18"/>
      <c r="BQ332" s="5"/>
      <c r="BR332" s="18"/>
      <c r="BS332" s="18"/>
      <c r="BT332" s="35">
        <f t="shared" si="77"/>
        <v>46021</v>
      </c>
    </row>
    <row r="333" spans="1:72" ht="43.5" x14ac:dyDescent="0.35">
      <c r="A333" s="5">
        <v>332</v>
      </c>
      <c r="B333" s="5"/>
      <c r="C333" s="5" t="s">
        <v>78</v>
      </c>
      <c r="D333" s="5">
        <v>14</v>
      </c>
      <c r="E333" s="5">
        <v>51</v>
      </c>
      <c r="F333" s="8" t="s">
        <v>682</v>
      </c>
      <c r="G333" s="8"/>
      <c r="H333" s="5" t="s">
        <v>12</v>
      </c>
      <c r="I333" s="5" t="str" cm="1">
        <f t="array" ref="I333">_xlfn.IFS(
  H333="Mahuva", "Mahuva",
  H333="Jesar", "Mahuva",
  H333="Palitana", "Palitana",
  H333="Gariyadhar", "Palitana",
  H333="Talaja", "Talaja",
  H333="Vallabhipur", "Vallabhipur",
  H333="Umrala", "Vallabhipur",
  H333="Shihor", "Shihor",
  H333="Ghogha", "Bhavnagar",
  H333="Bhavnagar", "Bhavnagar"
)</f>
        <v>Mahuva</v>
      </c>
      <c r="J333" s="5" t="s">
        <v>256</v>
      </c>
      <c r="K333" s="5" t="s">
        <v>624</v>
      </c>
      <c r="L333" s="5">
        <v>211875</v>
      </c>
      <c r="M333" s="5"/>
      <c r="N333" s="7">
        <v>45872</v>
      </c>
      <c r="O333" s="7">
        <v>45880</v>
      </c>
      <c r="P333" s="7">
        <v>45881</v>
      </c>
      <c r="Q333" s="7">
        <f t="shared" si="66"/>
        <v>46000</v>
      </c>
      <c r="R333" s="9">
        <v>1024912.96</v>
      </c>
      <c r="S333" s="33"/>
      <c r="T333" s="9">
        <v>991398.31</v>
      </c>
      <c r="U333" s="10">
        <v>-3.27</v>
      </c>
      <c r="V333" s="10" t="str">
        <f t="shared" si="67"/>
        <v>Below</v>
      </c>
      <c r="W333" s="11" t="str" cm="1">
        <f t="array" ref="W333">NumberToWords(T333)</f>
        <v>Nine Lakh Ninety One Thousand Three Hundred Ninety Eight Rupees and Thirty One Paise Only</v>
      </c>
      <c r="X333" s="10" t="str">
        <f t="shared" si="68"/>
        <v>Division</v>
      </c>
      <c r="Z333" s="9">
        <f t="shared" si="69"/>
        <v>991398.31</v>
      </c>
      <c r="AA333" s="5" t="s">
        <v>634</v>
      </c>
      <c r="AB333" s="8">
        <f>_xlfn.XLOOKUP(AA333, 'Agency List'!A$2:A$145, 'Agency List'!B$2:B$145, "Not Found")</f>
        <v>0</v>
      </c>
      <c r="AC333" s="8" t="str">
        <f>_xlfn.XLOOKUP(AA333, 'Agency List'!A$2:A$145, 'Agency List'!C$2:C$145, "Not Found")</f>
        <v>Plot No. 233, Nu.N.Yo. No.3, Near Muni Nagar, Mahuva</v>
      </c>
      <c r="AD333" s="8">
        <f>_xlfn.XLOOKUP(AA333, 'Agency List'!A$2:A$145, 'Agency List'!D$2:D$145, "Not Found")</f>
        <v>9824837530</v>
      </c>
      <c r="AE333" s="7"/>
      <c r="AF333" s="5" t="s">
        <v>914</v>
      </c>
      <c r="AG333" s="5" t="str">
        <f t="shared" si="70"/>
        <v>Bandhkam</v>
      </c>
      <c r="AH333" s="5"/>
      <c r="AI333" s="8"/>
      <c r="AJ333" s="8"/>
      <c r="AL333" s="16">
        <v>3</v>
      </c>
      <c r="AM333" s="12">
        <f t="shared" si="71"/>
        <v>50000</v>
      </c>
      <c r="AN333" s="7">
        <f t="shared" si="72"/>
        <v>46543</v>
      </c>
      <c r="AO333" s="12">
        <f t="shared" si="73"/>
        <v>2500</v>
      </c>
      <c r="AP333" s="12">
        <f t="shared" si="74"/>
        <v>0</v>
      </c>
      <c r="AQ333" s="15">
        <f t="shared" si="75"/>
        <v>46128</v>
      </c>
      <c r="AR333" s="7">
        <f t="shared" si="76"/>
        <v>46483</v>
      </c>
      <c r="AS333" s="5">
        <v>1332</v>
      </c>
      <c r="AT333" s="7">
        <v>45915</v>
      </c>
      <c r="AU333" s="5" t="s">
        <v>78</v>
      </c>
      <c r="AV333" s="17">
        <v>231</v>
      </c>
      <c r="AW333" s="37">
        <v>46003</v>
      </c>
      <c r="AX333" s="5" t="s">
        <v>355</v>
      </c>
      <c r="AY333" s="5" t="s">
        <v>609</v>
      </c>
      <c r="AZ333" s="45" t="s">
        <v>915</v>
      </c>
      <c r="BA333" s="12">
        <v>50000</v>
      </c>
      <c r="BB333" s="7">
        <v>45934</v>
      </c>
      <c r="BC333" s="14"/>
      <c r="BD333" s="14"/>
      <c r="BF333" s="12"/>
      <c r="BG333" s="14"/>
      <c r="BH333" s="19">
        <v>46003</v>
      </c>
      <c r="BI333" s="5">
        <v>1695</v>
      </c>
      <c r="BJ333" s="19">
        <v>46003</v>
      </c>
      <c r="BM333" s="18"/>
      <c r="BN333" s="18"/>
      <c r="BO333" s="18"/>
      <c r="BP333" s="18"/>
      <c r="BQ333" s="5"/>
      <c r="BR333" s="18"/>
      <c r="BS333" s="18"/>
      <c r="BT333" s="35">
        <f t="shared" si="77"/>
        <v>46093</v>
      </c>
    </row>
    <row r="334" spans="1:72" ht="43.5" x14ac:dyDescent="0.35">
      <c r="A334" s="5">
        <v>333</v>
      </c>
      <c r="B334" s="5"/>
      <c r="C334" s="5" t="s">
        <v>78</v>
      </c>
      <c r="D334" s="5">
        <v>14</v>
      </c>
      <c r="E334" s="5">
        <v>52</v>
      </c>
      <c r="F334" s="8" t="s">
        <v>271</v>
      </c>
      <c r="G334" s="8"/>
      <c r="H334" s="5" t="s">
        <v>12</v>
      </c>
      <c r="I334" s="5" t="str" cm="1">
        <f t="array" ref="I334">_xlfn.IFS(
  H334="Mahuva", "Mahuva",
  H334="Jesar", "Mahuva",
  H334="Palitana", "Palitana",
  H334="Gariyadhar", "Palitana",
  H334="Talaja", "Talaja",
  H334="Vallabhipur", "Vallabhipur",
  H334="Umrala", "Vallabhipur",
  H334="Shihor", "Shihor",
  H334="Ghogha", "Bhavnagar",
  H334="Bhavnagar", "Bhavnagar"
)</f>
        <v>Mahuva</v>
      </c>
      <c r="J334" s="5" t="s">
        <v>256</v>
      </c>
      <c r="K334" s="5" t="s">
        <v>624</v>
      </c>
      <c r="L334" s="5">
        <v>211876</v>
      </c>
      <c r="M334" s="5"/>
      <c r="N334" s="7">
        <v>45872</v>
      </c>
      <c r="O334" s="7">
        <v>45880</v>
      </c>
      <c r="P334" s="7">
        <v>45881</v>
      </c>
      <c r="Q334" s="7">
        <f t="shared" si="66"/>
        <v>46000</v>
      </c>
      <c r="S334" s="33" t="s">
        <v>233</v>
      </c>
      <c r="U334" s="10"/>
      <c r="V334" s="10" t="str">
        <f t="shared" si="67"/>
        <v>Equals</v>
      </c>
      <c r="W334" s="11" t="str" cm="1">
        <f t="array" ref="W334">NumberToWords(T334)</f>
        <v>Zero Rupees Only</v>
      </c>
      <c r="X334" s="10" t="str">
        <f t="shared" si="68"/>
        <v>Division</v>
      </c>
      <c r="Z334" s="9">
        <f t="shared" si="69"/>
        <v>0</v>
      </c>
      <c r="AB334" s="8">
        <f>_xlfn.XLOOKUP(AA334, 'Agency List'!A$2:A$145, 'Agency List'!B$2:B$145, "Not Found")</f>
        <v>0</v>
      </c>
      <c r="AC334" s="8">
        <f>_xlfn.XLOOKUP(AA334, 'Agency List'!A$2:A$145, 'Agency List'!C$2:C$145, "Not Found")</f>
        <v>0</v>
      </c>
      <c r="AD334" s="8">
        <f>_xlfn.XLOOKUP(AA334, 'Agency List'!A$2:A$145, 'Agency List'!D$2:D$145, "Not Found")</f>
        <v>0</v>
      </c>
      <c r="AE334" s="7"/>
      <c r="AF334" s="5"/>
      <c r="AG334" s="5" t="str">
        <f t="shared" si="70"/>
        <v>Bandhkam</v>
      </c>
      <c r="AH334" s="5"/>
      <c r="AI334" s="8"/>
      <c r="AJ334" s="8"/>
      <c r="AL334" s="16"/>
      <c r="AM334" s="12">
        <f t="shared" si="71"/>
        <v>0</v>
      </c>
      <c r="AN334" s="7">
        <f t="shared" si="72"/>
        <v>450</v>
      </c>
      <c r="AO334" s="12">
        <f t="shared" si="73"/>
        <v>0</v>
      </c>
      <c r="AP334" s="12">
        <f t="shared" si="74"/>
        <v>0</v>
      </c>
      <c r="AQ334" s="15">
        <f t="shared" si="75"/>
        <v>35</v>
      </c>
      <c r="AR334" s="7">
        <f t="shared" si="76"/>
        <v>390</v>
      </c>
      <c r="AS334" s="5"/>
      <c r="AU334" s="5"/>
      <c r="AV334" s="17"/>
      <c r="AW334" s="17"/>
      <c r="AX334" s="5"/>
      <c r="AY334" s="5"/>
      <c r="AZ334" s="13"/>
      <c r="BA334" s="12"/>
      <c r="BB334" s="7"/>
      <c r="BC334" s="14"/>
      <c r="BD334" s="14"/>
      <c r="BF334" s="12"/>
      <c r="BG334" s="14"/>
      <c r="BH334" s="19"/>
      <c r="BI334" s="5"/>
      <c r="BM334" s="18"/>
      <c r="BN334" s="18"/>
      <c r="BO334" s="18"/>
      <c r="BP334" s="18"/>
      <c r="BQ334" s="5"/>
      <c r="BR334" s="18"/>
      <c r="BS334" s="18"/>
      <c r="BT334" s="35">
        <f t="shared" si="77"/>
        <v>0</v>
      </c>
    </row>
    <row r="335" spans="1:72" ht="43.5" x14ac:dyDescent="0.35">
      <c r="A335" s="5">
        <v>334</v>
      </c>
      <c r="B335" s="5"/>
      <c r="C335" s="5" t="s">
        <v>78</v>
      </c>
      <c r="D335" s="5">
        <v>14</v>
      </c>
      <c r="E335" s="5">
        <v>53</v>
      </c>
      <c r="F335" s="8" t="s">
        <v>683</v>
      </c>
      <c r="G335" s="8"/>
      <c r="H335" s="5" t="s">
        <v>12</v>
      </c>
      <c r="I335" s="5" t="str" cm="1">
        <f t="array" ref="I335">_xlfn.IFS(
  H335="Mahuva", "Mahuva",
  H335="Jesar", "Mahuva",
  H335="Palitana", "Palitana",
  H335="Gariyadhar", "Palitana",
  H335="Talaja", "Talaja",
  H335="Vallabhipur", "Vallabhipur",
  H335="Umrala", "Vallabhipur",
  H335="Shihor", "Shihor",
  H335="Ghogha", "Bhavnagar",
  H335="Bhavnagar", "Bhavnagar"
)</f>
        <v>Mahuva</v>
      </c>
      <c r="J335" s="5" t="s">
        <v>256</v>
      </c>
      <c r="K335" s="5" t="s">
        <v>624</v>
      </c>
      <c r="L335" s="5">
        <v>211877</v>
      </c>
      <c r="M335" s="5"/>
      <c r="N335" s="7">
        <v>45872</v>
      </c>
      <c r="O335" s="7">
        <v>45880</v>
      </c>
      <c r="P335" s="7">
        <v>45881</v>
      </c>
      <c r="Q335" s="7">
        <f t="shared" si="66"/>
        <v>46000</v>
      </c>
      <c r="R335" s="9">
        <v>1024912.96</v>
      </c>
      <c r="S335" s="33"/>
      <c r="T335" s="9">
        <v>1301639.46</v>
      </c>
      <c r="U335" s="10">
        <v>27</v>
      </c>
      <c r="V335" s="10" t="str">
        <f t="shared" si="67"/>
        <v>Above</v>
      </c>
      <c r="W335" s="11" t="str" cm="1">
        <f t="array" ref="W335">NumberToWords(T335)</f>
        <v>Thirteen Lakh One Thousand Six Hundred Thirty Nine Rupees and Forty Six Paise Only</v>
      </c>
      <c r="X335" s="10" t="str">
        <f t="shared" si="68"/>
        <v>Division</v>
      </c>
      <c r="Z335" s="9">
        <f t="shared" si="69"/>
        <v>1301639.46</v>
      </c>
      <c r="AA335" s="5" t="s">
        <v>636</v>
      </c>
      <c r="AB335" s="8" t="str">
        <f>_xlfn.XLOOKUP(AA335, 'Agency List'!A$2:A$145, 'Agency List'!B$2:B$145, "Not Found")</f>
        <v>C. K. Vaniya</v>
      </c>
      <c r="AC335" s="8" t="str">
        <f>_xlfn.XLOOKUP(AA335, 'Agency List'!A$2:A$145, 'Agency List'!C$2:C$145, "Not Found")</f>
        <v>Dhuliya Pir Vali Sheri, At Sedarda, Ta. Mahuva, Dist. Bhavnagar - 364280</v>
      </c>
      <c r="AD335" s="8">
        <f>_xlfn.XLOOKUP(AA335, 'Agency List'!A$2:A$145, 'Agency List'!D$2:D$145, "Not Found")</f>
        <v>9978990613</v>
      </c>
      <c r="AE335" s="7"/>
      <c r="AF335" s="5"/>
      <c r="AG335" s="5" t="str">
        <f t="shared" si="70"/>
        <v>Bandhkam</v>
      </c>
      <c r="AH335" s="5"/>
      <c r="AI335" s="8"/>
      <c r="AJ335" s="8"/>
      <c r="AL335" s="16">
        <v>3</v>
      </c>
      <c r="AM335" s="12">
        <f t="shared" si="71"/>
        <v>66000</v>
      </c>
      <c r="AN335" s="7">
        <f t="shared" si="72"/>
        <v>46471</v>
      </c>
      <c r="AO335" s="12">
        <f t="shared" si="73"/>
        <v>3300</v>
      </c>
      <c r="AP335" s="12">
        <f t="shared" si="74"/>
        <v>0</v>
      </c>
      <c r="AQ335" s="15">
        <f t="shared" si="75"/>
        <v>46056</v>
      </c>
      <c r="AR335" s="7">
        <f t="shared" si="76"/>
        <v>46411</v>
      </c>
      <c r="AS335" s="5"/>
      <c r="AT335" s="7">
        <v>45915</v>
      </c>
      <c r="AU335" s="5"/>
      <c r="AV335" s="17"/>
      <c r="AW335" s="17"/>
      <c r="AX335" s="5"/>
      <c r="AY335" s="5"/>
      <c r="AZ335" s="13"/>
      <c r="BA335" s="12"/>
      <c r="BB335" s="7"/>
      <c r="BC335" s="14"/>
      <c r="BD335" s="14"/>
      <c r="BF335" s="12"/>
      <c r="BG335" s="14"/>
      <c r="BH335" s="19">
        <v>45931</v>
      </c>
      <c r="BI335" s="5"/>
      <c r="BM335" s="18"/>
      <c r="BN335" s="18"/>
      <c r="BO335" s="18"/>
      <c r="BP335" s="18"/>
      <c r="BQ335" s="5"/>
      <c r="BR335" s="18"/>
      <c r="BS335" s="18"/>
      <c r="BT335" s="35">
        <f t="shared" si="77"/>
        <v>46021</v>
      </c>
    </row>
    <row r="336" spans="1:72" ht="43.5" x14ac:dyDescent="0.35">
      <c r="A336" s="5">
        <v>335</v>
      </c>
      <c r="B336" s="5"/>
      <c r="C336" s="5" t="s">
        <v>78</v>
      </c>
      <c r="D336" s="5">
        <v>14</v>
      </c>
      <c r="E336" s="5">
        <v>54</v>
      </c>
      <c r="F336" s="8" t="s">
        <v>684</v>
      </c>
      <c r="G336" s="8"/>
      <c r="H336" s="5" t="s">
        <v>12</v>
      </c>
      <c r="I336" s="5" t="str" cm="1">
        <f t="array" ref="I336">_xlfn.IFS(
  H336="Mahuva", "Mahuva",
  H336="Jesar", "Mahuva",
  H336="Palitana", "Palitana",
  H336="Gariyadhar", "Palitana",
  H336="Talaja", "Talaja",
  H336="Vallabhipur", "Vallabhipur",
  H336="Umrala", "Vallabhipur",
  H336="Shihor", "Shihor",
  H336="Ghogha", "Bhavnagar",
  H336="Bhavnagar", "Bhavnagar"
)</f>
        <v>Mahuva</v>
      </c>
      <c r="J336" s="5" t="s">
        <v>256</v>
      </c>
      <c r="K336" s="5" t="s">
        <v>624</v>
      </c>
      <c r="L336" s="5">
        <v>211878</v>
      </c>
      <c r="M336" s="5"/>
      <c r="N336" s="7">
        <v>45872</v>
      </c>
      <c r="O336" s="7">
        <v>45880</v>
      </c>
      <c r="P336" s="7">
        <v>45881</v>
      </c>
      <c r="Q336" s="7">
        <f t="shared" si="66"/>
        <v>46000</v>
      </c>
      <c r="R336" s="9">
        <v>1024912.96</v>
      </c>
      <c r="S336" s="33"/>
      <c r="T336" s="9">
        <v>1012409.02</v>
      </c>
      <c r="U336" s="10">
        <v>-1.22</v>
      </c>
      <c r="V336" s="10" t="str">
        <f t="shared" si="67"/>
        <v>Below</v>
      </c>
      <c r="W336" s="11" t="str" cm="1">
        <f t="array" ref="W336">NumberToWords(T336)</f>
        <v>Ten Lakh Twelve Thousand Four Hundred Nine Rupees and Two Paise Only</v>
      </c>
      <c r="X336" s="10" t="str">
        <f t="shared" si="68"/>
        <v>Division</v>
      </c>
      <c r="Z336" s="9">
        <f t="shared" si="69"/>
        <v>1012409.02</v>
      </c>
      <c r="AA336" s="5" t="s">
        <v>618</v>
      </c>
      <c r="AB336" s="8">
        <f>_xlfn.XLOOKUP(AA336, 'Agency List'!A$2:A$145, 'Agency List'!B$2:B$145, "Not Found")</f>
        <v>0</v>
      </c>
      <c r="AC336" s="8" t="str">
        <f>_xlfn.XLOOKUP(AA336, 'Agency List'!A$2:A$145, 'Agency List'!C$2:C$145, "Not Found")</f>
        <v>At Modhuka, Ta. Vinchhiya, Dist. Rajkot</v>
      </c>
      <c r="AD336" s="8">
        <f>_xlfn.XLOOKUP(AA336, 'Agency List'!A$2:A$145, 'Agency List'!D$2:D$145, "Not Found")</f>
        <v>9723355852</v>
      </c>
      <c r="AE336" s="7"/>
      <c r="AF336" s="5"/>
      <c r="AG336" s="5" t="str">
        <f t="shared" si="70"/>
        <v>Bandhkam</v>
      </c>
      <c r="AH336" s="5"/>
      <c r="AI336" s="8"/>
      <c r="AJ336" s="8"/>
      <c r="AL336" s="16">
        <v>3</v>
      </c>
      <c r="AM336" s="12">
        <f t="shared" si="71"/>
        <v>51000</v>
      </c>
      <c r="AN336" s="7">
        <f t="shared" si="72"/>
        <v>46471</v>
      </c>
      <c r="AO336" s="12">
        <f t="shared" si="73"/>
        <v>2500</v>
      </c>
      <c r="AP336" s="12">
        <f t="shared" si="74"/>
        <v>0</v>
      </c>
      <c r="AQ336" s="15">
        <f t="shared" si="75"/>
        <v>46056</v>
      </c>
      <c r="AR336" s="7">
        <f t="shared" si="76"/>
        <v>46411</v>
      </c>
      <c r="AS336" s="5">
        <v>1313</v>
      </c>
      <c r="AT336" s="7">
        <v>45915</v>
      </c>
      <c r="AU336" s="5"/>
      <c r="AV336" s="17"/>
      <c r="AW336" s="17"/>
      <c r="AX336" s="5"/>
      <c r="AY336" s="5"/>
      <c r="AZ336" s="13"/>
      <c r="BA336" s="12"/>
      <c r="BB336" s="7"/>
      <c r="BC336" s="14"/>
      <c r="BD336" s="14"/>
      <c r="BF336" s="12"/>
      <c r="BG336" s="14"/>
      <c r="BH336" s="19">
        <v>45931</v>
      </c>
      <c r="BI336" s="5"/>
      <c r="BK336" s="5">
        <v>20</v>
      </c>
      <c r="BL336" s="7">
        <v>45659</v>
      </c>
      <c r="BM336" s="18"/>
      <c r="BN336" s="18"/>
      <c r="BO336" s="18"/>
      <c r="BP336" s="18"/>
      <c r="BQ336" s="5"/>
      <c r="BR336" s="18"/>
      <c r="BS336" s="18"/>
      <c r="BT336" s="35">
        <f t="shared" si="77"/>
        <v>46021</v>
      </c>
    </row>
    <row r="337" spans="1:72" ht="43.5" x14ac:dyDescent="0.35">
      <c r="A337" s="5">
        <v>336</v>
      </c>
      <c r="B337" s="5"/>
      <c r="C337" s="5" t="s">
        <v>78</v>
      </c>
      <c r="D337" s="5">
        <v>14</v>
      </c>
      <c r="E337" s="5">
        <v>55</v>
      </c>
      <c r="F337" s="8" t="s">
        <v>685</v>
      </c>
      <c r="G337" s="8"/>
      <c r="H337" s="5" t="s">
        <v>12</v>
      </c>
      <c r="I337" s="5" t="str" cm="1">
        <f t="array" ref="I337">_xlfn.IFS(
  H337="Mahuva", "Mahuva",
  H337="Jesar", "Mahuva",
  H337="Palitana", "Palitana",
  H337="Gariyadhar", "Palitana",
  H337="Talaja", "Talaja",
  H337="Vallabhipur", "Vallabhipur",
  H337="Umrala", "Vallabhipur",
  H337="Shihor", "Shihor",
  H337="Ghogha", "Bhavnagar",
  H337="Bhavnagar", "Bhavnagar"
)</f>
        <v>Mahuva</v>
      </c>
      <c r="J337" s="5" t="s">
        <v>256</v>
      </c>
      <c r="K337" s="5" t="s">
        <v>624</v>
      </c>
      <c r="L337" s="5">
        <v>211879</v>
      </c>
      <c r="M337" s="5"/>
      <c r="N337" s="7">
        <v>45872</v>
      </c>
      <c r="O337" s="7">
        <v>45880</v>
      </c>
      <c r="P337" s="7">
        <v>45881</v>
      </c>
      <c r="Q337" s="7">
        <f t="shared" si="66"/>
        <v>46000</v>
      </c>
      <c r="R337" s="9">
        <v>1024912.96</v>
      </c>
      <c r="S337" s="33"/>
      <c r="T337" s="9">
        <v>990783.36</v>
      </c>
      <c r="U337" s="10">
        <v>-3.33</v>
      </c>
      <c r="V337" s="10" t="str">
        <f t="shared" si="67"/>
        <v>Below</v>
      </c>
      <c r="W337" s="11" t="str" cm="1">
        <f t="array" ref="W337">NumberToWords(T337)</f>
        <v>Nine Lakh Ninety Thousand Seven Hundred Eighty Three Rupees and Thirty Six Paise Only</v>
      </c>
      <c r="X337" s="10" t="str">
        <f t="shared" si="68"/>
        <v>Division</v>
      </c>
      <c r="Z337" s="9">
        <f t="shared" si="69"/>
        <v>990783.36</v>
      </c>
      <c r="AA337" s="5" t="s">
        <v>279</v>
      </c>
      <c r="AB337" s="8" t="str">
        <f>_xlfn.XLOOKUP(AA337, 'Agency List'!A$2:A$145, 'Agency List'!B$2:B$145, "Not Found")</f>
        <v>ALIGBHAI LAKHUBHAI BARAL</v>
      </c>
      <c r="AC337" s="8" t="str">
        <f>_xlfn.XLOOKUP(AA337, 'Agency List'!A$2:A$145, 'Agency List'!C$2:C$145, "Not Found")</f>
        <v>At Bhandariya, Ta. Palitana, Dist. Bhavnagar</v>
      </c>
      <c r="AD337" s="8">
        <f>_xlfn.XLOOKUP(AA337, 'Agency List'!A$2:A$145, 'Agency List'!D$2:D$145, "Not Found")</f>
        <v>9828109453</v>
      </c>
      <c r="AE337" s="7"/>
      <c r="AF337" s="5"/>
      <c r="AG337" s="5" t="str">
        <f t="shared" si="70"/>
        <v>Bandhkam</v>
      </c>
      <c r="AH337" s="5"/>
      <c r="AI337" s="8"/>
      <c r="AJ337" s="8"/>
      <c r="AL337" s="16">
        <v>3</v>
      </c>
      <c r="AM337" s="12">
        <f t="shared" si="71"/>
        <v>50000</v>
      </c>
      <c r="AN337" s="7">
        <f t="shared" si="72"/>
        <v>46485</v>
      </c>
      <c r="AO337" s="12">
        <f t="shared" si="73"/>
        <v>2500</v>
      </c>
      <c r="AP337" s="12">
        <f t="shared" si="74"/>
        <v>0</v>
      </c>
      <c r="AQ337" s="15">
        <f t="shared" si="75"/>
        <v>46070</v>
      </c>
      <c r="AR337" s="7">
        <f t="shared" si="76"/>
        <v>46425</v>
      </c>
      <c r="AS337" s="5">
        <v>1307</v>
      </c>
      <c r="AT337" s="7">
        <v>45915</v>
      </c>
      <c r="AU337" s="5" t="s">
        <v>78</v>
      </c>
      <c r="AV337" s="17">
        <v>186</v>
      </c>
      <c r="AW337" s="37">
        <v>45943</v>
      </c>
      <c r="AX337" s="5" t="s">
        <v>355</v>
      </c>
      <c r="AY337" s="5" t="s">
        <v>803</v>
      </c>
      <c r="AZ337" s="45" t="s">
        <v>808</v>
      </c>
      <c r="BA337" s="12">
        <v>50000</v>
      </c>
      <c r="BB337" s="7">
        <v>45936</v>
      </c>
      <c r="BC337" s="14"/>
      <c r="BD337" s="14"/>
      <c r="BF337" s="12"/>
      <c r="BG337" s="14"/>
      <c r="BH337" s="19">
        <v>45945</v>
      </c>
      <c r="BI337" s="5">
        <v>1470</v>
      </c>
      <c r="BJ337" s="19">
        <v>45943</v>
      </c>
      <c r="BM337" s="18"/>
      <c r="BN337" s="18"/>
      <c r="BO337" s="18"/>
      <c r="BP337" s="18"/>
      <c r="BQ337" s="5"/>
      <c r="BR337" s="18"/>
      <c r="BS337" s="18"/>
      <c r="BT337" s="35">
        <f t="shared" si="77"/>
        <v>46035</v>
      </c>
    </row>
    <row r="338" spans="1:72" ht="43.5" x14ac:dyDescent="0.35">
      <c r="A338" s="5">
        <v>337</v>
      </c>
      <c r="B338" s="5"/>
      <c r="C338" s="5" t="s">
        <v>78</v>
      </c>
      <c r="D338" s="5">
        <v>15</v>
      </c>
      <c r="E338" s="5">
        <v>1</v>
      </c>
      <c r="F338" s="8" t="s">
        <v>734</v>
      </c>
      <c r="G338" s="8"/>
      <c r="H338" s="5" t="s">
        <v>13</v>
      </c>
      <c r="I338" s="5" t="str" cm="1">
        <f t="array" ref="I338">_xlfn.IFS(
  H338="Mahuva", "Mahuva",
  H338="Jesar", "Mahuva",
  H338="Palitana", "Palitana",
  H338="Gariyadhar", "Palitana",
  H338="Talaja", "Talaja",
  H338="Vallabhipur", "Vallabhipur",
  H338="Umrala", "Vallabhipur",
  H338="Shihor", "Shihor",
  H338="Ghogha", "Bhavnagar",
  H338="Bhavnagar", "Bhavnagar"
)</f>
        <v>Shihor</v>
      </c>
      <c r="J338" s="5" t="s">
        <v>256</v>
      </c>
      <c r="K338" s="5" t="s">
        <v>418</v>
      </c>
      <c r="L338" s="5">
        <v>213142</v>
      </c>
      <c r="M338" s="5"/>
      <c r="N338" s="7">
        <v>45875</v>
      </c>
      <c r="O338" s="7">
        <v>45887</v>
      </c>
      <c r="P338" s="7">
        <v>45888</v>
      </c>
      <c r="Q338" s="7">
        <f t="shared" si="66"/>
        <v>46007</v>
      </c>
      <c r="R338" s="9">
        <v>2880130.57</v>
      </c>
      <c r="S338" s="33"/>
      <c r="T338" s="9">
        <v>2618326.7000000002</v>
      </c>
      <c r="U338" s="10">
        <v>-9.09</v>
      </c>
      <c r="V338" s="10" t="str">
        <f t="shared" si="67"/>
        <v>Below</v>
      </c>
      <c r="W338" s="11" t="str" cm="1">
        <f t="array" ref="W338">NumberToWords(T338)</f>
        <v>Twenty Six Lakh Eighteen Thousand Three Hundred Twenty Six Rupees and Seven Paise Only</v>
      </c>
      <c r="X338" s="10" t="str">
        <f t="shared" si="68"/>
        <v>Division</v>
      </c>
      <c r="Z338" s="9">
        <f t="shared" si="69"/>
        <v>2618326.7000000002</v>
      </c>
      <c r="AA338" s="5" t="s">
        <v>173</v>
      </c>
      <c r="AB338" s="8" t="str">
        <f>_xlfn.XLOOKUP(AA338, 'Agency List'!A$2:A$145, 'Agency List'!B$2:B$145, "Not Found")</f>
        <v>Majithiya Dhruvin Nareshbhai</v>
      </c>
      <c r="AC338" s="8" t="str">
        <f>_xlfn.XLOOKUP(AA338, 'Agency List'!A$2:A$145, 'Agency List'!C$2:C$145, "Not Found")</f>
        <v>82/1, Bajaran Society, Near Gayatri Temple, Chitra, Bhavnagar-364004</v>
      </c>
      <c r="AD338" s="8">
        <f>_xlfn.XLOOKUP(AA338, 'Agency List'!A$2:A$145, 'Agency List'!D$2:D$145, "Not Found")</f>
        <v>8200557028</v>
      </c>
      <c r="AE338" s="7"/>
      <c r="AF338" s="5" t="s">
        <v>725</v>
      </c>
      <c r="AG338" s="5" t="str">
        <f t="shared" si="70"/>
        <v>Karobari</v>
      </c>
      <c r="AH338" s="5"/>
      <c r="AI338" s="8"/>
      <c r="AJ338" s="8"/>
      <c r="AL338" s="16">
        <v>4</v>
      </c>
      <c r="AM338" s="12">
        <f t="shared" si="71"/>
        <v>131000</v>
      </c>
      <c r="AN338" s="7">
        <f t="shared" si="72"/>
        <v>46584</v>
      </c>
      <c r="AO338" s="12">
        <f t="shared" si="73"/>
        <v>6500</v>
      </c>
      <c r="AP338" s="12">
        <f t="shared" si="74"/>
        <v>0</v>
      </c>
      <c r="AQ338" s="15">
        <f t="shared" si="75"/>
        <v>46169</v>
      </c>
      <c r="AR338" s="7">
        <f t="shared" si="76"/>
        <v>46524</v>
      </c>
      <c r="AS338" s="5">
        <v>1338</v>
      </c>
      <c r="AT338" s="7">
        <v>45915</v>
      </c>
      <c r="AU338" s="5" t="s">
        <v>78</v>
      </c>
      <c r="AV338" s="17">
        <v>254</v>
      </c>
      <c r="AW338" s="37">
        <v>46014</v>
      </c>
      <c r="AX338" s="5" t="s">
        <v>355</v>
      </c>
      <c r="AY338" s="5" t="s">
        <v>723</v>
      </c>
      <c r="AZ338" s="45" t="s">
        <v>952</v>
      </c>
      <c r="BA338" s="12">
        <v>131000</v>
      </c>
      <c r="BB338" s="7">
        <v>46009</v>
      </c>
      <c r="BC338" s="14"/>
      <c r="BD338" s="14"/>
      <c r="BF338" s="12"/>
      <c r="BG338" s="14"/>
      <c r="BH338" s="19">
        <v>46014</v>
      </c>
      <c r="BI338" s="5">
        <v>1799</v>
      </c>
      <c r="BJ338" s="19">
        <v>46014</v>
      </c>
      <c r="BK338" s="5">
        <v>1734</v>
      </c>
      <c r="BL338" s="7">
        <v>46006</v>
      </c>
      <c r="BM338" s="18"/>
      <c r="BN338" s="18"/>
      <c r="BO338" s="18"/>
      <c r="BP338" s="18"/>
      <c r="BQ338" s="5"/>
      <c r="BR338" s="18"/>
      <c r="BS338" s="18"/>
      <c r="BT338" s="35">
        <f t="shared" si="77"/>
        <v>46134</v>
      </c>
    </row>
    <row r="339" spans="1:72" ht="43.5" x14ac:dyDescent="0.35">
      <c r="A339" s="5">
        <v>338</v>
      </c>
      <c r="B339" s="5"/>
      <c r="C339" s="5" t="s">
        <v>78</v>
      </c>
      <c r="D339" s="5">
        <v>15</v>
      </c>
      <c r="E339" s="5">
        <v>2</v>
      </c>
      <c r="F339" s="8" t="s">
        <v>735</v>
      </c>
      <c r="G339" s="8"/>
      <c r="H339" s="5" t="s">
        <v>2</v>
      </c>
      <c r="I339" s="5" t="str" cm="1">
        <f t="array" ref="I339">_xlfn.IFS(
  H339="Mahuva", "Mahuva",
  H339="Jesar", "Mahuva",
  H339="Palitana", "Palitana",
  H339="Gariyadhar", "Palitana",
  H339="Talaja", "Talaja",
  H339="Vallabhipur", "Vallabhipur",
  H339="Umrala", "Vallabhipur",
  H339="Shihor", "Shihor",
  H339="Ghogha", "Bhavnagar",
  H339="Bhavnagar", "Bhavnagar"
)</f>
        <v>Vallabhipur</v>
      </c>
      <c r="J339" s="5" t="s">
        <v>256</v>
      </c>
      <c r="K339" s="5" t="s">
        <v>706</v>
      </c>
      <c r="L339" s="5">
        <v>213143</v>
      </c>
      <c r="M339" s="5"/>
      <c r="N339" s="7">
        <v>45875</v>
      </c>
      <c r="O339" s="7">
        <v>45887</v>
      </c>
      <c r="P339" s="7">
        <v>45888</v>
      </c>
      <c r="Q339" s="7">
        <f t="shared" si="66"/>
        <v>46007</v>
      </c>
      <c r="R339" s="9">
        <v>577431.24</v>
      </c>
      <c r="S339" s="33"/>
      <c r="T339" s="9">
        <v>523672.39</v>
      </c>
      <c r="U339" s="10">
        <v>-9.31</v>
      </c>
      <c r="V339" s="10" t="str">
        <f t="shared" si="67"/>
        <v>Below</v>
      </c>
      <c r="W339" s="11" t="str" cm="1">
        <f t="array" ref="W339">NumberToWords(T339)</f>
        <v>Five Lakh Twenty Three Thousand Six Hundred Seventy Two Rupees and Thirty Nine Paise Only</v>
      </c>
      <c r="X339" s="10" t="str">
        <f t="shared" si="68"/>
        <v>Division</v>
      </c>
      <c r="Z339" s="9">
        <f t="shared" si="69"/>
        <v>523672.39</v>
      </c>
      <c r="AA339" s="5" t="s">
        <v>637</v>
      </c>
      <c r="AB339" s="8" t="str">
        <f>_xlfn.XLOOKUP(AA339, 'Agency List'!A$2:A$145, 'Agency List'!B$2:B$145, "Not Found")</f>
        <v>Amardipsinh M. Gohil</v>
      </c>
      <c r="AC339" s="8" t="str">
        <f>_xlfn.XLOOKUP(AA339, 'Agency List'!A$2:A$145, 'Agency List'!C$2:C$145, "Not Found")</f>
        <v>C 1014, Opp. SBI Bank, Kaliyabid, Bhavnagar</v>
      </c>
      <c r="AD339" s="8">
        <f>_xlfn.XLOOKUP(AA339, 'Agency List'!A$2:A$145, 'Agency List'!D$2:D$145, "Not Found")</f>
        <v>9426959999</v>
      </c>
      <c r="AE339" s="7"/>
      <c r="AF339" s="5" t="s">
        <v>817</v>
      </c>
      <c r="AG339" s="5" t="str">
        <f t="shared" si="70"/>
        <v>Bandhkam</v>
      </c>
      <c r="AH339" s="5"/>
      <c r="AI339" s="8"/>
      <c r="AJ339" s="8"/>
      <c r="AL339" s="16">
        <v>3</v>
      </c>
      <c r="AM339" s="12">
        <f t="shared" si="71"/>
        <v>27000</v>
      </c>
      <c r="AN339" s="7">
        <f t="shared" si="72"/>
        <v>46511</v>
      </c>
      <c r="AO339" s="12">
        <f t="shared" si="73"/>
        <v>1400</v>
      </c>
      <c r="AP339" s="12">
        <f t="shared" si="74"/>
        <v>0</v>
      </c>
      <c r="AQ339" s="15">
        <f t="shared" si="75"/>
        <v>46096</v>
      </c>
      <c r="AR339" s="7">
        <f t="shared" si="76"/>
        <v>46451</v>
      </c>
      <c r="AS339" s="5">
        <v>1412</v>
      </c>
      <c r="AT339" s="7">
        <v>45933</v>
      </c>
      <c r="AU339" s="5" t="s">
        <v>78</v>
      </c>
      <c r="AV339" s="17">
        <v>196</v>
      </c>
      <c r="AW339" s="37">
        <v>45964</v>
      </c>
      <c r="AX339" s="5" t="s">
        <v>355</v>
      </c>
      <c r="AY339" s="5" t="s">
        <v>369</v>
      </c>
      <c r="AZ339" s="13">
        <v>44555676058</v>
      </c>
      <c r="BA339" s="12">
        <v>27000</v>
      </c>
      <c r="BB339" s="7">
        <v>45944</v>
      </c>
      <c r="BC339" s="14"/>
      <c r="BD339" s="14"/>
      <c r="BF339" s="12"/>
      <c r="BG339" s="14"/>
      <c r="BH339" s="19">
        <v>45971</v>
      </c>
      <c r="BI339" s="5">
        <v>1498</v>
      </c>
      <c r="BJ339" s="19">
        <v>45964</v>
      </c>
      <c r="BM339" s="18"/>
      <c r="BN339" s="18"/>
      <c r="BO339" s="18"/>
      <c r="BP339" s="18"/>
      <c r="BQ339" s="5"/>
      <c r="BR339" s="18"/>
      <c r="BS339" s="18"/>
      <c r="BT339" s="35">
        <f t="shared" si="77"/>
        <v>46061</v>
      </c>
    </row>
    <row r="340" spans="1:72" ht="72.5" x14ac:dyDescent="0.35">
      <c r="A340" s="5">
        <v>339</v>
      </c>
      <c r="B340" s="5"/>
      <c r="C340" s="5" t="s">
        <v>78</v>
      </c>
      <c r="D340" s="5">
        <v>15</v>
      </c>
      <c r="E340" s="5">
        <v>3</v>
      </c>
      <c r="F340" s="8" t="s">
        <v>736</v>
      </c>
      <c r="G340" s="8"/>
      <c r="H340" s="5" t="s">
        <v>257</v>
      </c>
      <c r="I340" s="5" t="str" cm="1">
        <f t="array" ref="I340">_xlfn.IFS(
  H340="Mahuva", "Mahuva",
  H340="Jesar", "Mahuva",
  H340="Palitana", "Palitana",
  H340="Gariyadhar", "Palitana",
  H340="Talaja", "Talaja",
  H340="Vallabhipur", "Vallabhipur",
  H340="Umrala", "Vallabhipur",
  H340="Shihor", "Shihor",
  H340="Ghogha", "Bhavnagar",
  H340="Bhavnagar", "Bhavnagar"
)</f>
        <v>Palitana</v>
      </c>
      <c r="J340" s="5" t="s">
        <v>256</v>
      </c>
      <c r="K340" s="5" t="s">
        <v>706</v>
      </c>
      <c r="L340" s="5">
        <v>213144</v>
      </c>
      <c r="M340" s="5"/>
      <c r="N340" s="7">
        <v>45875</v>
      </c>
      <c r="O340" s="7">
        <v>45887</v>
      </c>
      <c r="P340" s="7">
        <v>45888</v>
      </c>
      <c r="Q340" s="7">
        <f t="shared" si="66"/>
        <v>46007</v>
      </c>
      <c r="R340" s="9">
        <v>828966.94</v>
      </c>
      <c r="S340" s="33"/>
      <c r="T340" s="9">
        <v>828966.94</v>
      </c>
      <c r="U340" s="10">
        <v>0</v>
      </c>
      <c r="V340" s="10" t="str">
        <f t="shared" si="67"/>
        <v>Equals</v>
      </c>
      <c r="W340" s="11" t="str" cm="1">
        <f t="array" ref="W340">NumberToWords(T340)</f>
        <v>Eight Lakh Twenty Eight Thousand Nine Hundred Sixty Six Rupees and Ninety Four Paise Only</v>
      </c>
      <c r="X340" s="10" t="str">
        <f t="shared" si="68"/>
        <v>Division</v>
      </c>
      <c r="Z340" s="9">
        <f t="shared" si="69"/>
        <v>828966.94</v>
      </c>
      <c r="AA340" s="5" t="s">
        <v>165</v>
      </c>
      <c r="AB340" s="8" t="str">
        <f>_xlfn.XLOOKUP(AA340, 'Agency List'!A$2:A$145, 'Agency List'!B$2:B$145, "Not Found")</f>
        <v>JATINKUMAR RAMESHBHAI GOYANI</v>
      </c>
      <c r="AC340" s="8" t="str">
        <f>_xlfn.XLOOKUP(AA340, 'Agency List'!A$2:A$145, 'Agency List'!C$2:C$145, "Not Found")</f>
        <v>SHOP NO. 3, GROUND FLOOR, PARVADI GAM, GARIYADHAR SANOSARA ROAD, PARAVADI, TA. GARIYADHAR, DIST. BHAVNAGAR-364505</v>
      </c>
      <c r="AD340" s="8">
        <f>_xlfn.XLOOKUP(AA340, 'Agency List'!A$2:A$145, 'Agency List'!D$2:D$145, "Not Found")</f>
        <v>9016319324</v>
      </c>
      <c r="AE340" s="7"/>
      <c r="AF340" s="5" t="s">
        <v>817</v>
      </c>
      <c r="AG340" s="5" t="str">
        <f t="shared" si="70"/>
        <v>Bandhkam</v>
      </c>
      <c r="AH340" s="5"/>
      <c r="AI340" s="8"/>
      <c r="AJ340" s="8"/>
      <c r="AL340" s="16">
        <v>3</v>
      </c>
      <c r="AM340" s="12">
        <f t="shared" si="71"/>
        <v>42000</v>
      </c>
      <c r="AN340" s="7">
        <f t="shared" si="72"/>
        <v>46544</v>
      </c>
      <c r="AO340" s="12">
        <f t="shared" si="73"/>
        <v>2100</v>
      </c>
      <c r="AP340" s="12">
        <f t="shared" si="74"/>
        <v>0</v>
      </c>
      <c r="AQ340" s="15">
        <f t="shared" si="75"/>
        <v>46129</v>
      </c>
      <c r="AR340" s="7">
        <f t="shared" si="76"/>
        <v>46484</v>
      </c>
      <c r="AS340" s="5">
        <v>1529</v>
      </c>
      <c r="AT340" s="7">
        <v>45974</v>
      </c>
      <c r="AU340" s="5" t="s">
        <v>78</v>
      </c>
      <c r="AV340" s="17">
        <v>235</v>
      </c>
      <c r="AW340" s="37">
        <v>46004</v>
      </c>
      <c r="AX340" s="5" t="s">
        <v>355</v>
      </c>
      <c r="AY340" s="5" t="s">
        <v>803</v>
      </c>
      <c r="AZ340" s="45" t="s">
        <v>919</v>
      </c>
      <c r="BA340" s="12">
        <v>42000</v>
      </c>
      <c r="BB340" s="7">
        <v>45993</v>
      </c>
      <c r="BC340" s="14"/>
      <c r="BD340" s="14"/>
      <c r="BF340" s="12"/>
      <c r="BG340" s="14"/>
      <c r="BH340" s="19">
        <v>46004</v>
      </c>
      <c r="BI340" s="5">
        <v>1700</v>
      </c>
      <c r="BJ340" s="19">
        <v>46004</v>
      </c>
      <c r="BM340" s="18"/>
      <c r="BN340" s="18"/>
      <c r="BO340" s="18"/>
      <c r="BP340" s="18"/>
      <c r="BQ340" s="5"/>
      <c r="BR340" s="18"/>
      <c r="BS340" s="18"/>
      <c r="BT340" s="35">
        <f t="shared" si="77"/>
        <v>46094</v>
      </c>
    </row>
    <row r="341" spans="1:72" ht="58" x14ac:dyDescent="0.35">
      <c r="A341" s="5">
        <v>340</v>
      </c>
      <c r="B341" s="5"/>
      <c r="C341" s="5" t="s">
        <v>78</v>
      </c>
      <c r="D341" s="5">
        <v>15</v>
      </c>
      <c r="E341" s="5">
        <v>4</v>
      </c>
      <c r="F341" s="8" t="s">
        <v>737</v>
      </c>
      <c r="G341" s="8"/>
      <c r="H341" s="5" t="s">
        <v>13</v>
      </c>
      <c r="I341" s="5" t="str" cm="1">
        <f t="array" ref="I341">_xlfn.IFS(
  H341="Mahuva", "Mahuva",
  H341="Jesar", "Mahuva",
  H341="Palitana", "Palitana",
  H341="Gariyadhar", "Palitana",
  H341="Talaja", "Talaja",
  H341="Vallabhipur", "Vallabhipur",
  H341="Umrala", "Vallabhipur",
  H341="Shihor", "Shihor",
  H341="Ghogha", "Bhavnagar",
  H341="Bhavnagar", "Bhavnagar"
)</f>
        <v>Shihor</v>
      </c>
      <c r="J341" s="5" t="s">
        <v>256</v>
      </c>
      <c r="K341" s="5" t="s">
        <v>624</v>
      </c>
      <c r="L341" s="5">
        <v>213145</v>
      </c>
      <c r="M341" s="5"/>
      <c r="N341" s="7">
        <v>45875</v>
      </c>
      <c r="O341" s="7">
        <v>45887</v>
      </c>
      <c r="P341" s="7">
        <v>45888</v>
      </c>
      <c r="Q341" s="7">
        <f t="shared" si="66"/>
        <v>46007</v>
      </c>
      <c r="R341" s="9">
        <v>1024912.96</v>
      </c>
      <c r="S341" s="33"/>
      <c r="T341" s="9">
        <v>843400.87</v>
      </c>
      <c r="U341" s="10">
        <v>-17.71</v>
      </c>
      <c r="V341" s="10" t="str">
        <f t="shared" si="67"/>
        <v>Below</v>
      </c>
      <c r="W341" s="11" t="str" cm="1">
        <f t="array" ref="W341">NumberToWords(T341)</f>
        <v>Eight Lakh Forty Three Thousand Four Hundred Rupees and Eighty Seven Paise Only</v>
      </c>
      <c r="X341" s="10" t="str">
        <f t="shared" si="68"/>
        <v>Division</v>
      </c>
      <c r="Z341" s="9">
        <f t="shared" si="69"/>
        <v>843400.87</v>
      </c>
      <c r="AA341" s="5" t="s">
        <v>638</v>
      </c>
      <c r="AB341" s="8">
        <f>_xlfn.XLOOKUP(AA341, 'Agency List'!A$2:A$145, 'Agency List'!B$2:B$145, "Not Found")</f>
        <v>0</v>
      </c>
      <c r="AC341" s="8" t="str">
        <f>_xlfn.XLOOKUP(AA341, 'Agency List'!A$2:A$145, 'Agency List'!C$2:C$145, "Not Found")</f>
        <v>F/107, Eva Surabhi Complex, Opp. Aksharvadi Temple, Waghavadi Road, Bhavnagar - 364001</v>
      </c>
      <c r="AD341" s="8">
        <f>_xlfn.XLOOKUP(AA341, 'Agency List'!A$2:A$145, 'Agency List'!D$2:D$145, "Not Found")</f>
        <v>7984929295</v>
      </c>
      <c r="AE341" s="7"/>
      <c r="AF341" s="5"/>
      <c r="AG341" s="5" t="str">
        <f t="shared" si="70"/>
        <v>Bandhkam</v>
      </c>
      <c r="AH341" s="5"/>
      <c r="AI341" s="8"/>
      <c r="AJ341" s="8"/>
      <c r="AL341" s="16">
        <v>3</v>
      </c>
      <c r="AM341" s="12">
        <f t="shared" si="71"/>
        <v>43000</v>
      </c>
      <c r="AN341" s="7">
        <f t="shared" si="72"/>
        <v>46485</v>
      </c>
      <c r="AO341" s="12">
        <f t="shared" si="73"/>
        <v>2900</v>
      </c>
      <c r="AP341" s="12">
        <f t="shared" si="74"/>
        <v>16000</v>
      </c>
      <c r="AQ341" s="15">
        <f t="shared" si="75"/>
        <v>46070</v>
      </c>
      <c r="AR341" s="7">
        <f t="shared" si="76"/>
        <v>46425</v>
      </c>
      <c r="AS341" s="5">
        <v>1355</v>
      </c>
      <c r="AT341" s="7">
        <v>45922</v>
      </c>
      <c r="AU341" s="5" t="s">
        <v>78</v>
      </c>
      <c r="AV341" s="17">
        <v>191</v>
      </c>
      <c r="AW341" s="37">
        <v>45943</v>
      </c>
      <c r="AX341" s="5" t="s">
        <v>355</v>
      </c>
      <c r="AY341" s="5" t="s">
        <v>369</v>
      </c>
      <c r="AZ341" s="13">
        <v>44527007513</v>
      </c>
      <c r="BA341" s="12">
        <v>43000</v>
      </c>
      <c r="BB341" s="7">
        <v>45934</v>
      </c>
      <c r="BC341" s="5" t="s">
        <v>355</v>
      </c>
      <c r="BD341" s="5" t="s">
        <v>369</v>
      </c>
      <c r="BE341" s="13">
        <v>44527009054</v>
      </c>
      <c r="BF341" s="12">
        <v>16000</v>
      </c>
      <c r="BG341" s="7">
        <v>45934</v>
      </c>
      <c r="BH341" s="19">
        <v>45945</v>
      </c>
      <c r="BI341" s="5">
        <v>1475</v>
      </c>
      <c r="BJ341" s="19">
        <v>45943</v>
      </c>
      <c r="BM341" s="18"/>
      <c r="BN341" s="18"/>
      <c r="BO341" s="18"/>
      <c r="BP341" s="18"/>
      <c r="BQ341" s="5"/>
      <c r="BR341" s="18"/>
      <c r="BS341" s="18"/>
      <c r="BT341" s="35">
        <f t="shared" si="77"/>
        <v>46035</v>
      </c>
    </row>
    <row r="342" spans="1:72" ht="58" x14ac:dyDescent="0.35">
      <c r="A342" s="5">
        <v>341</v>
      </c>
      <c r="B342" s="5"/>
      <c r="C342" s="5" t="s">
        <v>78</v>
      </c>
      <c r="D342" s="5">
        <v>15</v>
      </c>
      <c r="E342" s="5">
        <v>5</v>
      </c>
      <c r="F342" s="8" t="s">
        <v>745</v>
      </c>
      <c r="G342" s="8"/>
      <c r="H342" s="5" t="s">
        <v>3</v>
      </c>
      <c r="I342" s="5" t="str" cm="1">
        <f t="array" ref="I342">_xlfn.IFS(
  H342="Mahuva", "Mahuva",
  H342="Jesar", "Mahuva",
  H342="Palitana", "Palitana",
  H342="Gariyadhar", "Palitana",
  H342="Talaja", "Talaja",
  H342="Vallabhipur", "Vallabhipur",
  H342="Umrala", "Vallabhipur",
  H342="Shihor", "Shihor",
  H342="Ghogha", "Bhavnagar",
  H342="Bhavnagar", "Bhavnagar"
)</f>
        <v>Palitana</v>
      </c>
      <c r="J342" s="5" t="s">
        <v>21</v>
      </c>
      <c r="K342" s="5"/>
      <c r="L342" s="5">
        <v>213149</v>
      </c>
      <c r="M342" s="5"/>
      <c r="N342" s="7">
        <v>45875</v>
      </c>
      <c r="O342" s="7">
        <v>45887</v>
      </c>
      <c r="P342" s="7">
        <v>45888</v>
      </c>
      <c r="Q342" s="7">
        <f t="shared" si="66"/>
        <v>46007</v>
      </c>
      <c r="R342" s="9">
        <v>1257594.95</v>
      </c>
      <c r="S342" s="33"/>
      <c r="T342" s="9">
        <v>990859.06</v>
      </c>
      <c r="U342" s="10">
        <v>-21.21</v>
      </c>
      <c r="V342" s="10" t="str">
        <f t="shared" si="67"/>
        <v>Below</v>
      </c>
      <c r="W342" s="11" t="str" cm="1">
        <f t="array" ref="W342">NumberToWords(T342)</f>
        <v>Nine Lakh Ninety Thousand Eight Hundred Fifty Nine Rupees and Six Paise Only</v>
      </c>
      <c r="X342" s="10" t="str">
        <f t="shared" si="68"/>
        <v>Division</v>
      </c>
      <c r="Z342" s="9">
        <f t="shared" si="69"/>
        <v>990859.06</v>
      </c>
      <c r="AA342" s="5" t="s">
        <v>279</v>
      </c>
      <c r="AB342" s="8" t="str">
        <f>_xlfn.XLOOKUP(AA342, 'Agency List'!A$2:A$145, 'Agency List'!B$2:B$145, "Not Found")</f>
        <v>ALIGBHAI LAKHUBHAI BARAL</v>
      </c>
      <c r="AC342" s="8" t="str">
        <f>_xlfn.XLOOKUP(AA342, 'Agency List'!A$2:A$145, 'Agency List'!C$2:C$145, "Not Found")</f>
        <v>At Bhandariya, Ta. Palitana, Dist. Bhavnagar</v>
      </c>
      <c r="AD342" s="8">
        <f>_xlfn.XLOOKUP(AA342, 'Agency List'!A$2:A$145, 'Agency List'!D$2:D$145, "Not Found")</f>
        <v>9828109453</v>
      </c>
      <c r="AE342" s="7"/>
      <c r="AF342" s="5" t="s">
        <v>805</v>
      </c>
      <c r="AG342" s="5" t="str">
        <f t="shared" si="70"/>
        <v>Bandhkam</v>
      </c>
      <c r="AH342" s="5"/>
      <c r="AI342" s="8"/>
      <c r="AJ342" s="8"/>
      <c r="AL342" s="16">
        <v>1</v>
      </c>
      <c r="AM342" s="12">
        <f t="shared" si="71"/>
        <v>50000</v>
      </c>
      <c r="AN342" s="7">
        <f t="shared" si="72"/>
        <v>46425</v>
      </c>
      <c r="AO342" s="12">
        <f t="shared" si="73"/>
        <v>4600</v>
      </c>
      <c r="AP342" s="12">
        <f t="shared" si="74"/>
        <v>43000</v>
      </c>
      <c r="AQ342" s="15">
        <f t="shared" si="75"/>
        <v>46010</v>
      </c>
      <c r="AR342" s="7">
        <f t="shared" si="76"/>
        <v>46365</v>
      </c>
      <c r="AS342" s="5">
        <v>1335</v>
      </c>
      <c r="AT342" s="7">
        <v>45915</v>
      </c>
      <c r="AU342" s="5" t="s">
        <v>78</v>
      </c>
      <c r="AV342" s="17">
        <v>185</v>
      </c>
      <c r="AW342" s="37">
        <v>45943</v>
      </c>
      <c r="AX342" s="5" t="s">
        <v>355</v>
      </c>
      <c r="AY342" s="5" t="s">
        <v>803</v>
      </c>
      <c r="AZ342" s="45" t="s">
        <v>806</v>
      </c>
      <c r="BA342" s="12">
        <v>50000</v>
      </c>
      <c r="BB342" s="7">
        <v>45936</v>
      </c>
      <c r="BC342" s="5" t="s">
        <v>355</v>
      </c>
      <c r="BD342" s="5" t="s">
        <v>803</v>
      </c>
      <c r="BE342" s="45" t="s">
        <v>807</v>
      </c>
      <c r="BF342" s="12">
        <v>43000</v>
      </c>
      <c r="BG342" s="7">
        <v>45936</v>
      </c>
      <c r="BH342" s="19">
        <v>45945</v>
      </c>
      <c r="BI342" s="5">
        <v>1469</v>
      </c>
      <c r="BJ342" s="19">
        <v>45943</v>
      </c>
      <c r="BM342" s="18"/>
      <c r="BN342" s="18"/>
      <c r="BO342" s="18"/>
      <c r="BP342" s="18"/>
      <c r="BQ342" s="5"/>
      <c r="BR342" s="18"/>
      <c r="BS342" s="18"/>
      <c r="BT342" s="35">
        <f>EDATE(BH342,AL342)-1</f>
        <v>45975</v>
      </c>
    </row>
    <row r="343" spans="1:72" ht="72.5" x14ac:dyDescent="0.35">
      <c r="A343" s="5">
        <v>342</v>
      </c>
      <c r="B343" s="5"/>
      <c r="C343" s="5" t="s">
        <v>78</v>
      </c>
      <c r="D343" s="5">
        <v>15</v>
      </c>
      <c r="E343" s="5">
        <v>6</v>
      </c>
      <c r="F343" s="8" t="s">
        <v>738</v>
      </c>
      <c r="G343" s="8"/>
      <c r="H343" s="5" t="s">
        <v>13</v>
      </c>
      <c r="I343" s="5" t="str" cm="1">
        <f t="array" ref="I343">_xlfn.IFS(
  H343="Mahuva", "Mahuva",
  H343="Jesar", "Mahuva",
  H343="Palitana", "Palitana",
  H343="Gariyadhar", "Palitana",
  H343="Talaja", "Talaja",
  H343="Vallabhipur", "Vallabhipur",
  H343="Umrala", "Vallabhipur",
  H343="Shihor", "Shihor",
  H343="Ghogha", "Bhavnagar",
  H343="Bhavnagar", "Bhavnagar"
)</f>
        <v>Shihor</v>
      </c>
      <c r="J343" s="5" t="s">
        <v>746</v>
      </c>
      <c r="K343" s="5" t="s">
        <v>709</v>
      </c>
      <c r="L343" s="5">
        <v>213305</v>
      </c>
      <c r="M343" s="5"/>
      <c r="N343" s="7">
        <v>45875</v>
      </c>
      <c r="O343" s="7">
        <v>45887</v>
      </c>
      <c r="P343" s="7">
        <v>45888</v>
      </c>
      <c r="Q343" s="7">
        <f t="shared" si="66"/>
        <v>46007</v>
      </c>
      <c r="R343" s="9">
        <v>202031.85</v>
      </c>
      <c r="S343" s="33"/>
      <c r="T343" s="9">
        <v>183101.47</v>
      </c>
      <c r="U343" s="10">
        <v>-9.3699999999999992</v>
      </c>
      <c r="V343" s="10" t="str">
        <f t="shared" si="67"/>
        <v>Below</v>
      </c>
      <c r="W343" s="11" t="str" cm="1">
        <f t="array" ref="W343">NumberToWords(T343)</f>
        <v>One Lakh Eighty Three Thousand One Hundred One Rupees and Forty Seven Paise Only</v>
      </c>
      <c r="X343" s="10" t="str">
        <f t="shared" si="68"/>
        <v>Division</v>
      </c>
      <c r="Z343" s="9">
        <f t="shared" si="69"/>
        <v>183101.47</v>
      </c>
      <c r="AA343" s="5" t="s">
        <v>165</v>
      </c>
      <c r="AB343" s="8" t="str">
        <f>_xlfn.XLOOKUP(AA343, 'Agency List'!A$2:A$145, 'Agency List'!B$2:B$145, "Not Found")</f>
        <v>JATINKUMAR RAMESHBHAI GOYANI</v>
      </c>
      <c r="AC343" s="8" t="str">
        <f>_xlfn.XLOOKUP(AA343, 'Agency List'!A$2:A$145, 'Agency List'!C$2:C$145, "Not Found")</f>
        <v>SHOP NO. 3, GROUND FLOOR, PARVADI GAM, GARIYADHAR SANOSARA ROAD, PARAVADI, TA. GARIYADHAR, DIST. BHAVNAGAR-364505</v>
      </c>
      <c r="AD343" s="8">
        <f>_xlfn.XLOOKUP(AA343, 'Agency List'!A$2:A$145, 'Agency List'!D$2:D$145, "Not Found")</f>
        <v>9016319324</v>
      </c>
      <c r="AE343" s="7"/>
      <c r="AF343" s="5" t="s">
        <v>941</v>
      </c>
      <c r="AG343" s="5" t="str">
        <f t="shared" si="70"/>
        <v>Bandhkam</v>
      </c>
      <c r="AH343" s="5"/>
      <c r="AI343" s="8"/>
      <c r="AJ343" s="8"/>
      <c r="AL343" s="16">
        <v>1</v>
      </c>
      <c r="AM343" s="12">
        <f t="shared" si="71"/>
        <v>10000</v>
      </c>
      <c r="AN343" s="7">
        <f t="shared" si="72"/>
        <v>46473</v>
      </c>
      <c r="AO343" s="12">
        <f t="shared" si="73"/>
        <v>500</v>
      </c>
      <c r="AP343" s="12">
        <f t="shared" si="74"/>
        <v>0</v>
      </c>
      <c r="AQ343" s="15">
        <f t="shared" si="75"/>
        <v>46058</v>
      </c>
      <c r="AR343" s="7">
        <f t="shared" si="76"/>
        <v>46413</v>
      </c>
      <c r="AS343" s="5">
        <v>1336</v>
      </c>
      <c r="AT343" s="7">
        <v>45915</v>
      </c>
      <c r="AU343" s="5" t="s">
        <v>78</v>
      </c>
      <c r="AV343" s="17">
        <v>221</v>
      </c>
      <c r="AW343" s="37">
        <v>45993</v>
      </c>
      <c r="AX343" s="5" t="s">
        <v>355</v>
      </c>
      <c r="AY343" s="5" t="s">
        <v>803</v>
      </c>
      <c r="AZ343" s="45" t="s">
        <v>903</v>
      </c>
      <c r="BA343" s="12">
        <v>10000</v>
      </c>
      <c r="BB343" s="7">
        <v>45959</v>
      </c>
      <c r="BC343" s="14"/>
      <c r="BD343" s="14"/>
      <c r="BF343" s="12"/>
      <c r="BG343" s="14"/>
      <c r="BH343" s="19">
        <v>45993</v>
      </c>
      <c r="BI343" s="5">
        <v>1593</v>
      </c>
      <c r="BJ343" s="19">
        <v>45993</v>
      </c>
      <c r="BM343" s="18"/>
      <c r="BN343" s="18"/>
      <c r="BO343" s="18"/>
      <c r="BP343" s="18"/>
      <c r="BQ343" s="5"/>
      <c r="BR343" s="18"/>
      <c r="BS343" s="18"/>
      <c r="BT343" s="35">
        <f>BH343+AL343*30</f>
        <v>46023</v>
      </c>
    </row>
    <row r="344" spans="1:72" ht="43.5" x14ac:dyDescent="0.35">
      <c r="A344" s="5">
        <v>343</v>
      </c>
      <c r="B344" s="5"/>
      <c r="C344" s="5" t="s">
        <v>78</v>
      </c>
      <c r="D344" s="5">
        <v>15</v>
      </c>
      <c r="E344" s="5">
        <v>7</v>
      </c>
      <c r="F344" s="8" t="s">
        <v>739</v>
      </c>
      <c r="G344" s="8"/>
      <c r="H344" s="5" t="s">
        <v>1</v>
      </c>
      <c r="I344" s="5" t="str" cm="1">
        <f t="array" ref="I344">_xlfn.IFS(
  H344="Mahuva", "Mahuva",
  H344="Jesar", "Mahuva",
  H344="Palitana", "Palitana",
  H344="Gariyadhar", "Palitana",
  H344="Talaja", "Talaja",
  H344="Vallabhipur", "Vallabhipur",
  H344="Umrala", "Vallabhipur",
  H344="Shihor", "Shihor",
  H344="Ghogha", "Bhavnagar",
  H344="Bhavnagar", "Bhavnagar"
)</f>
        <v>Bhavnagar</v>
      </c>
      <c r="J344" s="5" t="s">
        <v>21</v>
      </c>
      <c r="K344" s="5"/>
      <c r="L344" s="5">
        <v>213308</v>
      </c>
      <c r="M344" s="5"/>
      <c r="N344" s="7">
        <v>45875</v>
      </c>
      <c r="O344" s="7">
        <v>45887</v>
      </c>
      <c r="P344" s="7">
        <v>45888</v>
      </c>
      <c r="Q344" s="7">
        <f t="shared" si="66"/>
        <v>46007</v>
      </c>
      <c r="R344" s="9">
        <v>2473582.67</v>
      </c>
      <c r="S344" s="33"/>
      <c r="T344" s="9">
        <v>1709740.34</v>
      </c>
      <c r="U344" s="10">
        <v>-30.88</v>
      </c>
      <c r="V344" s="10" t="str">
        <f t="shared" si="67"/>
        <v>Below</v>
      </c>
      <c r="W344" s="11" t="str" cm="1">
        <f t="array" ref="W344">NumberToWords(T344)</f>
        <v>Seventeen Lakh Nine Thousand Seven Hundred Forty Rupees and Thirty Four Paise Only</v>
      </c>
      <c r="X344" s="10" t="str">
        <f t="shared" si="68"/>
        <v>Division</v>
      </c>
      <c r="Z344" s="9">
        <f t="shared" si="69"/>
        <v>1709740.34</v>
      </c>
      <c r="AA344" s="5" t="s">
        <v>403</v>
      </c>
      <c r="AB344" s="8" t="str">
        <f>_xlfn.XLOOKUP(AA344, 'Agency List'!A$2:A$145, 'Agency List'!B$2:B$145, "Not Found")</f>
        <v>Sanjaysinh Rajendrasinh Gohil</v>
      </c>
      <c r="AC344" s="8" t="str">
        <f>_xlfn.XLOOKUP(AA344, 'Agency List'!A$2:A$145, 'Agency List'!C$2:C$145, "Not Found")</f>
        <v>184, Darbar Street, Wadi Area, Navagam (Nana) Ta. Ghogha. Dist. Bhavnagar</v>
      </c>
      <c r="AD344" s="8">
        <f>_xlfn.XLOOKUP(AA344, 'Agency List'!A$2:A$145, 'Agency List'!D$2:D$145, "Not Found")</f>
        <v>9624751929</v>
      </c>
      <c r="AE344" s="7"/>
      <c r="AF344" s="5" t="s">
        <v>881</v>
      </c>
      <c r="AG344" s="5" t="str">
        <f t="shared" si="70"/>
        <v>Bandhkam</v>
      </c>
      <c r="AH344" s="5"/>
      <c r="AI344" s="8"/>
      <c r="AJ344" s="8"/>
      <c r="AL344" s="16">
        <v>1</v>
      </c>
      <c r="AM344" s="12">
        <f t="shared" si="71"/>
        <v>86000</v>
      </c>
      <c r="AN344" s="7">
        <f t="shared" si="72"/>
        <v>46481</v>
      </c>
      <c r="AO344" s="12">
        <f t="shared" si="73"/>
        <v>11900</v>
      </c>
      <c r="AP344" s="12">
        <f t="shared" si="74"/>
        <v>155000</v>
      </c>
      <c r="AQ344" s="15">
        <f t="shared" si="75"/>
        <v>46066</v>
      </c>
      <c r="AR344" s="7">
        <f t="shared" si="76"/>
        <v>46421</v>
      </c>
      <c r="AS344" s="5">
        <v>1337</v>
      </c>
      <c r="AT344" s="7">
        <v>45915</v>
      </c>
      <c r="AU344" s="5" t="s">
        <v>78</v>
      </c>
      <c r="AV344" s="17">
        <v>224</v>
      </c>
      <c r="AW344" s="37">
        <v>46001</v>
      </c>
      <c r="AX344" s="5" t="s">
        <v>355</v>
      </c>
      <c r="AY344" s="5" t="s">
        <v>701</v>
      </c>
      <c r="AZ344" s="13">
        <v>5896381668</v>
      </c>
      <c r="BA344" s="12">
        <v>86000</v>
      </c>
      <c r="BB344" s="7">
        <v>45967</v>
      </c>
      <c r="BC344" s="5" t="s">
        <v>355</v>
      </c>
      <c r="BD344" s="5" t="s">
        <v>701</v>
      </c>
      <c r="BE344" s="13">
        <v>5913030045</v>
      </c>
      <c r="BF344" s="12">
        <v>155000</v>
      </c>
      <c r="BG344" s="7">
        <v>46001</v>
      </c>
      <c r="BH344" s="19">
        <v>46001</v>
      </c>
      <c r="BI344" s="5">
        <v>1688</v>
      </c>
      <c r="BJ344" s="19">
        <v>46001</v>
      </c>
      <c r="BM344" s="18"/>
      <c r="BN344" s="18"/>
      <c r="BO344" s="18"/>
      <c r="BP344" s="18"/>
      <c r="BQ344" s="5"/>
      <c r="BR344" s="18"/>
      <c r="BS344" s="18"/>
      <c r="BT344" s="35">
        <f>EDATE(BH344,AL344)-1</f>
        <v>46031</v>
      </c>
    </row>
    <row r="345" spans="1:72" ht="43.5" x14ac:dyDescent="0.35">
      <c r="A345" s="5">
        <v>344</v>
      </c>
      <c r="B345" s="5"/>
      <c r="C345" s="5" t="s">
        <v>78</v>
      </c>
      <c r="D345" s="5">
        <v>15</v>
      </c>
      <c r="E345" s="5">
        <v>8</v>
      </c>
      <c r="F345" s="8" t="s">
        <v>740</v>
      </c>
      <c r="G345" s="8"/>
      <c r="H345" s="5" t="s">
        <v>13</v>
      </c>
      <c r="I345" s="5" t="str" cm="1">
        <f t="array" ref="I345">_xlfn.IFS(
  H345="Mahuva", "Mahuva",
  H345="Jesar", "Mahuva",
  H345="Palitana", "Palitana",
  H345="Gariyadhar", "Palitana",
  H345="Talaja", "Talaja",
  H345="Vallabhipur", "Vallabhipur",
  H345="Umrala", "Vallabhipur",
  H345="Shihor", "Shihor",
  H345="Ghogha", "Bhavnagar",
  H345="Bhavnagar", "Bhavnagar"
)</f>
        <v>Shihor</v>
      </c>
      <c r="J345" s="5" t="s">
        <v>256</v>
      </c>
      <c r="K345" s="5" t="s">
        <v>707</v>
      </c>
      <c r="L345" s="5">
        <v>213311</v>
      </c>
      <c r="M345" s="5"/>
      <c r="N345" s="7">
        <v>45875</v>
      </c>
      <c r="O345" s="7">
        <v>45887</v>
      </c>
      <c r="P345" s="7">
        <v>45888</v>
      </c>
      <c r="Q345" s="7">
        <f t="shared" si="66"/>
        <v>46007</v>
      </c>
      <c r="R345" s="9">
        <v>836769.5</v>
      </c>
      <c r="S345" s="33"/>
      <c r="T345" s="9">
        <v>768740.14</v>
      </c>
      <c r="U345" s="10">
        <v>-8.1300000000000008</v>
      </c>
      <c r="V345" s="10" t="str">
        <f t="shared" si="67"/>
        <v>Below</v>
      </c>
      <c r="W345" s="11" t="str" cm="1">
        <f t="array" ref="W345">NumberToWords(T345)</f>
        <v>Seven Lakh Sixty Eight Thousand Seven Hundred Forty Rupees and Fourteen Paise Only</v>
      </c>
      <c r="X345" s="10" t="str">
        <f t="shared" si="68"/>
        <v>Division</v>
      </c>
      <c r="Z345" s="9">
        <f t="shared" si="69"/>
        <v>768740.14</v>
      </c>
      <c r="AA345" s="5" t="s">
        <v>637</v>
      </c>
      <c r="AB345" s="8" t="str">
        <f>_xlfn.XLOOKUP(AA345, 'Agency List'!A$2:A$145, 'Agency List'!B$2:B$145, "Not Found")</f>
        <v>Amardipsinh M. Gohil</v>
      </c>
      <c r="AC345" s="8" t="str">
        <f>_xlfn.XLOOKUP(AA345, 'Agency List'!A$2:A$145, 'Agency List'!C$2:C$145, "Not Found")</f>
        <v>C 1014, Opp. SBI Bank, Kaliyabid, Bhavnagar</v>
      </c>
      <c r="AD345" s="8">
        <f>_xlfn.XLOOKUP(AA345, 'Agency List'!A$2:A$145, 'Agency List'!D$2:D$145, "Not Found")</f>
        <v>9426959999</v>
      </c>
      <c r="AE345" s="7"/>
      <c r="AF345" s="5" t="s">
        <v>817</v>
      </c>
      <c r="AG345" s="5" t="str">
        <f t="shared" si="70"/>
        <v>Bandhkam</v>
      </c>
      <c r="AH345" s="5"/>
      <c r="AI345" s="8"/>
      <c r="AJ345" s="8"/>
      <c r="AL345" s="16">
        <v>2</v>
      </c>
      <c r="AM345" s="12">
        <f t="shared" si="71"/>
        <v>39000</v>
      </c>
      <c r="AN345" s="7">
        <f t="shared" si="72"/>
        <v>46481</v>
      </c>
      <c r="AO345" s="12">
        <f t="shared" si="73"/>
        <v>2000</v>
      </c>
      <c r="AP345" s="12">
        <f t="shared" si="74"/>
        <v>0</v>
      </c>
      <c r="AQ345" s="15">
        <f t="shared" si="75"/>
        <v>46066</v>
      </c>
      <c r="AR345" s="7">
        <f t="shared" si="76"/>
        <v>46421</v>
      </c>
      <c r="AS345" s="5">
        <v>1417</v>
      </c>
      <c r="AT345" s="7">
        <v>45933</v>
      </c>
      <c r="AU345" s="5" t="s">
        <v>78</v>
      </c>
      <c r="AV345" s="17">
        <v>195</v>
      </c>
      <c r="AW345" s="37">
        <v>45964</v>
      </c>
      <c r="AX345" s="5" t="s">
        <v>355</v>
      </c>
      <c r="AY345" s="5" t="s">
        <v>369</v>
      </c>
      <c r="AZ345" s="13">
        <v>44564950237</v>
      </c>
      <c r="BA345" s="12">
        <v>39000</v>
      </c>
      <c r="BB345" s="7">
        <v>45947</v>
      </c>
      <c r="BC345" s="14"/>
      <c r="BD345" s="14"/>
      <c r="BF345" s="12"/>
      <c r="BG345" s="14"/>
      <c r="BH345" s="19">
        <v>45971</v>
      </c>
      <c r="BI345" s="5">
        <v>1497</v>
      </c>
      <c r="BJ345" s="19">
        <v>45964</v>
      </c>
      <c r="BM345" s="18"/>
      <c r="BN345" s="18"/>
      <c r="BO345" s="18"/>
      <c r="BP345" s="18"/>
      <c r="BQ345" s="5"/>
      <c r="BR345" s="18"/>
      <c r="BS345" s="18"/>
      <c r="BT345" s="35">
        <f>BH345+AL345*30</f>
        <v>46031</v>
      </c>
    </row>
    <row r="346" spans="1:72" ht="43.5" x14ac:dyDescent="0.35">
      <c r="A346" s="5">
        <v>345</v>
      </c>
      <c r="B346" s="5"/>
      <c r="C346" s="5" t="s">
        <v>78</v>
      </c>
      <c r="D346" s="5">
        <v>15</v>
      </c>
      <c r="E346" s="5">
        <v>9</v>
      </c>
      <c r="F346" s="8" t="s">
        <v>741</v>
      </c>
      <c r="G346" s="8"/>
      <c r="H346" s="5" t="s">
        <v>11</v>
      </c>
      <c r="I346" s="5" t="str" cm="1">
        <f t="array" ref="I346">_xlfn.IFS(
  H346="Mahuva", "Mahuva",
  H346="Jesar", "Mahuva",
  H346="Palitana", "Palitana",
  H346="Gariyadhar", "Palitana",
  H346="Talaja", "Talaja",
  H346="Vallabhipur", "Vallabhipur",
  H346="Umrala", "Vallabhipur",
  H346="Shihor", "Shihor",
  H346="Ghogha", "Bhavnagar",
  H346="Bhavnagar", "Bhavnagar"
)</f>
        <v>Vallabhipur</v>
      </c>
      <c r="J346" s="5" t="s">
        <v>256</v>
      </c>
      <c r="K346" s="5" t="s">
        <v>710</v>
      </c>
      <c r="L346" s="5">
        <v>213314</v>
      </c>
      <c r="M346" s="5"/>
      <c r="N346" s="7">
        <v>45875</v>
      </c>
      <c r="O346" s="7">
        <v>45887</v>
      </c>
      <c r="P346" s="7">
        <v>45888</v>
      </c>
      <c r="Q346" s="7">
        <f t="shared" si="66"/>
        <v>46007</v>
      </c>
      <c r="R346" s="9">
        <v>684906.78</v>
      </c>
      <c r="S346" s="33"/>
      <c r="T346" s="9">
        <v>659085.79</v>
      </c>
      <c r="U346" s="10">
        <v>-3.77</v>
      </c>
      <c r="V346" s="10" t="str">
        <f t="shared" si="67"/>
        <v>Below</v>
      </c>
      <c r="W346" s="11" t="str" cm="1">
        <f t="array" ref="W346">NumberToWords(T346)</f>
        <v>Six Lakh Fifty Nine Thousand Eighty Five Rupees and Seventy Nine Paise Only</v>
      </c>
      <c r="X346" s="10" t="str">
        <f t="shared" si="68"/>
        <v>Division</v>
      </c>
      <c r="Z346" s="9">
        <f t="shared" si="69"/>
        <v>659085.79</v>
      </c>
      <c r="AA346" s="5" t="s">
        <v>164</v>
      </c>
      <c r="AB346" s="8">
        <f>_xlfn.XLOOKUP(AA346, 'Agency List'!A$2:A$145, 'Agency List'!B$2:B$145, "Not Found")</f>
        <v>0</v>
      </c>
      <c r="AC346" s="8" t="str">
        <f>_xlfn.XLOOKUP(AA346, 'Agency List'!A$2:A$145, 'Agency List'!C$2:C$145, "Not Found")</f>
        <v>House No.757, Nr. Ramdevpir Mandir Temple, Dihor, Talaja, Bhavnagar-364150</v>
      </c>
      <c r="AD346" s="8">
        <f>_xlfn.XLOOKUP(AA346, 'Agency List'!A$2:A$145, 'Agency List'!D$2:D$145, "Not Found")</f>
        <v>9722223237</v>
      </c>
      <c r="AE346" s="7"/>
      <c r="AF346" s="5"/>
      <c r="AG346" s="5" t="str">
        <f t="shared" si="70"/>
        <v>Bandhkam</v>
      </c>
      <c r="AH346" s="5"/>
      <c r="AI346" s="8"/>
      <c r="AJ346" s="8"/>
      <c r="AL346" s="16">
        <v>3</v>
      </c>
      <c r="AM346" s="12">
        <f t="shared" si="71"/>
        <v>33000</v>
      </c>
      <c r="AN346" s="7">
        <f t="shared" si="72"/>
        <v>46471</v>
      </c>
      <c r="AO346" s="12">
        <f t="shared" si="73"/>
        <v>1700</v>
      </c>
      <c r="AP346" s="12">
        <f t="shared" si="74"/>
        <v>0</v>
      </c>
      <c r="AQ346" s="15">
        <f t="shared" si="75"/>
        <v>46056</v>
      </c>
      <c r="AR346" s="7">
        <f t="shared" si="76"/>
        <v>46411</v>
      </c>
      <c r="AS346" s="5">
        <v>1334</v>
      </c>
      <c r="AT346" s="7">
        <v>45915</v>
      </c>
      <c r="AU346" s="5"/>
      <c r="AV346" s="17"/>
      <c r="AW346" s="17"/>
      <c r="AX346" s="5"/>
      <c r="AY346" s="5"/>
      <c r="AZ346" s="13"/>
      <c r="BA346" s="12"/>
      <c r="BB346" s="7"/>
      <c r="BC346" s="14"/>
      <c r="BD346" s="14"/>
      <c r="BF346" s="12"/>
      <c r="BG346" s="14"/>
      <c r="BH346" s="19">
        <v>45931</v>
      </c>
      <c r="BI346" s="5"/>
      <c r="BK346" s="5">
        <v>23</v>
      </c>
      <c r="BL346" s="7">
        <v>45659</v>
      </c>
      <c r="BM346" s="18"/>
      <c r="BN346" s="18"/>
      <c r="BO346" s="18"/>
      <c r="BP346" s="18"/>
      <c r="BQ346" s="5"/>
      <c r="BR346" s="18"/>
      <c r="BS346" s="18"/>
      <c r="BT346" s="35">
        <f>BH346+AL346*30</f>
        <v>46021</v>
      </c>
    </row>
    <row r="347" spans="1:72" ht="58" x14ac:dyDescent="0.35">
      <c r="A347" s="5">
        <v>346</v>
      </c>
      <c r="B347" s="5"/>
      <c r="C347" s="5" t="s">
        <v>78</v>
      </c>
      <c r="D347" s="5">
        <v>15</v>
      </c>
      <c r="E347" s="5">
        <v>10</v>
      </c>
      <c r="F347" s="8" t="s">
        <v>747</v>
      </c>
      <c r="G347" s="8"/>
      <c r="H347" s="5" t="s">
        <v>4</v>
      </c>
      <c r="I347" s="5" t="str" cm="1">
        <f t="array" ref="I347">_xlfn.IFS(
  H347="Mahuva", "Mahuva",
  H347="Jesar", "Mahuva",
  H347="Palitana", "Palitana",
  H347="Gariyadhar", "Palitana",
  H347="Talaja", "Talaja",
  H347="Vallabhipur", "Vallabhipur",
  H347="Umrala", "Vallabhipur",
  H347="Shihor", "Shihor",
  H347="Ghogha", "Bhavnagar",
  H347="Bhavnagar", "Bhavnagar"
)</f>
        <v>Talaja</v>
      </c>
      <c r="J347" s="5" t="s">
        <v>21</v>
      </c>
      <c r="K347" s="5"/>
      <c r="L347" s="5">
        <v>213315</v>
      </c>
      <c r="M347" s="5"/>
      <c r="N347" s="7">
        <v>45875</v>
      </c>
      <c r="O347" s="7">
        <v>45887</v>
      </c>
      <c r="P347" s="7">
        <v>45888</v>
      </c>
      <c r="Q347" s="7">
        <f t="shared" si="66"/>
        <v>46007</v>
      </c>
      <c r="R347" s="9">
        <v>1253372.56</v>
      </c>
      <c r="S347" s="33"/>
      <c r="T347" s="9">
        <v>866331.11</v>
      </c>
      <c r="U347" s="10">
        <v>-30.88</v>
      </c>
      <c r="V347" s="10" t="str">
        <f t="shared" si="67"/>
        <v>Below</v>
      </c>
      <c r="W347" s="11" t="str" cm="1">
        <f t="array" ref="W347">NumberToWords(T347)</f>
        <v>Eight Lakh Sixty Six Thousand Three Hundred Thirty One Rupees and Eleven Paise Only</v>
      </c>
      <c r="X347" s="10" t="str">
        <f t="shared" si="68"/>
        <v>Division</v>
      </c>
      <c r="Z347" s="9">
        <f t="shared" si="69"/>
        <v>866331.11</v>
      </c>
      <c r="AA347" s="5" t="s">
        <v>403</v>
      </c>
      <c r="AB347" s="8" t="str">
        <f>_xlfn.XLOOKUP(AA347, 'Agency List'!A$2:A$145, 'Agency List'!B$2:B$145, "Not Found")</f>
        <v>Sanjaysinh Rajendrasinh Gohil</v>
      </c>
      <c r="AC347" s="8" t="str">
        <f>_xlfn.XLOOKUP(AA347, 'Agency List'!A$2:A$145, 'Agency List'!C$2:C$145, "Not Found")</f>
        <v>184, Darbar Street, Wadi Area, Navagam (Nana) Ta. Ghogha. Dist. Bhavnagar</v>
      </c>
      <c r="AD347" s="8">
        <f>_xlfn.XLOOKUP(AA347, 'Agency List'!A$2:A$145, 'Agency List'!D$2:D$145, "Not Found")</f>
        <v>9624751929</v>
      </c>
      <c r="AE347" s="7"/>
      <c r="AF347" s="5" t="s">
        <v>805</v>
      </c>
      <c r="AG347" s="5" t="str">
        <f t="shared" si="70"/>
        <v>Bandhkam</v>
      </c>
      <c r="AH347" s="5"/>
      <c r="AI347" s="8"/>
      <c r="AJ347" s="8"/>
      <c r="AL347" s="16">
        <v>1</v>
      </c>
      <c r="AM347" s="12">
        <f t="shared" si="71"/>
        <v>44000</v>
      </c>
      <c r="AN347" s="7">
        <f t="shared" si="72"/>
        <v>46461</v>
      </c>
      <c r="AO347" s="12">
        <f t="shared" si="73"/>
        <v>6100</v>
      </c>
      <c r="AP347" s="12">
        <f t="shared" si="74"/>
        <v>79000</v>
      </c>
      <c r="AQ347" s="15">
        <f t="shared" si="75"/>
        <v>46046</v>
      </c>
      <c r="AR347" s="7">
        <f t="shared" si="76"/>
        <v>46401</v>
      </c>
      <c r="AS347" s="5">
        <v>1339</v>
      </c>
      <c r="AT347" s="7">
        <v>45915</v>
      </c>
      <c r="AU347" s="5"/>
      <c r="AV347" s="17"/>
      <c r="AW347" s="37"/>
      <c r="AX347" s="5"/>
      <c r="AY347" s="5"/>
      <c r="AZ347" s="13"/>
      <c r="BA347" s="12"/>
      <c r="BB347" s="7"/>
      <c r="BC347" s="14"/>
      <c r="BD347" s="14"/>
      <c r="BF347" s="12"/>
      <c r="BG347" s="14"/>
      <c r="BH347" s="19">
        <v>45981</v>
      </c>
      <c r="BI347" s="5"/>
      <c r="BK347" s="5">
        <v>22</v>
      </c>
      <c r="BL347" s="7">
        <v>45659</v>
      </c>
      <c r="BM347" s="18"/>
      <c r="BN347" s="18"/>
      <c r="BO347" s="18"/>
      <c r="BP347" s="18"/>
      <c r="BQ347" s="5"/>
      <c r="BR347" s="18"/>
      <c r="BS347" s="18"/>
      <c r="BT347" s="35">
        <f>EDATE(BH347,AL347)-1</f>
        <v>46010</v>
      </c>
    </row>
    <row r="348" spans="1:72" ht="43.5" x14ac:dyDescent="0.35">
      <c r="A348" s="5">
        <v>347</v>
      </c>
      <c r="B348" s="5"/>
      <c r="C348" s="5" t="s">
        <v>78</v>
      </c>
      <c r="D348" s="5">
        <v>15</v>
      </c>
      <c r="E348" s="5">
        <v>11</v>
      </c>
      <c r="F348" s="8" t="s">
        <v>742</v>
      </c>
      <c r="G348" s="8"/>
      <c r="H348" s="5" t="s">
        <v>13</v>
      </c>
      <c r="I348" s="5" t="str" cm="1">
        <f t="array" ref="I348">_xlfn.IFS(
  H348="Mahuva", "Mahuva",
  H348="Jesar", "Mahuva",
  H348="Palitana", "Palitana",
  H348="Gariyadhar", "Palitana",
  H348="Talaja", "Talaja",
  H348="Vallabhipur", "Vallabhipur",
  H348="Umrala", "Vallabhipur",
  H348="Shihor", "Shihor",
  H348="Ghogha", "Bhavnagar",
  H348="Bhavnagar", "Bhavnagar"
)</f>
        <v>Shihor</v>
      </c>
      <c r="J348" s="5" t="s">
        <v>21</v>
      </c>
      <c r="K348" s="5"/>
      <c r="L348" s="5">
        <v>213317</v>
      </c>
      <c r="M348" s="5"/>
      <c r="N348" s="7">
        <v>45875</v>
      </c>
      <c r="O348" s="7">
        <v>45887</v>
      </c>
      <c r="P348" s="7">
        <v>45888</v>
      </c>
      <c r="Q348" s="7">
        <f t="shared" si="66"/>
        <v>46007</v>
      </c>
      <c r="R348" s="9">
        <v>669356.71</v>
      </c>
      <c r="S348" s="33"/>
      <c r="T348" s="9">
        <v>476046.49</v>
      </c>
      <c r="U348" s="10">
        <v>-28.88</v>
      </c>
      <c r="V348" s="10" t="str">
        <f t="shared" si="67"/>
        <v>Below</v>
      </c>
      <c r="W348" s="11" t="str" cm="1">
        <f t="array" ref="W348">NumberToWords(T348)</f>
        <v>Four Lakh Seventy Six Thousand Forty Six Rupees and Forty Nine Paise Only</v>
      </c>
      <c r="X348" s="10" t="str">
        <f t="shared" si="68"/>
        <v>Division</v>
      </c>
      <c r="Z348" s="9">
        <f t="shared" si="69"/>
        <v>476046.49</v>
      </c>
      <c r="AA348" s="5" t="s">
        <v>637</v>
      </c>
      <c r="AB348" s="8" t="str">
        <f>_xlfn.XLOOKUP(AA348, 'Agency List'!A$2:A$145, 'Agency List'!B$2:B$145, "Not Found")</f>
        <v>Amardipsinh M. Gohil</v>
      </c>
      <c r="AC348" s="8" t="str">
        <f>_xlfn.XLOOKUP(AA348, 'Agency List'!A$2:A$145, 'Agency List'!C$2:C$145, "Not Found")</f>
        <v>C 1014, Opp. SBI Bank, Kaliyabid, Bhavnagar</v>
      </c>
      <c r="AD348" s="8">
        <f>_xlfn.XLOOKUP(AA348, 'Agency List'!A$2:A$145, 'Agency List'!D$2:D$145, "Not Found")</f>
        <v>9426959999</v>
      </c>
      <c r="AE348" s="7"/>
      <c r="AF348" s="5" t="s">
        <v>805</v>
      </c>
      <c r="AG348" s="5" t="str">
        <f t="shared" si="70"/>
        <v>Bandhkam</v>
      </c>
      <c r="AH348" s="5"/>
      <c r="AI348" s="8"/>
      <c r="AJ348" s="8"/>
      <c r="AL348" s="16">
        <v>1</v>
      </c>
      <c r="AM348" s="12">
        <f t="shared" si="71"/>
        <v>24000</v>
      </c>
      <c r="AN348" s="7">
        <f t="shared" si="72"/>
        <v>46451</v>
      </c>
      <c r="AO348" s="12">
        <f t="shared" si="73"/>
        <v>3100</v>
      </c>
      <c r="AP348" s="12">
        <f t="shared" si="74"/>
        <v>38000</v>
      </c>
      <c r="AQ348" s="15">
        <f t="shared" si="75"/>
        <v>46036</v>
      </c>
      <c r="AR348" s="7">
        <f t="shared" si="76"/>
        <v>46391</v>
      </c>
      <c r="AS348" s="5">
        <v>1356</v>
      </c>
      <c r="AT348" s="7">
        <v>45922</v>
      </c>
      <c r="AU348" s="5" t="s">
        <v>78</v>
      </c>
      <c r="AV348" s="17">
        <v>194</v>
      </c>
      <c r="AW348" s="37">
        <v>45964</v>
      </c>
      <c r="AX348" s="5" t="s">
        <v>355</v>
      </c>
      <c r="AY348" s="5" t="s">
        <v>369</v>
      </c>
      <c r="AZ348" s="13">
        <v>44537744624</v>
      </c>
      <c r="BA348" s="12">
        <v>24000</v>
      </c>
      <c r="BB348" s="7">
        <v>45938</v>
      </c>
      <c r="BC348" s="5" t="s">
        <v>355</v>
      </c>
      <c r="BD348" s="5" t="s">
        <v>369</v>
      </c>
      <c r="BE348" s="13">
        <v>44564969511</v>
      </c>
      <c r="BF348" s="12">
        <v>38000</v>
      </c>
      <c r="BG348" s="7">
        <v>45947</v>
      </c>
      <c r="BH348" s="19">
        <v>45971</v>
      </c>
      <c r="BI348" s="5">
        <v>1496</v>
      </c>
      <c r="BJ348" s="19">
        <v>45964</v>
      </c>
      <c r="BM348" s="18"/>
      <c r="BN348" s="18"/>
      <c r="BO348" s="18"/>
      <c r="BP348" s="18"/>
      <c r="BQ348" s="5"/>
      <c r="BR348" s="18"/>
      <c r="BS348" s="18"/>
      <c r="BT348" s="35">
        <f>EDATE(BH348,AL348)-1</f>
        <v>46000</v>
      </c>
    </row>
    <row r="349" spans="1:72" ht="29" x14ac:dyDescent="0.35">
      <c r="A349" s="5">
        <v>348</v>
      </c>
      <c r="B349" s="5"/>
      <c r="C349" s="5" t="s">
        <v>78</v>
      </c>
      <c r="D349" s="5">
        <v>15</v>
      </c>
      <c r="E349" s="5">
        <v>12</v>
      </c>
      <c r="F349" s="8" t="s">
        <v>688</v>
      </c>
      <c r="G349" s="8"/>
      <c r="H349" s="5" t="s">
        <v>12</v>
      </c>
      <c r="I349" s="5" t="str" cm="1">
        <f t="array" ref="I349">_xlfn.IFS(
  H349="Mahuva", "Mahuva",
  H349="Jesar", "Mahuva",
  H349="Palitana", "Palitana",
  H349="Gariyadhar", "Palitana",
  H349="Talaja", "Talaja",
  H349="Vallabhipur", "Vallabhipur",
  H349="Umrala", "Vallabhipur",
  H349="Shihor", "Shihor",
  H349="Ghogha", "Bhavnagar",
  H349="Bhavnagar", "Bhavnagar"
)</f>
        <v>Mahuva</v>
      </c>
      <c r="J349" s="5" t="s">
        <v>256</v>
      </c>
      <c r="K349" s="5" t="s">
        <v>708</v>
      </c>
      <c r="L349" s="5">
        <v>213371</v>
      </c>
      <c r="M349" s="5"/>
      <c r="N349" s="7">
        <v>45875</v>
      </c>
      <c r="O349" s="7">
        <v>45887</v>
      </c>
      <c r="P349" s="7">
        <v>45888</v>
      </c>
      <c r="Q349" s="7">
        <f t="shared" si="66"/>
        <v>46007</v>
      </c>
      <c r="S349" s="33" t="s">
        <v>233</v>
      </c>
      <c r="U349" s="10"/>
      <c r="V349" s="10" t="str">
        <f t="shared" si="67"/>
        <v>Equals</v>
      </c>
      <c r="W349" s="11" t="str" cm="1">
        <f t="array" ref="W349">NumberToWords(T349)</f>
        <v>Zero Rupees Only</v>
      </c>
      <c r="X349" s="10" t="str">
        <f t="shared" si="68"/>
        <v>Division</v>
      </c>
      <c r="Z349" s="9">
        <f t="shared" si="69"/>
        <v>0</v>
      </c>
      <c r="AB349" s="8">
        <f>_xlfn.XLOOKUP(AA349, 'Agency List'!A$2:A$145, 'Agency List'!B$2:B$145, "Not Found")</f>
        <v>0</v>
      </c>
      <c r="AC349" s="8">
        <f>_xlfn.XLOOKUP(AA349, 'Agency List'!A$2:A$145, 'Agency List'!C$2:C$145, "Not Found")</f>
        <v>0</v>
      </c>
      <c r="AD349" s="8">
        <f>_xlfn.XLOOKUP(AA349, 'Agency List'!A$2:A$145, 'Agency List'!D$2:D$145, "Not Found")</f>
        <v>0</v>
      </c>
      <c r="AE349" s="7"/>
      <c r="AF349" s="5"/>
      <c r="AG349" s="5" t="str">
        <f t="shared" si="70"/>
        <v>Bandhkam</v>
      </c>
      <c r="AH349" s="5"/>
      <c r="AI349" s="8"/>
      <c r="AJ349" s="8"/>
      <c r="AL349" s="16"/>
      <c r="AM349" s="12">
        <f t="shared" si="71"/>
        <v>0</v>
      </c>
      <c r="AN349" s="7">
        <f t="shared" si="72"/>
        <v>450</v>
      </c>
      <c r="AO349" s="12">
        <f t="shared" si="73"/>
        <v>0</v>
      </c>
      <c r="AP349" s="12">
        <f t="shared" si="74"/>
        <v>0</v>
      </c>
      <c r="AQ349" s="15">
        <f t="shared" si="75"/>
        <v>35</v>
      </c>
      <c r="AR349" s="7">
        <f t="shared" si="76"/>
        <v>390</v>
      </c>
      <c r="AS349" s="5"/>
      <c r="AU349" s="5"/>
      <c r="AV349" s="17"/>
      <c r="AW349" s="17"/>
      <c r="AX349" s="5"/>
      <c r="AY349" s="5"/>
      <c r="AZ349" s="13"/>
      <c r="BA349" s="12"/>
      <c r="BB349" s="7"/>
      <c r="BC349" s="14"/>
      <c r="BD349" s="14"/>
      <c r="BF349" s="12"/>
      <c r="BG349" s="14"/>
      <c r="BH349" s="19"/>
      <c r="BI349" s="5"/>
      <c r="BM349" s="18"/>
      <c r="BN349" s="18"/>
      <c r="BO349" s="18"/>
      <c r="BP349" s="18"/>
      <c r="BQ349" s="5"/>
      <c r="BR349" s="18"/>
      <c r="BS349" s="18"/>
      <c r="BT349" s="35">
        <f>BH349+AL349*30</f>
        <v>0</v>
      </c>
    </row>
    <row r="350" spans="1:72" ht="58" x14ac:dyDescent="0.35">
      <c r="A350" s="5">
        <v>349</v>
      </c>
      <c r="B350" s="5"/>
      <c r="C350" s="5" t="s">
        <v>78</v>
      </c>
      <c r="D350" s="5">
        <v>15</v>
      </c>
      <c r="E350" s="5">
        <v>13</v>
      </c>
      <c r="F350" s="8" t="s">
        <v>744</v>
      </c>
      <c r="G350" s="8"/>
      <c r="H350" s="5" t="s">
        <v>4</v>
      </c>
      <c r="I350" s="5" t="str" cm="1">
        <f t="array" ref="I350">_xlfn.IFS(
  H350="Mahuva", "Mahuva",
  H350="Jesar", "Mahuva",
  H350="Palitana", "Palitana",
  H350="Gariyadhar", "Palitana",
  H350="Talaja", "Talaja",
  H350="Vallabhipur", "Vallabhipur",
  H350="Umrala", "Vallabhipur",
  H350="Shihor", "Shihor",
  H350="Ghogha", "Bhavnagar",
  H350="Bhavnagar", "Bhavnagar"
)</f>
        <v>Talaja</v>
      </c>
      <c r="J350" s="5" t="s">
        <v>21</v>
      </c>
      <c r="K350" s="5"/>
      <c r="L350" s="5">
        <v>213388</v>
      </c>
      <c r="M350" s="5"/>
      <c r="N350" s="7">
        <v>45875</v>
      </c>
      <c r="O350" s="7">
        <v>45887</v>
      </c>
      <c r="P350" s="7">
        <v>45888</v>
      </c>
      <c r="Q350" s="7">
        <f t="shared" si="66"/>
        <v>46007</v>
      </c>
      <c r="R350" s="9">
        <v>21756202.609999999</v>
      </c>
      <c r="S350" s="33"/>
      <c r="T350" s="9">
        <v>21031721.059999999</v>
      </c>
      <c r="U350" s="10">
        <v>-3.33</v>
      </c>
      <c r="V350" s="10" t="str">
        <f t="shared" si="67"/>
        <v>Below</v>
      </c>
      <c r="W350" s="11" t="str" cm="1">
        <f t="array" ref="W350">NumberToWords(T350)</f>
        <v>Two Crore Ten Lakh Thirty One Thousand Seven Hundred Twenty One Rupees and Six Paise Only</v>
      </c>
      <c r="X350" s="10" t="str">
        <f t="shared" si="68"/>
        <v>Government</v>
      </c>
      <c r="Z350" s="9">
        <f t="shared" si="69"/>
        <v>21031721.059999999</v>
      </c>
      <c r="AA350" s="5" t="s">
        <v>80</v>
      </c>
      <c r="AB350" s="8" t="str">
        <f>_xlfn.XLOOKUP(AA350, 'Agency List'!A$2:A$145, 'Agency List'!B$2:B$145, "Not Found")</f>
        <v>BHADRESHSINH BHAGWATSING GOHIL</v>
      </c>
      <c r="AC350" s="8" t="str">
        <f>_xlfn.XLOOKUP(AA350, 'Agency List'!A$2:A$145, 'Agency List'!C$2:C$145, "Not Found")</f>
        <v>A/8, AKSHARDEEP COMPLEX, OPP. DEEPAK MEMORIAL HALL, SANSKAR MANDAL, BHAVNAGAR-364002</v>
      </c>
      <c r="AD350" s="8">
        <f>_xlfn.XLOOKUP(AA350, 'Agency List'!A$2:A$145, 'Agency List'!D$2:D$145, "Not Found")</f>
        <v>9925209999</v>
      </c>
      <c r="AE350" s="7"/>
      <c r="AF350" s="5" t="s">
        <v>821</v>
      </c>
      <c r="AG350" s="5" t="str">
        <f t="shared" si="70"/>
        <v>NA</v>
      </c>
      <c r="AH350" s="55"/>
      <c r="AI350" s="50" t="s">
        <v>231</v>
      </c>
      <c r="AJ350" s="8" t="s">
        <v>840</v>
      </c>
      <c r="AK350" s="7">
        <v>45910</v>
      </c>
      <c r="AL350" s="16"/>
      <c r="AM350" s="12">
        <f t="shared" si="71"/>
        <v>1052000</v>
      </c>
      <c r="AN350" s="7">
        <f t="shared" si="72"/>
        <v>47193</v>
      </c>
      <c r="AO350" s="12">
        <f t="shared" si="73"/>
        <v>51600</v>
      </c>
      <c r="AP350" s="12">
        <f t="shared" si="74"/>
        <v>0</v>
      </c>
      <c r="AQ350" s="15">
        <f t="shared" si="75"/>
        <v>46058</v>
      </c>
      <c r="AR350" s="7">
        <f t="shared" si="76"/>
        <v>47133</v>
      </c>
      <c r="AS350" s="5">
        <v>1572</v>
      </c>
      <c r="AT350" s="7">
        <v>45981</v>
      </c>
      <c r="AU350" s="5"/>
      <c r="AV350" s="17"/>
      <c r="AW350" s="17"/>
      <c r="AX350" s="5"/>
      <c r="AY350" s="5"/>
      <c r="AZ350" s="13"/>
      <c r="BA350" s="12"/>
      <c r="BB350" s="7"/>
      <c r="BC350" s="14"/>
      <c r="BD350" s="14"/>
      <c r="BF350" s="12"/>
      <c r="BG350" s="14"/>
      <c r="BH350" s="19">
        <v>46023</v>
      </c>
      <c r="BI350" s="5"/>
      <c r="BK350" s="5">
        <v>1774</v>
      </c>
      <c r="BL350" s="7">
        <v>46011</v>
      </c>
      <c r="BM350" s="18"/>
      <c r="BN350" s="18"/>
      <c r="BO350" s="18"/>
      <c r="BP350" s="18"/>
      <c r="BQ350" s="5"/>
      <c r="BR350" s="18"/>
      <c r="BS350" s="18"/>
      <c r="BT350" s="35">
        <f>EDATE(BH350,AL350)-1</f>
        <v>46022</v>
      </c>
    </row>
    <row r="351" spans="1:72" ht="58" x14ac:dyDescent="0.35">
      <c r="A351" s="5">
        <v>350</v>
      </c>
      <c r="B351" s="5"/>
      <c r="C351" s="5" t="s">
        <v>78</v>
      </c>
      <c r="D351" s="5">
        <v>15</v>
      </c>
      <c r="E351" s="5">
        <v>14</v>
      </c>
      <c r="F351" s="8" t="s">
        <v>743</v>
      </c>
      <c r="G351" s="8"/>
      <c r="H351" s="5" t="s">
        <v>4</v>
      </c>
      <c r="I351" s="5" t="str" cm="1">
        <f t="array" ref="I351">_xlfn.IFS(
  H351="Mahuva", "Mahuva",
  H351="Jesar", "Mahuva",
  H351="Palitana", "Palitana",
  H351="Gariyadhar", "Palitana",
  H351="Talaja", "Talaja",
  H351="Vallabhipur", "Vallabhipur",
  H351="Umrala", "Vallabhipur",
  H351="Shihor", "Shihor",
  H351="Ghogha", "Bhavnagar",
  H351="Bhavnagar", "Bhavnagar"
)</f>
        <v>Talaja</v>
      </c>
      <c r="J351" s="5" t="s">
        <v>21</v>
      </c>
      <c r="K351" s="5"/>
      <c r="L351" s="5">
        <v>213397</v>
      </c>
      <c r="M351" s="5"/>
      <c r="N351" s="7">
        <v>45875</v>
      </c>
      <c r="O351" s="7">
        <v>45887</v>
      </c>
      <c r="P351" s="7">
        <v>45888</v>
      </c>
      <c r="Q351" s="7">
        <f t="shared" si="66"/>
        <v>46007</v>
      </c>
      <c r="R351" s="9">
        <v>13636075.76</v>
      </c>
      <c r="S351" s="33"/>
      <c r="T351" s="9">
        <v>13181994.439999999</v>
      </c>
      <c r="U351" s="10">
        <v>-3.33</v>
      </c>
      <c r="V351" s="10" t="str">
        <f t="shared" si="67"/>
        <v>Below</v>
      </c>
      <c r="W351" s="11" t="str" cm="1">
        <f t="array" ref="W351">NumberToWords(T351)</f>
        <v>One Crore Thirty One Lakh Eighty One Thousand Nine Hundred Ninety Four Rupees and Forty Four Paise Only</v>
      </c>
      <c r="X351" s="10" t="str">
        <f t="shared" si="68"/>
        <v>Circle</v>
      </c>
      <c r="Z351" s="9">
        <f t="shared" si="69"/>
        <v>13181994.439999999</v>
      </c>
      <c r="AA351" s="5" t="s">
        <v>80</v>
      </c>
      <c r="AB351" s="8" t="str">
        <f>_xlfn.XLOOKUP(AA351, 'Agency List'!A$2:A$145, 'Agency List'!B$2:B$145, "Not Found")</f>
        <v>BHADRESHSINH BHAGWATSING GOHIL</v>
      </c>
      <c r="AC351" s="8" t="str">
        <f>_xlfn.XLOOKUP(AA351, 'Agency List'!A$2:A$145, 'Agency List'!C$2:C$145, "Not Found")</f>
        <v>A/8, AKSHARDEEP COMPLEX, OPP. DEEPAK MEMORIAL HALL, SANSKAR MANDAL, BHAVNAGAR-364002</v>
      </c>
      <c r="AD351" s="8">
        <f>_xlfn.XLOOKUP(AA351, 'Agency List'!A$2:A$145, 'Agency List'!D$2:D$145, "Not Found")</f>
        <v>9925209999</v>
      </c>
      <c r="AE351" s="7"/>
      <c r="AF351" s="5" t="s">
        <v>821</v>
      </c>
      <c r="AG351" s="5" t="str">
        <f t="shared" si="70"/>
        <v>NA</v>
      </c>
      <c r="AH351" s="55"/>
      <c r="AI351" s="49" t="s">
        <v>69</v>
      </c>
      <c r="AJ351" s="20" t="s">
        <v>787</v>
      </c>
      <c r="AK351" s="7">
        <v>45903</v>
      </c>
      <c r="AL351" s="16">
        <v>6</v>
      </c>
      <c r="AM351" s="12">
        <f t="shared" si="71"/>
        <v>660000</v>
      </c>
      <c r="AN351" s="7">
        <f t="shared" si="72"/>
        <v>47312</v>
      </c>
      <c r="AO351" s="12">
        <f t="shared" si="73"/>
        <v>32400</v>
      </c>
      <c r="AP351" s="12">
        <f t="shared" si="74"/>
        <v>0</v>
      </c>
      <c r="AQ351" s="15">
        <f t="shared" si="75"/>
        <v>46177</v>
      </c>
      <c r="AR351" s="7">
        <f t="shared" si="76"/>
        <v>47252</v>
      </c>
      <c r="AS351" s="5">
        <v>1418</v>
      </c>
      <c r="AT351" s="7">
        <v>45933</v>
      </c>
      <c r="AU351" s="5"/>
      <c r="AV351" s="17"/>
      <c r="AW351" s="17"/>
      <c r="AX351" s="5"/>
      <c r="AY351" s="5"/>
      <c r="AZ351" s="13"/>
      <c r="BA351" s="12"/>
      <c r="BB351" s="7"/>
      <c r="BC351" s="14"/>
      <c r="BD351" s="14"/>
      <c r="BF351" s="12"/>
      <c r="BG351" s="14"/>
      <c r="BH351" s="19">
        <v>45962</v>
      </c>
      <c r="BI351" s="5"/>
      <c r="BK351" s="5">
        <v>1767</v>
      </c>
      <c r="BL351" s="7">
        <v>46011</v>
      </c>
      <c r="BM351" s="18"/>
      <c r="BN351" s="18"/>
      <c r="BO351" s="18"/>
      <c r="BP351" s="18"/>
      <c r="BQ351" s="5"/>
      <c r="BR351" s="18"/>
      <c r="BS351" s="18"/>
      <c r="BT351" s="35">
        <f>EDATE(BH351,AL351)-1</f>
        <v>46142</v>
      </c>
    </row>
    <row r="352" spans="1:72" ht="72.5" x14ac:dyDescent="0.35">
      <c r="A352" s="5">
        <v>351</v>
      </c>
      <c r="B352" s="5"/>
      <c r="C352" s="5" t="s">
        <v>78</v>
      </c>
      <c r="D352" s="5">
        <v>16</v>
      </c>
      <c r="E352" s="5">
        <v>1</v>
      </c>
      <c r="F352" s="8" t="s">
        <v>748</v>
      </c>
      <c r="G352" s="8"/>
      <c r="H352" s="5" t="s">
        <v>1</v>
      </c>
      <c r="I352" s="5" t="str" cm="1">
        <f t="array" ref="I352">_xlfn.IFS(
  H352="Mahuva", "Mahuva",
  H352="Jesar", "Mahuva",
  H352="Palitana", "Palitana",
  H352="Gariyadhar", "Palitana",
  H352="Talaja", "Talaja",
  H352="Vallabhipur", "Vallabhipur",
  H352="Umrala", "Vallabhipur",
  H352="Shihor", "Shihor",
  H352="Ghogha", "Bhavnagar",
  H352="Bhavnagar", "Bhavnagar"
)</f>
        <v>Bhavnagar</v>
      </c>
      <c r="J352" s="5" t="s">
        <v>631</v>
      </c>
      <c r="K352" s="5"/>
      <c r="M352" s="5"/>
      <c r="Q352" s="7">
        <f t="shared" si="66"/>
        <v>120</v>
      </c>
      <c r="S352" s="33"/>
      <c r="U352" s="10"/>
      <c r="V352" s="10" t="str">
        <f t="shared" si="67"/>
        <v>Equals</v>
      </c>
      <c r="W352" s="11" t="str" cm="1">
        <f t="array" ref="W352">NumberToWords(T352)</f>
        <v>Zero Rupees Only</v>
      </c>
      <c r="X352" s="10" t="str">
        <f t="shared" si="68"/>
        <v>Division</v>
      </c>
      <c r="Z352" s="9">
        <f t="shared" si="69"/>
        <v>0</v>
      </c>
      <c r="AB352" s="8">
        <f>_xlfn.XLOOKUP(AA352, 'Agency List'!A$2:A$145, 'Agency List'!B$2:B$145, "Not Found")</f>
        <v>0</v>
      </c>
      <c r="AC352" s="8">
        <f>_xlfn.XLOOKUP(AA352, 'Agency List'!A$2:A$145, 'Agency List'!C$2:C$145, "Not Found")</f>
        <v>0</v>
      </c>
      <c r="AD352" s="8">
        <f>_xlfn.XLOOKUP(AA352, 'Agency List'!A$2:A$145, 'Agency List'!D$2:D$145, "Not Found")</f>
        <v>0</v>
      </c>
      <c r="AE352" s="7"/>
      <c r="AF352" s="5"/>
      <c r="AG352" s="5" t="str">
        <f t="shared" si="70"/>
        <v>Bandhkam</v>
      </c>
      <c r="AH352" s="5"/>
      <c r="AI352" s="8"/>
      <c r="AJ352" s="8"/>
      <c r="AL352" s="16"/>
      <c r="AM352" s="12">
        <f t="shared" si="71"/>
        <v>0</v>
      </c>
      <c r="AN352" s="7">
        <f t="shared" si="72"/>
        <v>450</v>
      </c>
      <c r="AO352" s="12">
        <f t="shared" si="73"/>
        <v>0</v>
      </c>
      <c r="AP352" s="12">
        <f t="shared" si="74"/>
        <v>0</v>
      </c>
      <c r="AQ352" s="15">
        <f t="shared" si="75"/>
        <v>35</v>
      </c>
      <c r="AR352" s="7">
        <f t="shared" si="76"/>
        <v>390</v>
      </c>
      <c r="AS352" s="5"/>
      <c r="AU352" s="5"/>
      <c r="AV352" s="17"/>
      <c r="AW352" s="17"/>
      <c r="AX352" s="5"/>
      <c r="AY352" s="5"/>
      <c r="AZ352" s="13"/>
      <c r="BA352" s="12"/>
      <c r="BB352" s="7"/>
      <c r="BC352" s="14"/>
      <c r="BD352" s="14"/>
      <c r="BF352" s="12"/>
      <c r="BG352" s="14"/>
      <c r="BH352" s="19"/>
      <c r="BI352" s="5"/>
      <c r="BM352" s="18"/>
      <c r="BN352" s="18"/>
      <c r="BO352" s="18"/>
      <c r="BP352" s="18"/>
      <c r="BQ352" s="5"/>
      <c r="BR352" s="18"/>
      <c r="BS352" s="18"/>
      <c r="BT352" s="35">
        <f>BH352+AL352*30</f>
        <v>0</v>
      </c>
    </row>
    <row r="353" spans="1:72" ht="72.5" x14ac:dyDescent="0.35">
      <c r="A353" s="5">
        <v>352</v>
      </c>
      <c r="B353" s="5"/>
      <c r="C353" s="5" t="s">
        <v>78</v>
      </c>
      <c r="D353" s="5">
        <v>17</v>
      </c>
      <c r="E353" s="5">
        <v>1</v>
      </c>
      <c r="F353" s="8" t="s">
        <v>772</v>
      </c>
      <c r="G353" s="8"/>
      <c r="H353" s="5" t="s">
        <v>12</v>
      </c>
      <c r="I353" s="5" t="str" cm="1">
        <f t="array" ref="I353">_xlfn.IFS(
  H353="Mahuva", "Mahuva",
  H353="Jesar", "Mahuva",
  H353="Palitana", "Palitana",
  H353="Gariyadhar", "Palitana",
  H353="Talaja", "Talaja",
  H353="Vallabhipur", "Vallabhipur",
  H353="Umrala", "Vallabhipur",
  H353="Shihor", "Shihor",
  H353="Ghogha", "Bhavnagar",
  H353="Bhavnagar", "Bhavnagar"
)</f>
        <v>Mahuva</v>
      </c>
      <c r="J353" s="5" t="s">
        <v>256</v>
      </c>
      <c r="K353" s="5" t="s">
        <v>708</v>
      </c>
      <c r="L353" s="5">
        <v>221189</v>
      </c>
      <c r="M353" s="5">
        <v>2</v>
      </c>
      <c r="N353" s="7">
        <v>45903</v>
      </c>
      <c r="O353" s="7">
        <v>45915</v>
      </c>
      <c r="P353" s="7">
        <v>45916</v>
      </c>
      <c r="Q353" s="7">
        <f t="shared" si="66"/>
        <v>46035</v>
      </c>
      <c r="R353" s="9">
        <v>32612005.170000002</v>
      </c>
      <c r="S353" s="33"/>
      <c r="T353" s="9">
        <v>26901643.059999999</v>
      </c>
      <c r="U353" s="10">
        <v>-17.510000000000002</v>
      </c>
      <c r="V353" s="10" t="str">
        <f t="shared" si="67"/>
        <v>Below</v>
      </c>
      <c r="W353" s="11" t="str" cm="1">
        <f t="array" ref="W353">NumberToWords(T353)</f>
        <v>Two Crore Sixty Nine Lakh One Thousand Six Hundred Forty Three Rupees and Six Paise Only</v>
      </c>
      <c r="X353" s="10" t="str">
        <f t="shared" si="68"/>
        <v>Government</v>
      </c>
      <c r="Z353" s="9">
        <f t="shared" si="69"/>
        <v>26901643.059999999</v>
      </c>
      <c r="AA353" s="5" t="s">
        <v>749</v>
      </c>
      <c r="AB353" s="8">
        <f>_xlfn.XLOOKUP(AA353, 'Agency List'!A$2:A$145, 'Agency List'!B$2:B$145, "Not Found")</f>
        <v>0</v>
      </c>
      <c r="AC353" s="8" t="str">
        <f>_xlfn.XLOOKUP(AA353, 'Agency List'!A$2:A$145, 'Agency List'!C$2:C$145, "Not Found")</f>
        <v>309, 3rd Floor, Asopalav Triangle, 40-50 Feet Road Corner, (Punitnagar) Near Khodal Chok, Opp. Satyam Hills, Mavdi- Rajkot - 364004</v>
      </c>
      <c r="AD353" s="8">
        <f>_xlfn.XLOOKUP(AA353, 'Agency List'!A$2:A$145, 'Agency List'!D$2:D$145, "Not Found")</f>
        <v>9824351508</v>
      </c>
      <c r="AE353" s="7"/>
      <c r="AF353" s="5" t="s">
        <v>825</v>
      </c>
      <c r="AG353" s="5" t="str">
        <f t="shared" si="70"/>
        <v>Karobari</v>
      </c>
      <c r="AH353" s="55"/>
      <c r="AI353" s="50" t="s">
        <v>231</v>
      </c>
      <c r="AJ353" s="8" t="s">
        <v>826</v>
      </c>
      <c r="AK353" s="7">
        <v>45938</v>
      </c>
      <c r="AL353" s="16">
        <v>11</v>
      </c>
      <c r="AM353" s="12">
        <f t="shared" si="71"/>
        <v>1346000</v>
      </c>
      <c r="AN353" s="7">
        <f t="shared" si="72"/>
        <v>47500</v>
      </c>
      <c r="AO353" s="12">
        <f t="shared" si="73"/>
        <v>90000</v>
      </c>
      <c r="AP353" s="12">
        <f t="shared" si="74"/>
        <v>490000</v>
      </c>
      <c r="AQ353" s="15">
        <f t="shared" si="75"/>
        <v>46365</v>
      </c>
      <c r="AR353" s="7">
        <f t="shared" si="76"/>
        <v>47440</v>
      </c>
      <c r="AS353" s="5">
        <v>1513</v>
      </c>
      <c r="AT353" s="7">
        <v>45972</v>
      </c>
      <c r="AU353" s="5" t="s">
        <v>78</v>
      </c>
      <c r="AV353" s="17">
        <v>222</v>
      </c>
      <c r="AW353" s="37">
        <v>46000</v>
      </c>
      <c r="AX353" s="5" t="s">
        <v>355</v>
      </c>
      <c r="AY353" s="5" t="s">
        <v>723</v>
      </c>
      <c r="AZ353" s="45" t="s">
        <v>905</v>
      </c>
      <c r="BA353" s="12">
        <v>1346000</v>
      </c>
      <c r="BB353" s="7">
        <v>45985</v>
      </c>
      <c r="BC353" s="5" t="s">
        <v>355</v>
      </c>
      <c r="BD353" s="5" t="s">
        <v>723</v>
      </c>
      <c r="BE353" s="45" t="s">
        <v>906</v>
      </c>
      <c r="BF353" s="12">
        <v>490000</v>
      </c>
      <c r="BG353" s="7">
        <v>45985</v>
      </c>
      <c r="BH353" s="19">
        <v>46000</v>
      </c>
      <c r="BI353" s="5">
        <v>1600</v>
      </c>
      <c r="BJ353" s="19">
        <v>46000</v>
      </c>
      <c r="BM353" s="18"/>
      <c r="BN353" s="18"/>
      <c r="BO353" s="18"/>
      <c r="BP353" s="18"/>
      <c r="BQ353" s="5"/>
      <c r="BR353" s="18"/>
      <c r="BS353" s="18"/>
      <c r="BT353" s="35">
        <f>BH353+AL353*30</f>
        <v>46330</v>
      </c>
    </row>
    <row r="354" spans="1:72" ht="58" x14ac:dyDescent="0.35">
      <c r="A354" s="5">
        <v>353</v>
      </c>
      <c r="B354" s="5"/>
      <c r="C354" s="5" t="s">
        <v>78</v>
      </c>
      <c r="D354" s="5">
        <v>17</v>
      </c>
      <c r="E354" s="5">
        <v>2</v>
      </c>
      <c r="F354" s="8" t="s">
        <v>1062</v>
      </c>
      <c r="G354" s="8"/>
      <c r="H354" s="5" t="s">
        <v>12</v>
      </c>
      <c r="I354" s="5" t="str" cm="1">
        <f t="array" ref="I354">_xlfn.IFS(
  H354="Mahuva", "Mahuva",
  H354="Jesar", "Mahuva",
  H354="Palitana", "Palitana",
  H354="Gariyadhar", "Palitana",
  H354="Talaja", "Talaja",
  H354="Vallabhipur", "Vallabhipur",
  H354="Umrala", "Vallabhipur",
  H354="Shihor", "Shihor",
  H354="Ghogha", "Bhavnagar",
  H354="Bhavnagar", "Bhavnagar"
)</f>
        <v>Mahuva</v>
      </c>
      <c r="J354" s="5" t="s">
        <v>21</v>
      </c>
      <c r="K354" s="5"/>
      <c r="L354" s="5">
        <v>221190</v>
      </c>
      <c r="M354" s="5">
        <v>2</v>
      </c>
      <c r="N354" s="7">
        <v>45903</v>
      </c>
      <c r="O354" s="7">
        <v>45915</v>
      </c>
      <c r="P354" s="7">
        <v>45916</v>
      </c>
      <c r="Q354" s="7">
        <f t="shared" si="66"/>
        <v>46035</v>
      </c>
      <c r="R354" s="9">
        <v>227072204.88999999</v>
      </c>
      <c r="S354" s="33"/>
      <c r="T354" s="9">
        <v>237313161.33000001</v>
      </c>
      <c r="U354" s="10">
        <v>4.51</v>
      </c>
      <c r="V354" s="10" t="str">
        <f t="shared" si="67"/>
        <v>Above</v>
      </c>
      <c r="W354" s="11" t="str" cm="1">
        <f t="array" ref="W354">NumberToWords(T354)</f>
        <v>Twenty Three Crore Seventy Three Lakh Thirteen Thousand One Hundred Sixty One Rupees and Thirty Three Paise Only</v>
      </c>
      <c r="X354" s="10" t="str">
        <f t="shared" si="68"/>
        <v>Government</v>
      </c>
      <c r="Z354" s="9">
        <f t="shared" si="69"/>
        <v>237313161.33000001</v>
      </c>
      <c r="AA354" s="5" t="s">
        <v>1058</v>
      </c>
      <c r="AB354" s="8">
        <f>_xlfn.XLOOKUP(AA354, 'Agency List'!A$2:A$145, 'Agency List'!B$2:B$145, "Not Found")</f>
        <v>0</v>
      </c>
      <c r="AC354" s="8" t="str">
        <f>_xlfn.XLOOKUP(AA354, 'Agency List'!A$2:A$145, 'Agency List'!C$2:C$145, "Not Found")</f>
        <v xml:space="preserve">F-22, Neptune Tower, Opp.                                                        Jalaram Petrol Pump, Kalawad                                  Road, Rajkot - 360005
</v>
      </c>
      <c r="AD354" s="8">
        <f>_xlfn.XLOOKUP(AA354, 'Agency List'!A$2:A$145, 'Agency List'!D$2:D$145, "Not Found")</f>
        <v>9825133885</v>
      </c>
      <c r="AE354" s="7"/>
      <c r="AF354" s="5" t="s">
        <v>821</v>
      </c>
      <c r="AG354" s="5" t="str">
        <f t="shared" si="70"/>
        <v>NA</v>
      </c>
      <c r="AH354" s="5"/>
      <c r="AI354" s="50" t="s">
        <v>231</v>
      </c>
      <c r="AJ354" s="8" t="s">
        <v>1060</v>
      </c>
      <c r="AK354" s="7" t="s">
        <v>1061</v>
      </c>
      <c r="AL354" s="16">
        <v>11</v>
      </c>
      <c r="AM354" s="12">
        <f t="shared" si="71"/>
        <v>11866000</v>
      </c>
      <c r="AN354" s="7">
        <f t="shared" si="72"/>
        <v>47524</v>
      </c>
      <c r="AO354" s="12">
        <f t="shared" si="73"/>
        <v>581500</v>
      </c>
      <c r="AP354" s="12">
        <f t="shared" si="74"/>
        <v>0</v>
      </c>
      <c r="AQ354" s="15">
        <f t="shared" si="75"/>
        <v>46389</v>
      </c>
      <c r="AR354" s="7">
        <f t="shared" si="76"/>
        <v>47464</v>
      </c>
      <c r="AS354" s="5">
        <v>44</v>
      </c>
      <c r="AT354" s="7">
        <v>46035</v>
      </c>
      <c r="AU354" s="5"/>
      <c r="AV354" s="17"/>
      <c r="AW354" s="17"/>
      <c r="AX354" s="5"/>
      <c r="AY354" s="5"/>
      <c r="AZ354" s="13"/>
      <c r="BA354" s="12"/>
      <c r="BB354" s="7"/>
      <c r="BC354" s="14"/>
      <c r="BD354" s="14"/>
      <c r="BF354" s="12"/>
      <c r="BG354" s="14"/>
      <c r="BH354" s="19">
        <v>46024</v>
      </c>
      <c r="BI354" s="5"/>
      <c r="BM354" s="18"/>
      <c r="BN354" s="18"/>
      <c r="BO354" s="18"/>
      <c r="BP354" s="18"/>
      <c r="BQ354" s="5"/>
      <c r="BR354" s="18"/>
      <c r="BS354" s="18"/>
      <c r="BT354" s="35">
        <f t="shared" ref="BT354:BT364" si="78">EDATE(BH354,AL354)-1</f>
        <v>46357</v>
      </c>
    </row>
    <row r="355" spans="1:72" ht="58" x14ac:dyDescent="0.35">
      <c r="A355" s="5">
        <v>354</v>
      </c>
      <c r="B355" s="5"/>
      <c r="C355" s="5" t="s">
        <v>78</v>
      </c>
      <c r="D355" s="5">
        <v>17</v>
      </c>
      <c r="E355" s="5">
        <v>3</v>
      </c>
      <c r="F355" s="8" t="s">
        <v>773</v>
      </c>
      <c r="G355" s="8"/>
      <c r="H355" s="5" t="s">
        <v>12</v>
      </c>
      <c r="I355" s="5" t="str" cm="1">
        <f t="array" ref="I355">_xlfn.IFS(
  H355="Mahuva", "Mahuva",
  H355="Jesar", "Mahuva",
  H355="Palitana", "Palitana",
  H355="Gariyadhar", "Palitana",
  H355="Talaja", "Talaja",
  H355="Vallabhipur", "Vallabhipur",
  H355="Umrala", "Vallabhipur",
  H355="Shihor", "Shihor",
  H355="Ghogha", "Bhavnagar",
  H355="Bhavnagar", "Bhavnagar"
)</f>
        <v>Mahuva</v>
      </c>
      <c r="J355" s="5" t="s">
        <v>21</v>
      </c>
      <c r="K355" s="5" t="s">
        <v>928</v>
      </c>
      <c r="L355" s="5">
        <v>221192</v>
      </c>
      <c r="M355" s="5">
        <v>1</v>
      </c>
      <c r="N355" s="7">
        <v>45903</v>
      </c>
      <c r="O355" s="7">
        <v>45915</v>
      </c>
      <c r="P355" s="7">
        <v>45916</v>
      </c>
      <c r="Q355" s="7">
        <f t="shared" si="66"/>
        <v>46035</v>
      </c>
      <c r="R355" s="9">
        <v>11756762.73</v>
      </c>
      <c r="S355" s="33"/>
      <c r="T355" s="9">
        <v>9142058.6999999993</v>
      </c>
      <c r="U355" s="10">
        <v>-22.24</v>
      </c>
      <c r="V355" s="10" t="str">
        <f t="shared" si="67"/>
        <v>Below</v>
      </c>
      <c r="W355" s="11" t="str" cm="1">
        <f t="array" ref="W355">NumberToWords(T355)</f>
        <v>Ninety One Lakh Forty Two Thousand Fifty Eight Rupees and Seven Paise Only</v>
      </c>
      <c r="X355" s="10" t="str">
        <f t="shared" si="68"/>
        <v>Circle</v>
      </c>
      <c r="Z355" s="9">
        <f t="shared" si="69"/>
        <v>9142058.6999999993</v>
      </c>
      <c r="AA355" s="5" t="s">
        <v>750</v>
      </c>
      <c r="AB355" s="8">
        <f>_xlfn.XLOOKUP(AA355, 'Agency List'!A$2:A$145, 'Agency List'!B$2:B$145, "Not Found")</f>
        <v>0</v>
      </c>
      <c r="AC355" s="8" t="str">
        <f>_xlfn.XLOOKUP(AA355, 'Agency List'!A$2:A$145, 'Agency List'!C$2:C$145, "Not Found")</f>
        <v>C-165, Pramukh Chhaya Raw House Society, Puma Simada Road, Puna Gam, Surat</v>
      </c>
      <c r="AD355" s="8">
        <f>_xlfn.XLOOKUP(AA355, 'Agency List'!A$2:A$145, 'Agency List'!D$2:D$145, "Not Found")</f>
        <v>9924545558</v>
      </c>
      <c r="AE355" s="7">
        <v>45924</v>
      </c>
      <c r="AF355" s="5" t="s">
        <v>821</v>
      </c>
      <c r="AG355" s="5" t="str">
        <f t="shared" si="70"/>
        <v>NA</v>
      </c>
      <c r="AH355" s="55"/>
      <c r="AI355" s="49" t="s">
        <v>69</v>
      </c>
      <c r="AJ355" s="20" t="s">
        <v>827</v>
      </c>
      <c r="AK355" s="7">
        <v>45933</v>
      </c>
      <c r="AL355" s="16">
        <v>6</v>
      </c>
      <c r="AM355" s="12">
        <f t="shared" si="71"/>
        <v>458000</v>
      </c>
      <c r="AN355" s="7">
        <f t="shared" si="72"/>
        <v>47402</v>
      </c>
      <c r="AO355" s="12">
        <f t="shared" si="73"/>
        <v>43700</v>
      </c>
      <c r="AP355" s="12">
        <f t="shared" si="74"/>
        <v>432000</v>
      </c>
      <c r="AQ355" s="15">
        <f t="shared" si="75"/>
        <v>46267</v>
      </c>
      <c r="AR355" s="7">
        <f t="shared" si="76"/>
        <v>47342</v>
      </c>
      <c r="AS355" s="5">
        <v>1515</v>
      </c>
      <c r="AT355" s="7">
        <v>45972</v>
      </c>
      <c r="AU355" s="5"/>
      <c r="AV355" s="17"/>
      <c r="AW355" s="17"/>
      <c r="AX355" s="5"/>
      <c r="AY355" s="5"/>
      <c r="AZ355" s="13"/>
      <c r="BA355" s="12"/>
      <c r="BB355" s="7"/>
      <c r="BC355" s="14"/>
      <c r="BD355" s="14"/>
      <c r="BF355" s="12"/>
      <c r="BG355" s="14"/>
      <c r="BH355" s="19">
        <v>46052</v>
      </c>
      <c r="BI355" s="5"/>
      <c r="BK355" s="5">
        <v>1783</v>
      </c>
      <c r="BL355" s="7">
        <v>46011</v>
      </c>
      <c r="BM355" s="18"/>
      <c r="BN355" s="18"/>
      <c r="BO355" s="18"/>
      <c r="BP355" s="18"/>
      <c r="BQ355" s="5"/>
      <c r="BR355" s="18"/>
      <c r="BS355" s="18"/>
      <c r="BT355" s="35">
        <f t="shared" si="78"/>
        <v>46232</v>
      </c>
    </row>
    <row r="356" spans="1:72" ht="43.5" x14ac:dyDescent="0.35">
      <c r="A356" s="5">
        <v>355</v>
      </c>
      <c r="B356" s="5"/>
      <c r="C356" s="5" t="s">
        <v>78</v>
      </c>
      <c r="D356" s="5">
        <v>17</v>
      </c>
      <c r="E356" s="5">
        <v>4</v>
      </c>
      <c r="F356" s="8" t="s">
        <v>774</v>
      </c>
      <c r="G356" s="8"/>
      <c r="H356" s="5" t="s">
        <v>332</v>
      </c>
      <c r="I356" s="5" t="str" cm="1">
        <f t="array" ref="I356">_xlfn.IFS(
  H356="Mahuva", "Mahuva",
  H356="Jesar", "Mahuva",
  H356="Palitana", "Palitana",
  H356="Gariyadhar", "Palitana",
  H356="Talaja", "Talaja",
  H356="Vallabhipur", "Vallabhipur",
  H356="Umrala", "Vallabhipur",
  H356="Shihor", "Shihor",
  H356="Ghogha", "Bhavnagar",
  H356="Bhavnagar", "Bhavnagar"
)</f>
        <v>Bhavnagar</v>
      </c>
      <c r="J356" s="5" t="s">
        <v>21</v>
      </c>
      <c r="K356" s="5"/>
      <c r="L356" s="5">
        <v>221193</v>
      </c>
      <c r="M356" s="5">
        <v>1</v>
      </c>
      <c r="N356" s="7">
        <v>45903</v>
      </c>
      <c r="O356" s="7">
        <v>45915</v>
      </c>
      <c r="P356" s="7">
        <v>45916</v>
      </c>
      <c r="Q356" s="7">
        <f t="shared" si="66"/>
        <v>46035</v>
      </c>
      <c r="R356" s="9">
        <v>35814664.399999999</v>
      </c>
      <c r="S356" s="33"/>
      <c r="T356" s="9">
        <v>30023433.170000002</v>
      </c>
      <c r="U356" s="10">
        <v>-16.170000000000002</v>
      </c>
      <c r="V356" s="10" t="str">
        <f t="shared" si="67"/>
        <v>Below</v>
      </c>
      <c r="W356" s="11" t="str" cm="1">
        <f t="array" ref="W356">NumberToWords(T356)</f>
        <v>Three Crore Twenty Three Thousand Four Hundred Thirty Three Rupees and Seventeen Paise Only</v>
      </c>
      <c r="X356" s="10" t="str">
        <f t="shared" si="68"/>
        <v>Government</v>
      </c>
      <c r="Z356" s="9">
        <f t="shared" si="69"/>
        <v>30023433.170000002</v>
      </c>
      <c r="AA356" s="5" t="s">
        <v>219</v>
      </c>
      <c r="AB356" s="8" t="str">
        <f>_xlfn.XLOOKUP(AA356, 'Agency List'!A$2:A$145, 'Agency List'!B$2:B$145, "Not Found")</f>
        <v>RANJITBHAI BAHADURBHAI VALA</v>
      </c>
      <c r="AC356" s="8" t="str">
        <f>_xlfn.XLOOKUP(AA356, 'Agency List'!A$2:A$145, 'Agency List'!C$2:C$145, "Not Found")</f>
        <v>101, SHREEEJI ANAND CORNER, NEAR HDFC BANK, TOWER ROAD, PARA, Dist. BOTAD -364710</v>
      </c>
      <c r="AD356" s="8">
        <f>_xlfn.XLOOKUP(AA356, 'Agency List'!A$2:A$145, 'Agency List'!D$2:D$145, "Not Found")</f>
        <v>9925448406</v>
      </c>
      <c r="AE356" s="7">
        <v>45924</v>
      </c>
      <c r="AF356" s="5" t="s">
        <v>821</v>
      </c>
      <c r="AG356" s="5" t="str">
        <f t="shared" si="70"/>
        <v>NA</v>
      </c>
      <c r="AH356" s="55"/>
      <c r="AI356" s="50" t="s">
        <v>231</v>
      </c>
      <c r="AJ356" s="8" t="s">
        <v>832</v>
      </c>
      <c r="AK356" s="7">
        <v>45938</v>
      </c>
      <c r="AL356" s="16">
        <v>10</v>
      </c>
      <c r="AM356" s="12">
        <f t="shared" si="71"/>
        <v>1502000</v>
      </c>
      <c r="AN356" s="7">
        <f t="shared" si="72"/>
        <v>47522</v>
      </c>
      <c r="AO356" s="12">
        <f t="shared" si="73"/>
        <v>95300</v>
      </c>
      <c r="AP356" s="12">
        <f t="shared" si="74"/>
        <v>442000</v>
      </c>
      <c r="AQ356" s="15">
        <f t="shared" si="75"/>
        <v>46387</v>
      </c>
      <c r="AR356" s="7">
        <f t="shared" si="76"/>
        <v>47462</v>
      </c>
      <c r="AS356" s="5">
        <v>1519</v>
      </c>
      <c r="AT356" s="7">
        <v>45972</v>
      </c>
      <c r="AU356" s="5" t="s">
        <v>78</v>
      </c>
      <c r="AV356" s="17">
        <v>295</v>
      </c>
      <c r="AW356" s="37">
        <v>46052</v>
      </c>
      <c r="AX356" s="5" t="s">
        <v>355</v>
      </c>
      <c r="AY356" s="5" t="s">
        <v>369</v>
      </c>
      <c r="AZ356" s="13">
        <v>44863489489</v>
      </c>
      <c r="BA356" s="12">
        <v>1502000</v>
      </c>
      <c r="BB356" s="7">
        <v>46050</v>
      </c>
      <c r="BC356" s="5" t="s">
        <v>355</v>
      </c>
      <c r="BD356" s="5" t="s">
        <v>369</v>
      </c>
      <c r="BE356" s="13">
        <v>44869443108</v>
      </c>
      <c r="BF356" s="12">
        <v>442000</v>
      </c>
      <c r="BG356" s="7">
        <v>46052</v>
      </c>
      <c r="BH356" s="19">
        <v>46052</v>
      </c>
      <c r="BI356" s="5">
        <v>113</v>
      </c>
      <c r="BJ356" s="19">
        <v>46052</v>
      </c>
      <c r="BK356" s="5">
        <v>1777</v>
      </c>
      <c r="BL356" s="7">
        <v>46011</v>
      </c>
      <c r="BM356" s="18"/>
      <c r="BN356" s="18"/>
      <c r="BO356" s="18"/>
      <c r="BP356" s="18"/>
      <c r="BQ356" s="5"/>
      <c r="BR356" s="18"/>
      <c r="BS356" s="18"/>
      <c r="BT356" s="35">
        <f t="shared" si="78"/>
        <v>46355</v>
      </c>
    </row>
    <row r="357" spans="1:72" ht="43.5" x14ac:dyDescent="0.35">
      <c r="A357" s="5">
        <v>356</v>
      </c>
      <c r="B357" s="5"/>
      <c r="C357" s="5" t="s">
        <v>78</v>
      </c>
      <c r="D357" s="5">
        <v>17</v>
      </c>
      <c r="E357" s="5">
        <v>5</v>
      </c>
      <c r="F357" s="8" t="s">
        <v>775</v>
      </c>
      <c r="G357" s="8"/>
      <c r="H357" s="5" t="s">
        <v>332</v>
      </c>
      <c r="I357" s="5" t="str" cm="1">
        <f t="array" ref="I357">_xlfn.IFS(
  H357="Mahuva", "Mahuva",
  H357="Jesar", "Mahuva",
  H357="Palitana", "Palitana",
  H357="Gariyadhar", "Palitana",
  H357="Talaja", "Talaja",
  H357="Vallabhipur", "Vallabhipur",
  H357="Umrala", "Vallabhipur",
  H357="Shihor", "Shihor",
  H357="Ghogha", "Bhavnagar",
  H357="Bhavnagar", "Bhavnagar"
)</f>
        <v>Bhavnagar</v>
      </c>
      <c r="J357" s="5" t="s">
        <v>21</v>
      </c>
      <c r="K357" s="5"/>
      <c r="L357" s="5">
        <v>221194</v>
      </c>
      <c r="M357" s="5">
        <v>1</v>
      </c>
      <c r="N357" s="7">
        <v>45903</v>
      </c>
      <c r="O357" s="7">
        <v>45915</v>
      </c>
      <c r="P357" s="7">
        <v>45916</v>
      </c>
      <c r="Q357" s="7">
        <f t="shared" si="66"/>
        <v>46035</v>
      </c>
      <c r="R357" s="9">
        <v>11516943.289999999</v>
      </c>
      <c r="S357" s="33"/>
      <c r="T357" s="9">
        <v>8274923.75</v>
      </c>
      <c r="U357" s="10">
        <v>-28.15</v>
      </c>
      <c r="V357" s="10" t="str">
        <f t="shared" si="67"/>
        <v>Below</v>
      </c>
      <c r="W357" s="11" t="str" cm="1">
        <f t="array" ref="W357">NumberToWords(T357)</f>
        <v>Eighty Two Lakh Seventy Four Thousand Nine Hundred Twenty Three Rupees and Seventy Five Paise Only</v>
      </c>
      <c r="X357" s="10" t="str">
        <f t="shared" si="68"/>
        <v>Circle</v>
      </c>
      <c r="Z357" s="9">
        <f t="shared" si="69"/>
        <v>8274923.75</v>
      </c>
      <c r="AA357" s="5" t="s">
        <v>227</v>
      </c>
      <c r="AB357" s="8">
        <f>_xlfn.XLOOKUP(AA357, 'Agency List'!A$2:A$145, 'Agency List'!B$2:B$145, "Not Found")</f>
        <v>0</v>
      </c>
      <c r="AC357" s="8" t="str">
        <f>_xlfn.XLOOKUP(AA357, 'Agency List'!A$2:A$145, 'Agency List'!C$2:C$145, "Not Found")</f>
        <v xml:space="preserve">Plot No. 13/C, Sheri No. 9, Gurunagar, Behind Chitra Petrol, Bhavnagar 364003 </v>
      </c>
      <c r="AD357" s="8">
        <f>_xlfn.XLOOKUP(AA357, 'Agency List'!A$2:A$145, 'Agency List'!D$2:D$145, "Not Found")</f>
        <v>8980580857</v>
      </c>
      <c r="AE357" s="7">
        <v>45924</v>
      </c>
      <c r="AF357" s="5" t="s">
        <v>821</v>
      </c>
      <c r="AG357" s="5" t="str">
        <f t="shared" si="70"/>
        <v>NA</v>
      </c>
      <c r="AH357" s="55"/>
      <c r="AI357" s="49" t="s">
        <v>69</v>
      </c>
      <c r="AJ357" s="20" t="s">
        <v>835</v>
      </c>
      <c r="AK357" s="7">
        <v>45933</v>
      </c>
      <c r="AL357" s="16">
        <v>6</v>
      </c>
      <c r="AM357" s="12">
        <f t="shared" si="71"/>
        <v>414000</v>
      </c>
      <c r="AN357" s="7">
        <f t="shared" si="72"/>
        <v>47342</v>
      </c>
      <c r="AO357" s="12">
        <f t="shared" si="73"/>
        <v>51100</v>
      </c>
      <c r="AP357" s="12">
        <f t="shared" si="74"/>
        <v>628000</v>
      </c>
      <c r="AQ357" s="15">
        <f t="shared" si="75"/>
        <v>46207</v>
      </c>
      <c r="AR357" s="7">
        <f t="shared" si="76"/>
        <v>47282</v>
      </c>
      <c r="AS357" s="5">
        <v>1521</v>
      </c>
      <c r="AT357" s="7">
        <v>45972</v>
      </c>
      <c r="AU357" s="5"/>
      <c r="AV357" s="17"/>
      <c r="AW357" s="17"/>
      <c r="AX357" s="5"/>
      <c r="AY357" s="5"/>
      <c r="AZ357" s="13"/>
      <c r="BA357" s="12"/>
      <c r="BB357" s="7"/>
      <c r="BC357" s="14"/>
      <c r="BD357" s="14"/>
      <c r="BF357" s="12"/>
      <c r="BG357" s="14"/>
      <c r="BH357" s="19">
        <v>45992</v>
      </c>
      <c r="BI357" s="5"/>
      <c r="BK357" s="5">
        <v>1776</v>
      </c>
      <c r="BL357" s="7">
        <v>46011</v>
      </c>
      <c r="BM357" s="18"/>
      <c r="BN357" s="18"/>
      <c r="BO357" s="18"/>
      <c r="BP357" s="18"/>
      <c r="BQ357" s="5"/>
      <c r="BR357" s="18"/>
      <c r="BS357" s="18"/>
      <c r="BT357" s="35">
        <f t="shared" si="78"/>
        <v>46173</v>
      </c>
    </row>
    <row r="358" spans="1:72" x14ac:dyDescent="0.35">
      <c r="A358" s="5">
        <v>357</v>
      </c>
      <c r="B358" s="5"/>
      <c r="C358" s="5" t="s">
        <v>78</v>
      </c>
      <c r="D358" s="5">
        <v>17</v>
      </c>
      <c r="E358" s="5">
        <v>6</v>
      </c>
      <c r="F358" s="8"/>
      <c r="G358" s="8"/>
      <c r="H358" s="5"/>
      <c r="I358" s="5" t="e" cm="1">
        <f t="array" ref="I358">_xlfn.IFS(
  H358="Mahuva", "Mahuva",
  H358="Jesar", "Mahuva",
  H358="Palitana", "Palitana",
  H358="Gariyadhar", "Palitana",
  H358="Talaja", "Talaja",
  H358="Vallabhipur", "Vallabhipur",
  H358="Umrala", "Vallabhipur",
  H358="Shihor", "Shihor",
  H358="Ghogha", "Bhavnagar",
  H358="Bhavnagar", "Bhavnagar"
)</f>
        <v>#N/A</v>
      </c>
      <c r="J358" s="5"/>
      <c r="K358" s="5"/>
      <c r="M358" s="5"/>
      <c r="N358" s="7">
        <v>45903</v>
      </c>
      <c r="O358" s="7">
        <v>45915</v>
      </c>
      <c r="P358" s="7">
        <v>45916</v>
      </c>
      <c r="Q358" s="7">
        <f t="shared" si="66"/>
        <v>46035</v>
      </c>
      <c r="S358" s="33"/>
      <c r="U358" s="10"/>
      <c r="V358" s="10" t="str">
        <f t="shared" si="67"/>
        <v>Equals</v>
      </c>
      <c r="W358" s="11" t="str" cm="1">
        <f t="array" ref="W358">NumberToWords(T358)</f>
        <v>Zero Rupees Only</v>
      </c>
      <c r="X358" s="10" t="str">
        <f t="shared" si="68"/>
        <v>Division</v>
      </c>
      <c r="Z358" s="9">
        <f t="shared" si="69"/>
        <v>0</v>
      </c>
      <c r="AB358" s="8">
        <f>_xlfn.XLOOKUP(AA358, 'Agency List'!A$2:A$145, 'Agency List'!B$2:B$145, "Not Found")</f>
        <v>0</v>
      </c>
      <c r="AC358" s="8">
        <f>_xlfn.XLOOKUP(AA358, 'Agency List'!A$2:A$145, 'Agency List'!C$2:C$145, "Not Found")</f>
        <v>0</v>
      </c>
      <c r="AD358" s="8">
        <f>_xlfn.XLOOKUP(AA358, 'Agency List'!A$2:A$145, 'Agency List'!D$2:D$145, "Not Found")</f>
        <v>0</v>
      </c>
      <c r="AE358" s="7"/>
      <c r="AF358" s="5"/>
      <c r="AG358" s="5" t="str">
        <f t="shared" si="70"/>
        <v>Bandhkam</v>
      </c>
      <c r="AH358" s="5"/>
      <c r="AI358" s="8"/>
      <c r="AJ358" s="8"/>
      <c r="AL358" s="16"/>
      <c r="AM358" s="12">
        <f t="shared" si="71"/>
        <v>0</v>
      </c>
      <c r="AN358" s="7">
        <f t="shared" si="72"/>
        <v>450</v>
      </c>
      <c r="AO358" s="12">
        <f t="shared" si="73"/>
        <v>0</v>
      </c>
      <c r="AP358" s="12">
        <f t="shared" si="74"/>
        <v>0</v>
      </c>
      <c r="AQ358" s="15">
        <f t="shared" si="75"/>
        <v>35</v>
      </c>
      <c r="AR358" s="7">
        <f t="shared" si="76"/>
        <v>390</v>
      </c>
      <c r="AS358" s="5"/>
      <c r="AU358" s="5"/>
      <c r="AV358" s="17"/>
      <c r="AW358" s="17"/>
      <c r="AX358" s="5"/>
      <c r="AY358" s="5"/>
      <c r="AZ358" s="13"/>
      <c r="BA358" s="12"/>
      <c r="BB358" s="7"/>
      <c r="BC358" s="14"/>
      <c r="BD358" s="14"/>
      <c r="BF358" s="12"/>
      <c r="BG358" s="14"/>
      <c r="BH358" s="19"/>
      <c r="BI358" s="5"/>
      <c r="BM358" s="18"/>
      <c r="BN358" s="18"/>
      <c r="BO358" s="18"/>
      <c r="BP358" s="18"/>
      <c r="BQ358" s="5"/>
      <c r="BR358" s="18"/>
      <c r="BS358" s="18"/>
      <c r="BT358" s="35">
        <f t="shared" si="78"/>
        <v>-1</v>
      </c>
    </row>
    <row r="359" spans="1:72" ht="43.5" x14ac:dyDescent="0.35">
      <c r="A359" s="5">
        <v>358</v>
      </c>
      <c r="B359" s="5"/>
      <c r="C359" s="5" t="s">
        <v>78</v>
      </c>
      <c r="D359" s="5">
        <v>17</v>
      </c>
      <c r="E359" s="5">
        <v>7</v>
      </c>
      <c r="F359" s="8" t="s">
        <v>776</v>
      </c>
      <c r="G359" s="8"/>
      <c r="H359" s="5" t="s">
        <v>278</v>
      </c>
      <c r="I359" s="5" t="str" cm="1">
        <f t="array" ref="I359">_xlfn.IFS(
  H359="Mahuva", "Mahuva",
  H359="Jesar", "Mahuva",
  H359="Palitana", "Palitana",
  H359="Gariyadhar", "Palitana",
  H359="Talaja", "Talaja",
  H359="Vallabhipur", "Vallabhipur",
  H359="Umrala", "Vallabhipur",
  H359="Shihor", "Shihor",
  H359="Ghogha", "Bhavnagar",
  H359="Bhavnagar", "Bhavnagar"
)</f>
        <v>Mahuva</v>
      </c>
      <c r="J359" s="5" t="s">
        <v>21</v>
      </c>
      <c r="K359" s="5"/>
      <c r="L359" s="5">
        <v>221196</v>
      </c>
      <c r="M359" s="5">
        <v>1</v>
      </c>
      <c r="N359" s="7">
        <v>45903</v>
      </c>
      <c r="O359" s="7">
        <v>45915</v>
      </c>
      <c r="P359" s="7">
        <v>45916</v>
      </c>
      <c r="Q359" s="7">
        <f t="shared" si="66"/>
        <v>46035</v>
      </c>
      <c r="R359" s="9">
        <v>26285528.350000001</v>
      </c>
      <c r="S359" s="33"/>
      <c r="T359" s="9">
        <v>24866109.82</v>
      </c>
      <c r="U359" s="10">
        <v>-5.4</v>
      </c>
      <c r="V359" s="10" t="str">
        <f t="shared" si="67"/>
        <v>Below</v>
      </c>
      <c r="W359" s="11" t="str" cm="1">
        <f t="array" ref="W359">NumberToWords(T359)</f>
        <v>Two Crore Forty Eight Lakh Sixty Six Thousand One Hundred Nine Rupees and Eighty Two Paise Only</v>
      </c>
      <c r="X359" s="10" t="str">
        <f t="shared" si="68"/>
        <v>Government</v>
      </c>
      <c r="Z359" s="9">
        <f t="shared" si="69"/>
        <v>24866109.82</v>
      </c>
      <c r="AA359" s="5" t="s">
        <v>751</v>
      </c>
      <c r="AB359" s="8">
        <f>_xlfn.XLOOKUP(AA359, 'Agency List'!A$2:A$145, 'Agency List'!B$2:B$145, "Not Found")</f>
        <v>0</v>
      </c>
      <c r="AC359" s="8" t="str">
        <f>_xlfn.XLOOKUP(AA359, 'Agency List'!A$2:A$145, 'Agency List'!C$2:C$145, "Not Found")</f>
        <v>Shop No. 40/41, Madhav Complex, Shastrinagar, Bhavnagar</v>
      </c>
      <c r="AD359" s="8">
        <f>_xlfn.XLOOKUP(AA359, 'Agency List'!A$2:A$145, 'Agency List'!D$2:D$145, "Not Found")</f>
        <v>9913252525</v>
      </c>
      <c r="AE359" s="7">
        <v>45924</v>
      </c>
      <c r="AF359" s="5" t="s">
        <v>821</v>
      </c>
      <c r="AG359" s="5" t="str">
        <f t="shared" si="70"/>
        <v>NA</v>
      </c>
      <c r="AH359" s="55"/>
      <c r="AI359" s="50" t="s">
        <v>231</v>
      </c>
      <c r="AJ359" s="8" t="s">
        <v>834</v>
      </c>
      <c r="AK359" s="7">
        <v>45944</v>
      </c>
      <c r="AL359" s="16">
        <v>8</v>
      </c>
      <c r="AM359" s="12">
        <f t="shared" si="71"/>
        <v>1244000</v>
      </c>
      <c r="AN359" s="7">
        <f t="shared" si="72"/>
        <v>47402</v>
      </c>
      <c r="AO359" s="12">
        <f t="shared" si="73"/>
        <v>61000</v>
      </c>
      <c r="AP359" s="12">
        <f t="shared" si="74"/>
        <v>0</v>
      </c>
      <c r="AQ359" s="15">
        <f t="shared" si="75"/>
        <v>46267</v>
      </c>
      <c r="AR359" s="7">
        <f t="shared" si="76"/>
        <v>47342</v>
      </c>
      <c r="AS359" s="5">
        <v>1520</v>
      </c>
      <c r="AT359" s="7">
        <v>45972</v>
      </c>
      <c r="AU359" s="5"/>
      <c r="AV359" s="17"/>
      <c r="AW359" s="17"/>
      <c r="AX359" s="5"/>
      <c r="AY359" s="5"/>
      <c r="AZ359" s="13"/>
      <c r="BA359" s="12"/>
      <c r="BB359" s="7"/>
      <c r="BC359" s="14"/>
      <c r="BD359" s="14"/>
      <c r="BF359" s="12"/>
      <c r="BG359" s="14"/>
      <c r="BH359" s="19">
        <v>45992</v>
      </c>
      <c r="BI359" s="5"/>
      <c r="BK359" s="5">
        <v>1780</v>
      </c>
      <c r="BL359" s="7">
        <v>46011</v>
      </c>
      <c r="BM359" s="18"/>
      <c r="BN359" s="18"/>
      <c r="BO359" s="18"/>
      <c r="BP359" s="18"/>
      <c r="BQ359" s="5"/>
      <c r="BR359" s="18"/>
      <c r="BS359" s="18"/>
      <c r="BT359" s="35">
        <f t="shared" si="78"/>
        <v>46234</v>
      </c>
    </row>
    <row r="360" spans="1:72" ht="43.5" x14ac:dyDescent="0.35">
      <c r="A360" s="5">
        <v>359</v>
      </c>
      <c r="B360" s="5"/>
      <c r="C360" s="5" t="s">
        <v>78</v>
      </c>
      <c r="D360" s="5">
        <v>17</v>
      </c>
      <c r="E360" s="5">
        <v>8</v>
      </c>
      <c r="F360" s="8" t="s">
        <v>777</v>
      </c>
      <c r="G360" s="8"/>
      <c r="H360" s="5" t="s">
        <v>278</v>
      </c>
      <c r="I360" s="5" t="str" cm="1">
        <f t="array" ref="I360">_xlfn.IFS(
  H360="Mahuva", "Mahuva",
  H360="Jesar", "Mahuva",
  H360="Palitana", "Palitana",
  H360="Gariyadhar", "Palitana",
  H360="Talaja", "Talaja",
  H360="Vallabhipur", "Vallabhipur",
  H360="Umrala", "Vallabhipur",
  H360="Shihor", "Shihor",
  H360="Ghogha", "Bhavnagar",
  H360="Bhavnagar", "Bhavnagar"
)</f>
        <v>Mahuva</v>
      </c>
      <c r="J360" s="5" t="s">
        <v>21</v>
      </c>
      <c r="K360" s="5"/>
      <c r="L360" s="5">
        <v>221660</v>
      </c>
      <c r="M360" s="5">
        <v>1</v>
      </c>
      <c r="N360" s="7">
        <v>45903</v>
      </c>
      <c r="O360" s="7">
        <v>45915</v>
      </c>
      <c r="P360" s="7">
        <v>45916</v>
      </c>
      <c r="Q360" s="7">
        <f t="shared" si="66"/>
        <v>46035</v>
      </c>
      <c r="R360" s="9">
        <v>72589353.980000004</v>
      </c>
      <c r="S360" s="33"/>
      <c r="T360" s="9">
        <v>65337677.520000003</v>
      </c>
      <c r="U360" s="10">
        <v>-9.99</v>
      </c>
      <c r="V360" s="10" t="str">
        <f t="shared" si="67"/>
        <v>Below</v>
      </c>
      <c r="W360" s="11" t="str" cm="1">
        <f t="array" ref="W360">NumberToWords(T360)</f>
        <v>Six Crore Fifty Three Lakh Thirty Seven Thousand Six Hundred Seventy Seven Rupees and Fifty Two Paise Only</v>
      </c>
      <c r="X360" s="10" t="str">
        <f t="shared" si="68"/>
        <v>Government</v>
      </c>
      <c r="Z360" s="9">
        <f t="shared" si="69"/>
        <v>65337677.520000003</v>
      </c>
      <c r="AA360" s="5" t="s">
        <v>643</v>
      </c>
      <c r="AB360" s="8">
        <f>_xlfn.XLOOKUP(AA360, 'Agency List'!A$2:A$145, 'Agency List'!B$2:B$145, "Not Found")</f>
        <v>0</v>
      </c>
      <c r="AC360" s="8" t="str">
        <f>_xlfn.XLOOKUP(AA360, 'Agency List'!A$2:A$145, 'Agency List'!C$2:C$145, "Not Found")</f>
        <v xml:space="preserve">201/02, Leela Beside Iscon Mega City, Jewels Road, Opp. Victoria Park, Bhavnagar- 364001                           </v>
      </c>
      <c r="AD360" s="8">
        <f>_xlfn.XLOOKUP(AA360, 'Agency List'!A$2:A$145, 'Agency List'!D$2:D$145, "Not Found")</f>
        <v>2782422236</v>
      </c>
      <c r="AE360" s="7">
        <v>45924</v>
      </c>
      <c r="AF360" s="5"/>
      <c r="AG360" s="5" t="str">
        <f t="shared" si="70"/>
        <v>Karobari</v>
      </c>
      <c r="AH360" s="5"/>
      <c r="AI360" s="50" t="s">
        <v>231</v>
      </c>
      <c r="AJ360" s="8" t="s">
        <v>1057</v>
      </c>
      <c r="AK360" s="7">
        <v>46025</v>
      </c>
      <c r="AL360" s="16">
        <v>9</v>
      </c>
      <c r="AM360" s="12">
        <f t="shared" si="71"/>
        <v>3267000</v>
      </c>
      <c r="AN360" s="7">
        <f t="shared" si="72"/>
        <v>47494</v>
      </c>
      <c r="AO360" s="12">
        <f t="shared" si="73"/>
        <v>160100</v>
      </c>
      <c r="AP360" s="12">
        <f t="shared" si="74"/>
        <v>0</v>
      </c>
      <c r="AQ360" s="15">
        <f t="shared" si="75"/>
        <v>46359</v>
      </c>
      <c r="AR360" s="7">
        <f t="shared" si="76"/>
        <v>47434</v>
      </c>
      <c r="AS360" s="5">
        <v>43</v>
      </c>
      <c r="AT360" s="7">
        <v>46035</v>
      </c>
      <c r="AU360" s="5"/>
      <c r="AV360" s="17"/>
      <c r="AW360" s="17"/>
      <c r="AX360" s="5"/>
      <c r="AY360" s="5"/>
      <c r="AZ360" s="13"/>
      <c r="BA360" s="12"/>
      <c r="BB360" s="7"/>
      <c r="BC360" s="14"/>
      <c r="BD360" s="14"/>
      <c r="BF360" s="12"/>
      <c r="BG360" s="14"/>
      <c r="BH360" s="19">
        <v>46054</v>
      </c>
      <c r="BI360" s="5"/>
      <c r="BM360" s="18"/>
      <c r="BN360" s="18"/>
      <c r="BO360" s="18"/>
      <c r="BP360" s="18"/>
      <c r="BQ360" s="5"/>
      <c r="BR360" s="18"/>
      <c r="BS360" s="18"/>
      <c r="BT360" s="35">
        <f t="shared" si="78"/>
        <v>46326</v>
      </c>
    </row>
    <row r="361" spans="1:72" ht="43.5" x14ac:dyDescent="0.35">
      <c r="A361" s="5">
        <v>360</v>
      </c>
      <c r="B361" s="5"/>
      <c r="C361" s="5" t="s">
        <v>78</v>
      </c>
      <c r="D361" s="5">
        <v>17</v>
      </c>
      <c r="E361" s="5">
        <v>9</v>
      </c>
      <c r="F361" s="8" t="s">
        <v>752</v>
      </c>
      <c r="G361" s="8"/>
      <c r="H361" s="5" t="s">
        <v>13</v>
      </c>
      <c r="I361" s="5" t="str" cm="1">
        <f t="array" ref="I361">_xlfn.IFS(
  H361="Mahuva", "Mahuva",
  H361="Jesar", "Mahuva",
  H361="Palitana", "Palitana",
  H361="Gariyadhar", "Palitana",
  H361="Talaja", "Talaja",
  H361="Vallabhipur", "Vallabhipur",
  H361="Umrala", "Vallabhipur",
  H361="Shihor", "Shihor",
  H361="Ghogha", "Bhavnagar",
  H361="Bhavnagar", "Bhavnagar"
)</f>
        <v>Shihor</v>
      </c>
      <c r="J361" s="5" t="s">
        <v>21</v>
      </c>
      <c r="K361" s="5"/>
      <c r="L361" s="5">
        <v>221197</v>
      </c>
      <c r="M361" s="5"/>
      <c r="N361" s="7">
        <v>45903</v>
      </c>
      <c r="O361" s="7">
        <v>45915</v>
      </c>
      <c r="P361" s="7">
        <v>45916</v>
      </c>
      <c r="Q361" s="7">
        <f t="shared" si="66"/>
        <v>46035</v>
      </c>
      <c r="R361" s="9">
        <v>20266356.100000001</v>
      </c>
      <c r="S361" s="33"/>
      <c r="T361" s="9">
        <v>17019685.850000001</v>
      </c>
      <c r="U361" s="10">
        <v>-16.02</v>
      </c>
      <c r="V361" s="10" t="str">
        <f t="shared" si="67"/>
        <v>Below</v>
      </c>
      <c r="W361" s="11" t="str" cm="1">
        <f t="array" ref="W361">NumberToWords(T361)</f>
        <v>One Crore Seventy Lakh Nineteen Thousand Six Hundred Eighty Five Rupees and Eighty Five Paise Only</v>
      </c>
      <c r="X361" s="10" t="str">
        <f t="shared" si="68"/>
        <v>Circle</v>
      </c>
      <c r="Z361" s="9">
        <f t="shared" si="69"/>
        <v>17019685.850000001</v>
      </c>
      <c r="AA361" s="5" t="s">
        <v>219</v>
      </c>
      <c r="AB361" s="8" t="str">
        <f>_xlfn.XLOOKUP(AA361, 'Agency List'!A$2:A$145, 'Agency List'!B$2:B$145, "Not Found")</f>
        <v>RANJITBHAI BAHADURBHAI VALA</v>
      </c>
      <c r="AC361" s="8" t="str">
        <f>_xlfn.XLOOKUP(AA361, 'Agency List'!A$2:A$145, 'Agency List'!C$2:C$145, "Not Found")</f>
        <v>101, SHREEEJI ANAND CORNER, NEAR HDFC BANK, TOWER ROAD, PARA, Dist. BOTAD -364710</v>
      </c>
      <c r="AD361" s="8">
        <f>_xlfn.XLOOKUP(AA361, 'Agency List'!A$2:A$145, 'Agency List'!D$2:D$145, "Not Found")</f>
        <v>9925448406</v>
      </c>
      <c r="AE361" s="7">
        <v>45924</v>
      </c>
      <c r="AF361" s="5" t="s">
        <v>821</v>
      </c>
      <c r="AG361" s="5" t="str">
        <f t="shared" si="70"/>
        <v>NA</v>
      </c>
      <c r="AH361" s="55"/>
      <c r="AI361" s="50" t="s">
        <v>231</v>
      </c>
      <c r="AJ361" s="8" t="s">
        <v>831</v>
      </c>
      <c r="AK361" s="7">
        <v>45938</v>
      </c>
      <c r="AL361" s="16">
        <v>8</v>
      </c>
      <c r="AM361" s="12">
        <f t="shared" si="71"/>
        <v>851000</v>
      </c>
      <c r="AN361" s="7">
        <f t="shared" si="72"/>
        <v>47462</v>
      </c>
      <c r="AO361" s="12">
        <f t="shared" si="73"/>
        <v>53800</v>
      </c>
      <c r="AP361" s="12">
        <f t="shared" si="74"/>
        <v>245000</v>
      </c>
      <c r="AQ361" s="15">
        <f t="shared" si="75"/>
        <v>46327</v>
      </c>
      <c r="AR361" s="7">
        <f t="shared" si="76"/>
        <v>47402</v>
      </c>
      <c r="AS361" s="5">
        <v>1518</v>
      </c>
      <c r="AT361" s="7">
        <v>45972</v>
      </c>
      <c r="AU361" s="5" t="s">
        <v>78</v>
      </c>
      <c r="AV361" s="17">
        <v>296</v>
      </c>
      <c r="AW361" s="37">
        <v>46052</v>
      </c>
      <c r="AX361" s="5" t="s">
        <v>355</v>
      </c>
      <c r="AY361" s="5" t="s">
        <v>369</v>
      </c>
      <c r="AZ361" s="13">
        <v>44863327278</v>
      </c>
      <c r="BA361" s="12">
        <v>851000</v>
      </c>
      <c r="BB361" s="7">
        <v>46050</v>
      </c>
      <c r="BC361" s="5" t="s">
        <v>355</v>
      </c>
      <c r="BD361" s="5" t="s">
        <v>369</v>
      </c>
      <c r="BE361" s="13">
        <v>44869573919</v>
      </c>
      <c r="BF361" s="12">
        <v>245000</v>
      </c>
      <c r="BG361" s="7">
        <v>46052</v>
      </c>
      <c r="BH361" s="19">
        <v>46052</v>
      </c>
      <c r="BI361" s="5">
        <v>114</v>
      </c>
      <c r="BJ361" s="19">
        <v>46052</v>
      </c>
      <c r="BK361" s="5">
        <v>1779</v>
      </c>
      <c r="BL361" s="7">
        <v>46011</v>
      </c>
      <c r="BM361" s="18"/>
      <c r="BN361" s="18"/>
      <c r="BO361" s="18"/>
      <c r="BP361" s="18"/>
      <c r="BQ361" s="5"/>
      <c r="BR361" s="18"/>
      <c r="BS361" s="18"/>
      <c r="BT361" s="35">
        <f t="shared" si="78"/>
        <v>46294</v>
      </c>
    </row>
    <row r="362" spans="1:72" ht="43.5" x14ac:dyDescent="0.35">
      <c r="A362" s="5">
        <v>361</v>
      </c>
      <c r="B362" s="5"/>
      <c r="C362" s="5" t="s">
        <v>78</v>
      </c>
      <c r="D362" s="5">
        <v>17</v>
      </c>
      <c r="E362" s="5">
        <v>10</v>
      </c>
      <c r="F362" s="8" t="s">
        <v>778</v>
      </c>
      <c r="G362" s="8"/>
      <c r="H362" s="5" t="s">
        <v>257</v>
      </c>
      <c r="I362" s="5" t="str" cm="1">
        <f t="array" ref="I362">_xlfn.IFS(
  H362="Mahuva", "Mahuva",
  H362="Jesar", "Mahuva",
  H362="Palitana", "Palitana",
  H362="Gariyadhar", "Palitana",
  H362="Talaja", "Talaja",
  H362="Vallabhipur", "Vallabhipur",
  H362="Umrala", "Vallabhipur",
  H362="Shihor", "Shihor",
  H362="Ghogha", "Bhavnagar",
  H362="Bhavnagar", "Bhavnagar"
)</f>
        <v>Palitana</v>
      </c>
      <c r="J362" s="5" t="s">
        <v>21</v>
      </c>
      <c r="K362" s="5"/>
      <c r="L362" s="5">
        <v>221199</v>
      </c>
      <c r="M362" s="5">
        <v>1</v>
      </c>
      <c r="N362" s="7">
        <v>45903</v>
      </c>
      <c r="O362" s="7">
        <v>45915</v>
      </c>
      <c r="P362" s="7">
        <v>45916</v>
      </c>
      <c r="Q362" s="7">
        <f t="shared" si="66"/>
        <v>46035</v>
      </c>
      <c r="R362" s="9">
        <v>34494645.359999999</v>
      </c>
      <c r="S362" s="33"/>
      <c r="T362" s="9">
        <v>32321482.699999999</v>
      </c>
      <c r="U362" s="10">
        <v>-6.3</v>
      </c>
      <c r="V362" s="10" t="str">
        <f t="shared" si="67"/>
        <v>Below</v>
      </c>
      <c r="W362" s="11" t="str" cm="1">
        <f t="array" ref="W362">NumberToWords(T362)</f>
        <v>Three Crore Twenty Three Lakh Twenty One Thousand Four Hundred Eighty Two Rupees and Seven Paise Only</v>
      </c>
      <c r="X362" s="10" t="str">
        <f t="shared" si="68"/>
        <v>Government</v>
      </c>
      <c r="Z362" s="9">
        <f t="shared" si="69"/>
        <v>32321482.699999999</v>
      </c>
      <c r="AA362" s="5" t="s">
        <v>15</v>
      </c>
      <c r="AB362" s="8" t="str">
        <f>_xlfn.XLOOKUP(AA362, 'Agency List'!A$2:A$145, 'Agency List'!B$2:B$145, "Not Found")</f>
        <v>CHATURBHAI MOHANBHAI VAGHELA</v>
      </c>
      <c r="AC362" s="8" t="str">
        <f>_xlfn.XLOOKUP(AA362, 'Agency List'!A$2:A$145, 'Agency List'!C$2:C$145, "Not Found")</f>
        <v>MOTI PANIYALI, Via. Po. SHETRUNJI, Ta. PALITANA, Dist. BHAVNAGAR-364270</v>
      </c>
      <c r="AD362" s="8">
        <f>_xlfn.XLOOKUP(AA362, 'Agency List'!A$2:A$145, 'Agency List'!D$2:D$145, "Not Found")</f>
        <v>9925448120</v>
      </c>
      <c r="AE362" s="7">
        <v>45924</v>
      </c>
      <c r="AF362" s="5" t="s">
        <v>828</v>
      </c>
      <c r="AG362" s="5" t="str">
        <f t="shared" si="70"/>
        <v>Karobari</v>
      </c>
      <c r="AH362" s="55"/>
      <c r="AI362" s="50" t="s">
        <v>231</v>
      </c>
      <c r="AJ362" s="8" t="s">
        <v>829</v>
      </c>
      <c r="AK362" s="7">
        <v>45938</v>
      </c>
      <c r="AL362" s="16">
        <v>10</v>
      </c>
      <c r="AM362" s="12">
        <f t="shared" si="71"/>
        <v>1617000</v>
      </c>
      <c r="AN362" s="7">
        <f t="shared" si="72"/>
        <v>47462</v>
      </c>
      <c r="AO362" s="12">
        <f t="shared" si="73"/>
        <v>79300</v>
      </c>
      <c r="AP362" s="12">
        <f t="shared" si="74"/>
        <v>0</v>
      </c>
      <c r="AQ362" s="15">
        <f t="shared" si="75"/>
        <v>46327</v>
      </c>
      <c r="AR362" s="7">
        <f t="shared" si="76"/>
        <v>47402</v>
      </c>
      <c r="AS362" s="5">
        <v>1516</v>
      </c>
      <c r="AT362" s="7">
        <v>45972</v>
      </c>
      <c r="AU362" s="5"/>
      <c r="AV362" s="17"/>
      <c r="AW362" s="17"/>
      <c r="AX362" s="5"/>
      <c r="AY362" s="5"/>
      <c r="AZ362" s="13"/>
      <c r="BA362" s="12"/>
      <c r="BB362" s="7"/>
      <c r="BC362" s="14"/>
      <c r="BD362" s="14"/>
      <c r="BF362" s="12"/>
      <c r="BG362" s="14"/>
      <c r="BH362" s="19">
        <v>45992</v>
      </c>
      <c r="BI362" s="5"/>
      <c r="BK362" s="5">
        <v>1775</v>
      </c>
      <c r="BL362" s="7">
        <v>46011</v>
      </c>
      <c r="BM362" s="18"/>
      <c r="BN362" s="18"/>
      <c r="BO362" s="18"/>
      <c r="BP362" s="18"/>
      <c r="BQ362" s="5"/>
      <c r="BR362" s="18"/>
      <c r="BS362" s="18"/>
      <c r="BT362" s="35">
        <f t="shared" si="78"/>
        <v>46295</v>
      </c>
    </row>
    <row r="363" spans="1:72" ht="43.5" x14ac:dyDescent="0.35">
      <c r="A363" s="5">
        <v>362</v>
      </c>
      <c r="B363" s="5"/>
      <c r="C363" s="5" t="s">
        <v>78</v>
      </c>
      <c r="D363" s="5">
        <v>17</v>
      </c>
      <c r="E363" s="5">
        <v>11</v>
      </c>
      <c r="F363" s="8" t="s">
        <v>779</v>
      </c>
      <c r="G363" s="8"/>
      <c r="H363" s="5" t="s">
        <v>3</v>
      </c>
      <c r="I363" s="5" t="str" cm="1">
        <f t="array" ref="I363">_xlfn.IFS(
  H363="Mahuva", "Mahuva",
  H363="Jesar", "Mahuva",
  H363="Palitana", "Palitana",
  H363="Gariyadhar", "Palitana",
  H363="Talaja", "Talaja",
  H363="Vallabhipur", "Vallabhipur",
  H363="Umrala", "Vallabhipur",
  H363="Shihor", "Shihor",
  H363="Ghogha", "Bhavnagar",
  H363="Bhavnagar", "Bhavnagar"
)</f>
        <v>Palitana</v>
      </c>
      <c r="J363" s="5" t="s">
        <v>21</v>
      </c>
      <c r="K363" s="5"/>
      <c r="L363" s="5">
        <v>221201</v>
      </c>
      <c r="M363" s="5">
        <v>1</v>
      </c>
      <c r="N363" s="7">
        <v>45903</v>
      </c>
      <c r="O363" s="7">
        <v>45915</v>
      </c>
      <c r="P363" s="7">
        <v>45916</v>
      </c>
      <c r="Q363" s="7">
        <f t="shared" si="66"/>
        <v>46035</v>
      </c>
      <c r="R363" s="9">
        <v>26757447.239999998</v>
      </c>
      <c r="S363" s="33"/>
      <c r="T363" s="9">
        <v>22409362.059999999</v>
      </c>
      <c r="U363" s="10">
        <v>-16.25</v>
      </c>
      <c r="V363" s="10" t="str">
        <f t="shared" si="67"/>
        <v>Below</v>
      </c>
      <c r="W363" s="11" t="str" cm="1">
        <f t="array" ref="W363">NumberToWords(T363)</f>
        <v>Two Crore Twenty Four Lakh Nine Thousand Three Hundred Sixty Two Rupees and Six Paise Only</v>
      </c>
      <c r="X363" s="10" t="str">
        <f t="shared" si="68"/>
        <v>Government</v>
      </c>
      <c r="Z363" s="9">
        <f t="shared" si="69"/>
        <v>22409362.059999999</v>
      </c>
      <c r="AA363" s="5" t="s">
        <v>219</v>
      </c>
      <c r="AB363" s="8" t="str">
        <f>_xlfn.XLOOKUP(AA363, 'Agency List'!A$2:A$145, 'Agency List'!B$2:B$145, "Not Found")</f>
        <v>RANJITBHAI BAHADURBHAI VALA</v>
      </c>
      <c r="AC363" s="8" t="str">
        <f>_xlfn.XLOOKUP(AA363, 'Agency List'!A$2:A$145, 'Agency List'!C$2:C$145, "Not Found")</f>
        <v>101, SHREEEJI ANAND CORNER, NEAR HDFC BANK, TOWER ROAD, PARA, Dist. BOTAD -364710</v>
      </c>
      <c r="AD363" s="8">
        <f>_xlfn.XLOOKUP(AA363, 'Agency List'!A$2:A$145, 'Agency List'!D$2:D$145, "Not Found")</f>
        <v>9925448406</v>
      </c>
      <c r="AE363" s="7">
        <v>45924</v>
      </c>
      <c r="AF363" s="5" t="s">
        <v>828</v>
      </c>
      <c r="AG363" s="5" t="str">
        <f t="shared" si="70"/>
        <v>Karobari</v>
      </c>
      <c r="AH363" s="56"/>
      <c r="AI363" s="50" t="s">
        <v>231</v>
      </c>
      <c r="AJ363" s="8" t="s">
        <v>830</v>
      </c>
      <c r="AK363" s="7">
        <v>45938</v>
      </c>
      <c r="AL363" s="16">
        <v>8</v>
      </c>
      <c r="AM363" s="12">
        <f t="shared" si="71"/>
        <v>1121000</v>
      </c>
      <c r="AN363" s="7">
        <f t="shared" si="72"/>
        <v>47462</v>
      </c>
      <c r="AO363" s="12">
        <f t="shared" si="73"/>
        <v>71400</v>
      </c>
      <c r="AP363" s="12">
        <f t="shared" si="74"/>
        <v>335000</v>
      </c>
      <c r="AQ363" s="15">
        <f t="shared" si="75"/>
        <v>46327</v>
      </c>
      <c r="AR363" s="7">
        <f t="shared" si="76"/>
        <v>47402</v>
      </c>
      <c r="AS363" s="5">
        <v>1517</v>
      </c>
      <c r="AT363" s="7">
        <v>45972</v>
      </c>
      <c r="AU363" s="5" t="s">
        <v>78</v>
      </c>
      <c r="AV363" s="17">
        <v>297</v>
      </c>
      <c r="AW363" s="37">
        <v>46052</v>
      </c>
      <c r="AX363" s="5" t="s">
        <v>355</v>
      </c>
      <c r="AY363" s="5" t="s">
        <v>369</v>
      </c>
      <c r="AZ363" s="13">
        <v>44863446706</v>
      </c>
      <c r="BA363" s="12">
        <v>1121000</v>
      </c>
      <c r="BB363" s="7">
        <v>46050</v>
      </c>
      <c r="BC363" s="5" t="s">
        <v>355</v>
      </c>
      <c r="BD363" s="5" t="s">
        <v>369</v>
      </c>
      <c r="BE363" s="13">
        <v>44869464990</v>
      </c>
      <c r="BF363" s="12">
        <v>335000</v>
      </c>
      <c r="BG363" s="7">
        <v>46052</v>
      </c>
      <c r="BH363" s="19">
        <v>46052</v>
      </c>
      <c r="BI363" s="5">
        <v>115</v>
      </c>
      <c r="BJ363" s="19">
        <v>46052</v>
      </c>
      <c r="BK363" s="5">
        <v>1782</v>
      </c>
      <c r="BL363" s="7">
        <v>46011</v>
      </c>
      <c r="BM363" s="18"/>
      <c r="BN363" s="18"/>
      <c r="BO363" s="18"/>
      <c r="BP363" s="18"/>
      <c r="BQ363" s="5"/>
      <c r="BR363" s="18"/>
      <c r="BS363" s="18"/>
      <c r="BT363" s="35">
        <f t="shared" si="78"/>
        <v>46294</v>
      </c>
    </row>
    <row r="364" spans="1:72" ht="43.5" x14ac:dyDescent="0.35">
      <c r="A364" s="5">
        <v>363</v>
      </c>
      <c r="B364" s="5"/>
      <c r="C364" s="5" t="s">
        <v>78</v>
      </c>
      <c r="D364" s="5">
        <v>17</v>
      </c>
      <c r="E364" s="5">
        <v>12</v>
      </c>
      <c r="F364" s="8" t="s">
        <v>780</v>
      </c>
      <c r="G364" s="8"/>
      <c r="H364" s="5" t="s">
        <v>12</v>
      </c>
      <c r="I364" s="5" t="str" cm="1">
        <f t="array" ref="I364">_xlfn.IFS(
  H364="Mahuva", "Mahuva",
  H364="Jesar", "Mahuva",
  H364="Palitana", "Palitana",
  H364="Gariyadhar", "Palitana",
  H364="Talaja", "Talaja",
  H364="Vallabhipur", "Vallabhipur",
  H364="Umrala", "Vallabhipur",
  H364="Shihor", "Shihor",
  H364="Ghogha", "Bhavnagar",
  H364="Bhavnagar", "Bhavnagar"
)</f>
        <v>Mahuva</v>
      </c>
      <c r="J364" s="5" t="s">
        <v>21</v>
      </c>
      <c r="K364" s="5"/>
      <c r="L364" s="5">
        <v>221203</v>
      </c>
      <c r="M364" s="5">
        <v>1</v>
      </c>
      <c r="N364" s="7">
        <v>45903</v>
      </c>
      <c r="O364" s="7">
        <v>45915</v>
      </c>
      <c r="P364" s="7">
        <v>45916</v>
      </c>
      <c r="Q364" s="7">
        <f t="shared" si="66"/>
        <v>46035</v>
      </c>
      <c r="R364" s="9">
        <v>4285849.25</v>
      </c>
      <c r="S364" s="33"/>
      <c r="T364" s="9">
        <v>3191243.35</v>
      </c>
      <c r="U364" s="10">
        <v>-25.54</v>
      </c>
      <c r="V364" s="10" t="str">
        <f t="shared" si="67"/>
        <v>Below</v>
      </c>
      <c r="W364" s="11" t="str" cm="1">
        <f t="array" ref="W364">NumberToWords(T364)</f>
        <v>Thirty One Lakh Ninety One Thousand Two Hundred Forty Three Rupees and Thirty Five Paise Only</v>
      </c>
      <c r="X364" s="10" t="str">
        <f t="shared" si="68"/>
        <v>Division</v>
      </c>
      <c r="Z364" s="9">
        <f t="shared" si="69"/>
        <v>3191243.35</v>
      </c>
      <c r="AA364" s="5" t="s">
        <v>750</v>
      </c>
      <c r="AB364" s="8">
        <f>_xlfn.XLOOKUP(AA364, 'Agency List'!A$2:A$145, 'Agency List'!B$2:B$145, "Not Found")</f>
        <v>0</v>
      </c>
      <c r="AC364" s="8" t="str">
        <f>_xlfn.XLOOKUP(AA364, 'Agency List'!A$2:A$145, 'Agency List'!C$2:C$145, "Not Found")</f>
        <v>C-165, Pramukh Chhaya Raw House Society, Puma Simada Road, Puna Gam, Surat</v>
      </c>
      <c r="AD364" s="8">
        <f>_xlfn.XLOOKUP(AA364, 'Agency List'!A$2:A$145, 'Agency List'!D$2:D$145, "Not Found")</f>
        <v>9924545558</v>
      </c>
      <c r="AE364" s="7"/>
      <c r="AF364" s="5" t="s">
        <v>821</v>
      </c>
      <c r="AG364" s="5" t="str">
        <f t="shared" si="70"/>
        <v>NA</v>
      </c>
      <c r="AH364" s="5"/>
      <c r="AI364" s="8"/>
      <c r="AJ364" s="8"/>
      <c r="AL364" s="16">
        <v>4</v>
      </c>
      <c r="AM364" s="12">
        <f t="shared" si="71"/>
        <v>160000</v>
      </c>
      <c r="AN364" s="7">
        <f t="shared" si="72"/>
        <v>46532</v>
      </c>
      <c r="AO364" s="12">
        <f t="shared" si="73"/>
        <v>17700</v>
      </c>
      <c r="AP364" s="12">
        <f t="shared" si="74"/>
        <v>200000</v>
      </c>
      <c r="AQ364" s="15">
        <f t="shared" si="75"/>
        <v>46117</v>
      </c>
      <c r="AR364" s="7">
        <f t="shared" si="76"/>
        <v>46472</v>
      </c>
      <c r="AS364" s="5">
        <v>1415</v>
      </c>
      <c r="AT364" s="7">
        <v>45933</v>
      </c>
      <c r="AU364" s="5"/>
      <c r="AV364" s="17"/>
      <c r="AW364" s="17"/>
      <c r="AX364" s="5"/>
      <c r="AY364" s="5"/>
      <c r="AZ364" s="13"/>
      <c r="BA364" s="12"/>
      <c r="BB364" s="7"/>
      <c r="BC364" s="14"/>
      <c r="BD364" s="14"/>
      <c r="BF364" s="12"/>
      <c r="BG364" s="14"/>
      <c r="BH364" s="19">
        <v>45962</v>
      </c>
      <c r="BI364" s="5"/>
      <c r="BK364" s="5">
        <v>1781</v>
      </c>
      <c r="BL364" s="7">
        <v>46011</v>
      </c>
      <c r="BM364" s="18"/>
      <c r="BN364" s="18"/>
      <c r="BO364" s="18"/>
      <c r="BP364" s="18"/>
      <c r="BQ364" s="5"/>
      <c r="BR364" s="18"/>
      <c r="BS364" s="18"/>
      <c r="BT364" s="35">
        <f t="shared" si="78"/>
        <v>46081</v>
      </c>
    </row>
    <row r="365" spans="1:72" ht="58" x14ac:dyDescent="0.35">
      <c r="A365" s="5">
        <v>364</v>
      </c>
      <c r="B365" s="5"/>
      <c r="C365" s="5" t="s">
        <v>78</v>
      </c>
      <c r="D365" s="5">
        <v>17</v>
      </c>
      <c r="E365" s="5">
        <v>13</v>
      </c>
      <c r="F365" s="8" t="s">
        <v>649</v>
      </c>
      <c r="G365" s="8"/>
      <c r="H365" s="5" t="s">
        <v>1</v>
      </c>
      <c r="I365" s="5" t="str" cm="1">
        <f t="array" ref="I365">_xlfn.IFS(
  H365="Mahuva", "Mahuva",
  H365="Jesar", "Mahuva",
  H365="Palitana", "Palitana",
  H365="Gariyadhar", "Palitana",
  H365="Talaja", "Talaja",
  H365="Vallabhipur", "Vallabhipur",
  H365="Umrala", "Vallabhipur",
  H365="Shihor", "Shihor",
  H365="Ghogha", "Bhavnagar",
  H365="Bhavnagar", "Bhavnagar"
)</f>
        <v>Bhavnagar</v>
      </c>
      <c r="J365" s="5" t="s">
        <v>256</v>
      </c>
      <c r="K365" s="5" t="s">
        <v>418</v>
      </c>
      <c r="L365" s="5">
        <v>221205</v>
      </c>
      <c r="M365" s="5">
        <v>3</v>
      </c>
      <c r="N365" s="7">
        <v>45903</v>
      </c>
      <c r="O365" s="7">
        <v>45915</v>
      </c>
      <c r="P365" s="7">
        <v>45916</v>
      </c>
      <c r="Q365" s="7">
        <f t="shared" si="66"/>
        <v>46035</v>
      </c>
      <c r="R365" s="9">
        <v>2079935.08</v>
      </c>
      <c r="S365" s="33"/>
      <c r="T365" s="9">
        <v>2048528.06</v>
      </c>
      <c r="U365" s="10">
        <v>-1.51</v>
      </c>
      <c r="V365" s="10" t="str">
        <f t="shared" si="67"/>
        <v>Below</v>
      </c>
      <c r="W365" s="11" t="str" cm="1">
        <f t="array" ref="W365">NumberToWords(T365)</f>
        <v>Twenty Lakh Forty Eight Thousand Five Hundred Twenty Eight Rupees and Six Paise Only</v>
      </c>
      <c r="X365" s="10" t="str">
        <f t="shared" si="68"/>
        <v>Division</v>
      </c>
      <c r="Z365" s="9">
        <f t="shared" si="69"/>
        <v>2048528.06</v>
      </c>
      <c r="AA365" s="5" t="s">
        <v>281</v>
      </c>
      <c r="AB365" s="8" t="str">
        <f>_xlfn.XLOOKUP(AA365, 'Agency List'!A$2:A$145, 'Agency List'!B$2:B$145, "Not Found")</f>
        <v>UDAYBHAI RAMKUBHAI LUNSAR</v>
      </c>
      <c r="AC365" s="8" t="str">
        <f>_xlfn.XLOOKUP(AA365, 'Agency List'!A$2:A$145, 'Agency List'!C$2:C$145, "Not Found")</f>
        <v>Shop No. 5, First Floor, Nilkanth Arcade, Opp. Arjun Tokiz, Palitana Road, Gariyadhar- 364505</v>
      </c>
      <c r="AD365" s="8">
        <f>_xlfn.XLOOKUP(AA365, 'Agency List'!A$2:A$145, 'Agency List'!D$2:D$145, "Not Found")</f>
        <v>9824226646</v>
      </c>
      <c r="AE365" s="7"/>
      <c r="AF365" s="5" t="s">
        <v>357</v>
      </c>
      <c r="AG365" s="5" t="str">
        <f t="shared" si="70"/>
        <v>Bandhkam</v>
      </c>
      <c r="AH365" s="5"/>
      <c r="AI365" s="8"/>
      <c r="AJ365" s="8"/>
      <c r="AL365" s="16">
        <v>4</v>
      </c>
      <c r="AM365" s="12">
        <f t="shared" si="71"/>
        <v>103000</v>
      </c>
      <c r="AN365" s="7">
        <f t="shared" si="72"/>
        <v>46612</v>
      </c>
      <c r="AO365" s="12">
        <f t="shared" si="73"/>
        <v>5100</v>
      </c>
      <c r="AP365" s="12">
        <f t="shared" si="74"/>
        <v>0</v>
      </c>
      <c r="AQ365" s="15">
        <f t="shared" si="75"/>
        <v>46197</v>
      </c>
      <c r="AR365" s="7">
        <f t="shared" si="76"/>
        <v>46552</v>
      </c>
      <c r="AS365" s="5">
        <v>1416</v>
      </c>
      <c r="AT365" s="7">
        <v>45933</v>
      </c>
      <c r="AU365" s="5" t="s">
        <v>78</v>
      </c>
      <c r="AV365" s="17">
        <v>281</v>
      </c>
      <c r="AW365" s="37">
        <v>46042</v>
      </c>
      <c r="AX365" s="5" t="s">
        <v>355</v>
      </c>
      <c r="AY365" s="5" t="s">
        <v>369</v>
      </c>
      <c r="AZ365" s="13">
        <v>44676070654</v>
      </c>
      <c r="BA365" s="12">
        <v>103000</v>
      </c>
      <c r="BB365" s="7">
        <v>46014</v>
      </c>
      <c r="BC365" s="14"/>
      <c r="BD365" s="14"/>
      <c r="BF365" s="12"/>
      <c r="BG365" s="14"/>
      <c r="BH365" s="37">
        <v>46042</v>
      </c>
      <c r="BI365" s="5">
        <v>75</v>
      </c>
      <c r="BJ365" s="37">
        <v>46042</v>
      </c>
      <c r="BK365" s="5">
        <v>1738</v>
      </c>
      <c r="BL365" s="7">
        <v>46006</v>
      </c>
      <c r="BM365" s="18"/>
      <c r="BN365" s="18"/>
      <c r="BO365" s="18"/>
      <c r="BP365" s="18"/>
      <c r="BQ365" s="5"/>
      <c r="BR365" s="18"/>
      <c r="BS365" s="18"/>
      <c r="BT365" s="35">
        <f>BH365+AL365*30</f>
        <v>46162</v>
      </c>
    </row>
    <row r="366" spans="1:72" ht="43.5" x14ac:dyDescent="0.35">
      <c r="A366" s="5">
        <v>365</v>
      </c>
      <c r="B366" s="5"/>
      <c r="C366" s="5" t="s">
        <v>78</v>
      </c>
      <c r="D366" s="5">
        <v>17</v>
      </c>
      <c r="E366" s="5">
        <v>14</v>
      </c>
      <c r="F366" s="8" t="s">
        <v>784</v>
      </c>
      <c r="G366" s="8"/>
      <c r="H366" s="5" t="s">
        <v>13</v>
      </c>
      <c r="I366" s="5" t="str" cm="1">
        <f t="array" ref="I366">_xlfn.IFS(
  H366="Mahuva", "Mahuva",
  H366="Jesar", "Mahuva",
  H366="Palitana", "Palitana",
  H366="Gariyadhar", "Palitana",
  H366="Talaja", "Talaja",
  H366="Vallabhipur", "Vallabhipur",
  H366="Umrala", "Vallabhipur",
  H366="Shihor", "Shihor",
  H366="Ghogha", "Bhavnagar",
  H366="Bhavnagar", "Bhavnagar"
)</f>
        <v>Shihor</v>
      </c>
      <c r="J366" s="5" t="s">
        <v>256</v>
      </c>
      <c r="K366" s="5" t="s">
        <v>418</v>
      </c>
      <c r="L366" s="5">
        <v>221207</v>
      </c>
      <c r="M366" s="5">
        <v>3</v>
      </c>
      <c r="N366" s="7">
        <v>45903</v>
      </c>
      <c r="O366" s="7">
        <v>45915</v>
      </c>
      <c r="P366" s="7">
        <v>45916</v>
      </c>
      <c r="Q366" s="7">
        <f t="shared" si="66"/>
        <v>46035</v>
      </c>
      <c r="R366" s="9">
        <v>2079935.08</v>
      </c>
      <c r="S366" s="33"/>
      <c r="T366" s="9">
        <v>1979682.21</v>
      </c>
      <c r="U366" s="10">
        <v>-4.82</v>
      </c>
      <c r="V366" s="10" t="str">
        <f t="shared" si="67"/>
        <v>Below</v>
      </c>
      <c r="W366" s="11" t="str" cm="1">
        <f t="array" ref="W366">NumberToWords(T366)</f>
        <v>Nineteen Lakh Seventy Nine Thousand Six Hundred Eighty Two Rupees and Twenty One Paise Only</v>
      </c>
      <c r="X366" s="10" t="str">
        <f t="shared" si="68"/>
        <v>Division</v>
      </c>
      <c r="Z366" s="9">
        <f t="shared" si="69"/>
        <v>1979682.21</v>
      </c>
      <c r="AA366" s="5" t="s">
        <v>753</v>
      </c>
      <c r="AB366" s="8">
        <f>_xlfn.XLOOKUP(AA366, 'Agency List'!A$2:A$145, 'Agency List'!B$2:B$145, "Not Found")</f>
        <v>0</v>
      </c>
      <c r="AC366" s="8" t="str">
        <f>_xlfn.XLOOKUP(AA366, 'Agency List'!A$2:A$145, 'Agency List'!C$2:C$145, "Not Found")</f>
        <v>Ashapura Garden Restaurant, Near Garibsha pir, Rajkot Road, Sihor, Dist. Bhavnagar</v>
      </c>
      <c r="AD366" s="8">
        <f>_xlfn.XLOOKUP(AA366, 'Agency List'!A$2:A$145, 'Agency List'!D$2:D$145, "Not Found")</f>
        <v>0</v>
      </c>
      <c r="AE366" s="7"/>
      <c r="AF366" s="5"/>
      <c r="AG366" s="5" t="str">
        <f t="shared" si="70"/>
        <v>Bandhkam</v>
      </c>
      <c r="AH366" s="5"/>
      <c r="AI366" s="8"/>
      <c r="AJ366" s="8"/>
      <c r="AL366" s="16">
        <v>4</v>
      </c>
      <c r="AM366" s="12">
        <f t="shared" si="71"/>
        <v>99000</v>
      </c>
      <c r="AN366" s="7">
        <f t="shared" si="72"/>
        <v>46532</v>
      </c>
      <c r="AO366" s="12">
        <f t="shared" si="73"/>
        <v>4900</v>
      </c>
      <c r="AP366" s="12">
        <f t="shared" si="74"/>
        <v>0</v>
      </c>
      <c r="AQ366" s="15">
        <f t="shared" si="75"/>
        <v>46117</v>
      </c>
      <c r="AR366" s="7">
        <f t="shared" si="76"/>
        <v>46472</v>
      </c>
      <c r="AS366" s="5">
        <v>1414</v>
      </c>
      <c r="AT366" s="7">
        <v>45933</v>
      </c>
      <c r="AU366" s="5"/>
      <c r="AV366" s="17"/>
      <c r="AW366" s="17"/>
      <c r="AX366" s="5"/>
      <c r="AY366" s="5"/>
      <c r="AZ366" s="13"/>
      <c r="BA366" s="12"/>
      <c r="BB366" s="7"/>
      <c r="BC366" s="14"/>
      <c r="BD366" s="14"/>
      <c r="BF366" s="12"/>
      <c r="BG366" s="14"/>
      <c r="BH366" s="19">
        <v>45962</v>
      </c>
      <c r="BI366" s="5"/>
      <c r="BK366" s="5">
        <v>1739</v>
      </c>
      <c r="BL366" s="7">
        <v>46006</v>
      </c>
      <c r="BM366" s="18"/>
      <c r="BN366" s="18"/>
      <c r="BO366" s="18"/>
      <c r="BP366" s="18"/>
      <c r="BQ366" s="5"/>
      <c r="BR366" s="18"/>
      <c r="BS366" s="18"/>
      <c r="BT366" s="35">
        <f>BH366+AL366*30</f>
        <v>46082</v>
      </c>
    </row>
    <row r="367" spans="1:72" x14ac:dyDescent="0.35">
      <c r="A367" s="5">
        <v>366</v>
      </c>
      <c r="B367" s="5"/>
      <c r="C367" s="5" t="s">
        <v>78</v>
      </c>
      <c r="D367" s="5">
        <v>17</v>
      </c>
      <c r="E367" s="5">
        <v>15</v>
      </c>
      <c r="F367" s="8"/>
      <c r="G367" s="8"/>
      <c r="H367" s="5"/>
      <c r="I367" s="5" t="e" cm="1">
        <f t="array" ref="I367">_xlfn.IFS(
  H367="Mahuva", "Mahuva",
  H367="Jesar", "Mahuva",
  H367="Palitana", "Palitana",
  H367="Gariyadhar", "Palitana",
  H367="Talaja", "Talaja",
  H367="Vallabhipur", "Vallabhipur",
  H367="Umrala", "Vallabhipur",
  H367="Shihor", "Shihor",
  H367="Ghogha", "Bhavnagar",
  H367="Bhavnagar", "Bhavnagar"
)</f>
        <v>#N/A</v>
      </c>
      <c r="J367" s="5"/>
      <c r="K367" s="5"/>
      <c r="M367" s="5"/>
      <c r="N367" s="7">
        <v>45903</v>
      </c>
      <c r="O367" s="7">
        <v>45915</v>
      </c>
      <c r="P367" s="7">
        <v>45916</v>
      </c>
      <c r="Q367" s="7">
        <f t="shared" si="66"/>
        <v>46035</v>
      </c>
      <c r="S367" s="33"/>
      <c r="U367" s="10"/>
      <c r="V367" s="10" t="str">
        <f t="shared" si="67"/>
        <v>Equals</v>
      </c>
      <c r="W367" s="11" t="str" cm="1">
        <f t="array" ref="W367">NumberToWords(T367)</f>
        <v>Zero Rupees Only</v>
      </c>
      <c r="X367" s="10" t="str">
        <f t="shared" si="68"/>
        <v>Division</v>
      </c>
      <c r="Z367" s="9">
        <f t="shared" si="69"/>
        <v>0</v>
      </c>
      <c r="AB367" s="8">
        <f>_xlfn.XLOOKUP(AA367, 'Agency List'!A$2:A$145, 'Agency List'!B$2:B$145, "Not Found")</f>
        <v>0</v>
      </c>
      <c r="AC367" s="8">
        <f>_xlfn.XLOOKUP(AA367, 'Agency List'!A$2:A$145, 'Agency List'!C$2:C$145, "Not Found")</f>
        <v>0</v>
      </c>
      <c r="AD367" s="8">
        <f>_xlfn.XLOOKUP(AA367, 'Agency List'!A$2:A$145, 'Agency List'!D$2:D$145, "Not Found")</f>
        <v>0</v>
      </c>
      <c r="AE367" s="7"/>
      <c r="AF367" s="5"/>
      <c r="AG367" s="5" t="str">
        <f t="shared" si="70"/>
        <v>Bandhkam</v>
      </c>
      <c r="AH367" s="5"/>
      <c r="AI367" s="8"/>
      <c r="AJ367" s="8"/>
      <c r="AL367" s="16"/>
      <c r="AM367" s="12">
        <f t="shared" si="71"/>
        <v>0</v>
      </c>
      <c r="AN367" s="7">
        <f t="shared" si="72"/>
        <v>450</v>
      </c>
      <c r="AO367" s="12">
        <f t="shared" si="73"/>
        <v>0</v>
      </c>
      <c r="AP367" s="12">
        <f t="shared" si="74"/>
        <v>0</v>
      </c>
      <c r="AQ367" s="15">
        <f t="shared" si="75"/>
        <v>35</v>
      </c>
      <c r="AR367" s="7">
        <f t="shared" si="76"/>
        <v>390</v>
      </c>
      <c r="AS367" s="5"/>
      <c r="AU367" s="5"/>
      <c r="AV367" s="17"/>
      <c r="AW367" s="17"/>
      <c r="AX367" s="5"/>
      <c r="AY367" s="5"/>
      <c r="AZ367" s="13"/>
      <c r="BA367" s="12"/>
      <c r="BB367" s="7"/>
      <c r="BC367" s="14"/>
      <c r="BD367" s="14"/>
      <c r="BF367" s="12"/>
      <c r="BG367" s="14"/>
      <c r="BH367" s="19"/>
      <c r="BI367" s="5"/>
      <c r="BM367" s="18"/>
      <c r="BN367" s="18"/>
      <c r="BO367" s="18"/>
      <c r="BP367" s="18"/>
      <c r="BQ367" s="5"/>
      <c r="BR367" s="18"/>
      <c r="BS367" s="18"/>
      <c r="BT367" s="35">
        <f>EDATE(BH367,AL367)-1</f>
        <v>-1</v>
      </c>
    </row>
    <row r="368" spans="1:72" ht="58" x14ac:dyDescent="0.35">
      <c r="A368" s="5">
        <v>367</v>
      </c>
      <c r="B368" s="5"/>
      <c r="C368" s="5" t="s">
        <v>78</v>
      </c>
      <c r="D368" s="5">
        <v>17</v>
      </c>
      <c r="E368" s="5">
        <v>16</v>
      </c>
      <c r="F368" s="8" t="s">
        <v>1055</v>
      </c>
      <c r="G368" s="8"/>
      <c r="H368" s="5"/>
      <c r="I368" s="5" t="e" cm="1">
        <f t="array" ref="I368">_xlfn.IFS(
  H368="Mahuva", "Mahuva",
  H368="Jesar", "Mahuva",
  H368="Palitana", "Palitana",
  H368="Gariyadhar", "Palitana",
  H368="Talaja", "Talaja",
  H368="Vallabhipur", "Vallabhipur",
  H368="Umrala", "Vallabhipur",
  H368="Shihor", "Shihor",
  H368="Ghogha", "Bhavnagar",
  H368="Bhavnagar", "Bhavnagar"
)</f>
        <v>#N/A</v>
      </c>
      <c r="J368" s="5" t="s">
        <v>256</v>
      </c>
      <c r="K368" s="5" t="s">
        <v>925</v>
      </c>
      <c r="L368" s="5">
        <v>221232</v>
      </c>
      <c r="M368" s="5">
        <v>11</v>
      </c>
      <c r="N368" s="7">
        <v>45903</v>
      </c>
      <c r="O368" s="7">
        <v>45915</v>
      </c>
      <c r="P368" s="7">
        <v>45916</v>
      </c>
      <c r="Q368" s="7">
        <f t="shared" si="66"/>
        <v>46035</v>
      </c>
      <c r="R368" s="9">
        <v>907910.21</v>
      </c>
      <c r="S368" s="33"/>
      <c r="T368" s="9">
        <v>1458103.8</v>
      </c>
      <c r="U368" s="10">
        <v>60.6</v>
      </c>
      <c r="V368" s="10" t="str">
        <f t="shared" si="67"/>
        <v>Above</v>
      </c>
      <c r="W368" s="11" t="str" cm="1">
        <f t="array" ref="W368">NumberToWords(T368)</f>
        <v>Fourteen Lakh Fifty Eight Thousand One Hundred Three Rupees and Eight Paise Only</v>
      </c>
      <c r="X368" s="10" t="str">
        <f t="shared" si="68"/>
        <v>Division</v>
      </c>
      <c r="Z368" s="9">
        <f t="shared" si="69"/>
        <v>1458103.8</v>
      </c>
      <c r="AA368" s="5" t="s">
        <v>754</v>
      </c>
      <c r="AB368" s="8" t="str">
        <f>_xlfn.XLOOKUP(AA368, 'Agency List'!A$2:A$145, 'Agency List'!B$2:B$145, "Not Found")</f>
        <v>Not Found</v>
      </c>
      <c r="AC368" s="8" t="str">
        <f>_xlfn.XLOOKUP(AA368, 'Agency List'!A$2:A$145, 'Agency List'!C$2:C$145, "Not Found")</f>
        <v>Not Found</v>
      </c>
      <c r="AD368" s="8" t="str">
        <f>_xlfn.XLOOKUP(AA368, 'Agency List'!A$2:A$145, 'Agency List'!D$2:D$145, "Not Found")</f>
        <v>Not Found</v>
      </c>
      <c r="AE368" s="7"/>
      <c r="AF368" s="5"/>
      <c r="AG368" s="5" t="str">
        <f t="shared" si="70"/>
        <v>Bandhkam</v>
      </c>
      <c r="AH368" s="5"/>
      <c r="AI368" s="8"/>
      <c r="AJ368" s="8"/>
      <c r="AL368" s="16"/>
      <c r="AM368" s="12">
        <f t="shared" si="71"/>
        <v>73000</v>
      </c>
      <c r="AN368" s="7">
        <f t="shared" si="72"/>
        <v>450</v>
      </c>
      <c r="AO368" s="12">
        <f t="shared" si="73"/>
        <v>3600</v>
      </c>
      <c r="AP368" s="12">
        <f t="shared" si="74"/>
        <v>0</v>
      </c>
      <c r="AQ368" s="15">
        <f t="shared" si="75"/>
        <v>35</v>
      </c>
      <c r="AR368" s="7">
        <f t="shared" si="76"/>
        <v>390</v>
      </c>
      <c r="AS368" s="5"/>
      <c r="AT368" s="7" t="s">
        <v>1054</v>
      </c>
      <c r="AU368" s="5"/>
      <c r="AV368" s="17"/>
      <c r="AW368" s="17"/>
      <c r="AX368" s="5"/>
      <c r="AY368" s="5"/>
      <c r="AZ368" s="13"/>
      <c r="BA368" s="12"/>
      <c r="BB368" s="7"/>
      <c r="BC368" s="14"/>
      <c r="BD368" s="14"/>
      <c r="BF368" s="12"/>
      <c r="BG368" s="14"/>
      <c r="BH368" s="19"/>
      <c r="BI368" s="5"/>
      <c r="BM368" s="18"/>
      <c r="BN368" s="18"/>
      <c r="BO368" s="18"/>
      <c r="BP368" s="18"/>
      <c r="BQ368" s="5"/>
      <c r="BR368" s="18"/>
      <c r="BS368" s="18"/>
      <c r="BT368" s="35">
        <f>BH368+AL368*30</f>
        <v>0</v>
      </c>
    </row>
    <row r="369" spans="1:72" ht="72.5" x14ac:dyDescent="0.35">
      <c r="A369" s="5">
        <v>368</v>
      </c>
      <c r="B369" s="5"/>
      <c r="C369" s="5" t="s">
        <v>78</v>
      </c>
      <c r="D369" s="5">
        <v>17</v>
      </c>
      <c r="E369" s="5">
        <v>17</v>
      </c>
      <c r="F369" s="8" t="s">
        <v>781</v>
      </c>
      <c r="G369" s="8"/>
      <c r="H369" s="5" t="s">
        <v>1</v>
      </c>
      <c r="I369" s="5" t="str" cm="1">
        <f t="array" ref="I369">_xlfn.IFS(
  H369="Mahuva", "Mahuva",
  H369="Jesar", "Mahuva",
  H369="Palitana", "Palitana",
  H369="Gariyadhar", "Palitana",
  H369="Talaja", "Talaja",
  H369="Vallabhipur", "Vallabhipur",
  H369="Umrala", "Vallabhipur",
  H369="Shihor", "Shihor",
  H369="Ghogha", "Bhavnagar",
  H369="Bhavnagar", "Bhavnagar"
)</f>
        <v>Bhavnagar</v>
      </c>
      <c r="J369" s="5" t="s">
        <v>256</v>
      </c>
      <c r="K369" s="5" t="s">
        <v>925</v>
      </c>
      <c r="L369" s="5">
        <v>221237</v>
      </c>
      <c r="M369" s="5"/>
      <c r="N369" s="7">
        <v>45903</v>
      </c>
      <c r="O369" s="7">
        <v>45915</v>
      </c>
      <c r="P369" s="7">
        <v>45916</v>
      </c>
      <c r="Q369" s="7">
        <f t="shared" si="66"/>
        <v>46035</v>
      </c>
      <c r="R369" s="9">
        <v>4253844.58</v>
      </c>
      <c r="S369" s="33"/>
      <c r="T369" s="9">
        <v>7971704.7400000002</v>
      </c>
      <c r="U369" s="10">
        <v>87.4</v>
      </c>
      <c r="V369" s="10" t="str">
        <f t="shared" si="67"/>
        <v>Above</v>
      </c>
      <c r="W369" s="11" t="str" cm="1">
        <f t="array" ref="W369">NumberToWords(T369)</f>
        <v>Seventy Nine Lakh Seventy One Thousand Seven Hundred Four Rupees and Seventy Four Paise Only</v>
      </c>
      <c r="X369" s="10" t="str">
        <f t="shared" si="68"/>
        <v>Circle</v>
      </c>
      <c r="Z369" s="9">
        <f t="shared" si="69"/>
        <v>7971704.7400000002</v>
      </c>
      <c r="AA369" s="5" t="s">
        <v>749</v>
      </c>
      <c r="AB369" s="8">
        <f>_xlfn.XLOOKUP(AA369, 'Agency List'!A$2:A$145, 'Agency List'!B$2:B$145, "Not Found")</f>
        <v>0</v>
      </c>
      <c r="AC369" s="8" t="str">
        <f>_xlfn.XLOOKUP(AA369, 'Agency List'!A$2:A$145, 'Agency List'!C$2:C$145, "Not Found")</f>
        <v>309, 3rd Floor, Asopalav Triangle, 40-50 Feet Road Corner, (Punitnagar) Near Khodal Chok, Opp. Satyam Hills, Mavdi- Rajkot - 364004</v>
      </c>
      <c r="AD369" s="8">
        <f>_xlfn.XLOOKUP(AA369, 'Agency List'!A$2:A$145, 'Agency List'!D$2:D$145, "Not Found")</f>
        <v>9824351508</v>
      </c>
      <c r="AE369" s="7"/>
      <c r="AF369" s="5"/>
      <c r="AG369" s="5" t="str">
        <f t="shared" si="70"/>
        <v>Karobari</v>
      </c>
      <c r="AH369" s="5"/>
      <c r="AI369" s="8"/>
      <c r="AJ369" s="8"/>
      <c r="AL369" s="16"/>
      <c r="AM369" s="12">
        <f t="shared" si="71"/>
        <v>399000</v>
      </c>
      <c r="AN369" s="7">
        <f t="shared" si="72"/>
        <v>450</v>
      </c>
      <c r="AO369" s="12">
        <f t="shared" si="73"/>
        <v>19600</v>
      </c>
      <c r="AP369" s="12">
        <f t="shared" si="74"/>
        <v>0</v>
      </c>
      <c r="AQ369" s="15">
        <f t="shared" si="75"/>
        <v>35</v>
      </c>
      <c r="AR369" s="7">
        <f t="shared" si="76"/>
        <v>390</v>
      </c>
      <c r="AS369" s="5"/>
      <c r="AT369" s="7" t="s">
        <v>1054</v>
      </c>
      <c r="AU369" s="5"/>
      <c r="AV369" s="17"/>
      <c r="AW369" s="17"/>
      <c r="AX369" s="5"/>
      <c r="AY369" s="5"/>
      <c r="AZ369" s="13"/>
      <c r="BA369" s="12"/>
      <c r="BB369" s="7"/>
      <c r="BC369" s="14"/>
      <c r="BD369" s="14"/>
      <c r="BF369" s="12"/>
      <c r="BG369" s="14"/>
      <c r="BH369" s="19"/>
      <c r="BI369" s="5"/>
      <c r="BM369" s="18"/>
      <c r="BN369" s="18"/>
      <c r="BO369" s="18"/>
      <c r="BP369" s="18"/>
      <c r="BQ369" s="5"/>
      <c r="BR369" s="18"/>
      <c r="BS369" s="18"/>
      <c r="BT369" s="35">
        <f>BH369+AL369*30</f>
        <v>0</v>
      </c>
    </row>
    <row r="370" spans="1:72" x14ac:dyDescent="0.35">
      <c r="A370" s="5">
        <v>369</v>
      </c>
      <c r="B370" s="5"/>
      <c r="C370" s="5" t="s">
        <v>78</v>
      </c>
      <c r="D370" s="5">
        <v>17</v>
      </c>
      <c r="E370" s="5">
        <v>18</v>
      </c>
      <c r="F370" s="8"/>
      <c r="G370" s="8"/>
      <c r="H370" s="5"/>
      <c r="I370" s="5" t="e" cm="1">
        <f t="array" ref="I370">_xlfn.IFS(
  H370="Mahuva", "Mahuva",
  H370="Jesar", "Mahuva",
  H370="Palitana", "Palitana",
  H370="Gariyadhar", "Palitana",
  H370="Talaja", "Talaja",
  H370="Vallabhipur", "Vallabhipur",
  H370="Umrala", "Vallabhipur",
  H370="Shihor", "Shihor",
  H370="Ghogha", "Bhavnagar",
  H370="Bhavnagar", "Bhavnagar"
)</f>
        <v>#N/A</v>
      </c>
      <c r="J370" s="5"/>
      <c r="K370" s="5"/>
      <c r="M370" s="5"/>
      <c r="N370" s="7">
        <v>45903</v>
      </c>
      <c r="O370" s="7">
        <v>45915</v>
      </c>
      <c r="P370" s="7">
        <v>45916</v>
      </c>
      <c r="Q370" s="7">
        <f t="shared" si="66"/>
        <v>46035</v>
      </c>
      <c r="S370" s="33"/>
      <c r="U370" s="10"/>
      <c r="V370" s="10" t="str">
        <f t="shared" si="67"/>
        <v>Equals</v>
      </c>
      <c r="W370" s="11" t="str" cm="1">
        <f t="array" ref="W370">NumberToWords(T370)</f>
        <v>Zero Rupees Only</v>
      </c>
      <c r="X370" s="10" t="str">
        <f t="shared" si="68"/>
        <v>Division</v>
      </c>
      <c r="Z370" s="9">
        <f t="shared" si="69"/>
        <v>0</v>
      </c>
      <c r="AB370" s="8">
        <f>_xlfn.XLOOKUP(AA370, 'Agency List'!A$2:A$145, 'Agency List'!B$2:B$145, "Not Found")</f>
        <v>0</v>
      </c>
      <c r="AC370" s="8">
        <f>_xlfn.XLOOKUP(AA370, 'Agency List'!A$2:A$145, 'Agency List'!C$2:C$145, "Not Found")</f>
        <v>0</v>
      </c>
      <c r="AD370" s="8">
        <f>_xlfn.XLOOKUP(AA370, 'Agency List'!A$2:A$145, 'Agency List'!D$2:D$145, "Not Found")</f>
        <v>0</v>
      </c>
      <c r="AE370" s="7"/>
      <c r="AF370" s="5"/>
      <c r="AG370" s="5" t="str">
        <f t="shared" si="70"/>
        <v>Bandhkam</v>
      </c>
      <c r="AH370" s="5"/>
      <c r="AI370" s="8"/>
      <c r="AJ370" s="8"/>
      <c r="AL370" s="16"/>
      <c r="AM370" s="12">
        <f t="shared" si="71"/>
        <v>0</v>
      </c>
      <c r="AN370" s="7">
        <f t="shared" si="72"/>
        <v>450</v>
      </c>
      <c r="AO370" s="12">
        <f t="shared" si="73"/>
        <v>0</v>
      </c>
      <c r="AP370" s="12">
        <f t="shared" si="74"/>
        <v>0</v>
      </c>
      <c r="AQ370" s="15">
        <f t="shared" si="75"/>
        <v>35</v>
      </c>
      <c r="AR370" s="7">
        <f t="shared" si="76"/>
        <v>390</v>
      </c>
      <c r="AS370" s="5"/>
      <c r="AU370" s="5"/>
      <c r="AV370" s="17"/>
      <c r="AW370" s="17"/>
      <c r="AX370" s="5"/>
      <c r="AY370" s="5"/>
      <c r="AZ370" s="13"/>
      <c r="BA370" s="12"/>
      <c r="BB370" s="7"/>
      <c r="BC370" s="14"/>
      <c r="BD370" s="14"/>
      <c r="BF370" s="12"/>
      <c r="BG370" s="14"/>
      <c r="BH370" s="19"/>
      <c r="BI370" s="5"/>
      <c r="BM370" s="18"/>
      <c r="BN370" s="18"/>
      <c r="BO370" s="18"/>
      <c r="BP370" s="18"/>
      <c r="BQ370" s="5"/>
      <c r="BR370" s="18"/>
      <c r="BS370" s="18"/>
      <c r="BT370" s="35">
        <f>EDATE(BH370,AL370)-1</f>
        <v>-1</v>
      </c>
    </row>
    <row r="371" spans="1:72" x14ac:dyDescent="0.35">
      <c r="A371" s="5">
        <v>370</v>
      </c>
      <c r="B371" s="5"/>
      <c r="C371" s="5" t="s">
        <v>78</v>
      </c>
      <c r="D371" s="5">
        <v>17</v>
      </c>
      <c r="E371" s="5">
        <v>19</v>
      </c>
      <c r="F371" s="8"/>
      <c r="G371" s="8"/>
      <c r="H371" s="5"/>
      <c r="I371" s="5" t="e" cm="1">
        <f t="array" ref="I371">_xlfn.IFS(
  H371="Mahuva", "Mahuva",
  H371="Jesar", "Mahuva",
  H371="Palitana", "Palitana",
  H371="Gariyadhar", "Palitana",
  H371="Talaja", "Talaja",
  H371="Vallabhipur", "Vallabhipur",
  H371="Umrala", "Vallabhipur",
  H371="Shihor", "Shihor",
  H371="Ghogha", "Bhavnagar",
  H371="Bhavnagar", "Bhavnagar"
)</f>
        <v>#N/A</v>
      </c>
      <c r="J371" s="5"/>
      <c r="K371" s="5"/>
      <c r="M371" s="5"/>
      <c r="N371" s="7">
        <v>45903</v>
      </c>
      <c r="O371" s="7">
        <v>45915</v>
      </c>
      <c r="P371" s="7">
        <v>45916</v>
      </c>
      <c r="Q371" s="7">
        <f t="shared" si="66"/>
        <v>46035</v>
      </c>
      <c r="S371" s="33"/>
      <c r="U371" s="10"/>
      <c r="V371" s="10" t="str">
        <f t="shared" si="67"/>
        <v>Equals</v>
      </c>
      <c r="W371" s="11" t="str" cm="1">
        <f t="array" ref="W371">NumberToWords(T371)</f>
        <v>Zero Rupees Only</v>
      </c>
      <c r="X371" s="10" t="str">
        <f t="shared" si="68"/>
        <v>Division</v>
      </c>
      <c r="Z371" s="9">
        <f t="shared" si="69"/>
        <v>0</v>
      </c>
      <c r="AB371" s="8">
        <f>_xlfn.XLOOKUP(AA371, 'Agency List'!A$2:A$145, 'Agency List'!B$2:B$145, "Not Found")</f>
        <v>0</v>
      </c>
      <c r="AC371" s="8">
        <f>_xlfn.XLOOKUP(AA371, 'Agency List'!A$2:A$145, 'Agency List'!C$2:C$145, "Not Found")</f>
        <v>0</v>
      </c>
      <c r="AD371" s="8">
        <f>_xlfn.XLOOKUP(AA371, 'Agency List'!A$2:A$145, 'Agency List'!D$2:D$145, "Not Found")</f>
        <v>0</v>
      </c>
      <c r="AE371" s="7"/>
      <c r="AF371" s="5"/>
      <c r="AG371" s="5" t="str">
        <f t="shared" si="70"/>
        <v>Bandhkam</v>
      </c>
      <c r="AH371" s="5"/>
      <c r="AI371" s="8"/>
      <c r="AJ371" s="8"/>
      <c r="AL371" s="16"/>
      <c r="AM371" s="12">
        <f t="shared" si="71"/>
        <v>0</v>
      </c>
      <c r="AN371" s="7">
        <f t="shared" si="72"/>
        <v>450</v>
      </c>
      <c r="AO371" s="12">
        <f t="shared" si="73"/>
        <v>0</v>
      </c>
      <c r="AP371" s="12">
        <f t="shared" si="74"/>
        <v>0</v>
      </c>
      <c r="AQ371" s="15">
        <f t="shared" si="75"/>
        <v>35</v>
      </c>
      <c r="AR371" s="7">
        <f t="shared" si="76"/>
        <v>390</v>
      </c>
      <c r="AS371" s="5"/>
      <c r="AU371" s="5"/>
      <c r="AV371" s="17"/>
      <c r="AW371" s="17"/>
      <c r="AX371" s="5"/>
      <c r="AY371" s="5"/>
      <c r="AZ371" s="13"/>
      <c r="BA371" s="12"/>
      <c r="BB371" s="7"/>
      <c r="BC371" s="14"/>
      <c r="BD371" s="14"/>
      <c r="BF371" s="12"/>
      <c r="BG371" s="14"/>
      <c r="BH371" s="19"/>
      <c r="BI371" s="5"/>
      <c r="BM371" s="18"/>
      <c r="BN371" s="18"/>
      <c r="BO371" s="18"/>
      <c r="BP371" s="18"/>
      <c r="BQ371" s="5"/>
      <c r="BR371" s="18"/>
      <c r="BS371" s="18"/>
      <c r="BT371" s="35">
        <f>EDATE(BH371,AL371)-1</f>
        <v>-1</v>
      </c>
    </row>
    <row r="372" spans="1:72" ht="58" x14ac:dyDescent="0.35">
      <c r="A372" s="5">
        <v>371</v>
      </c>
      <c r="B372" s="5"/>
      <c r="C372" s="5" t="s">
        <v>78</v>
      </c>
      <c r="D372" s="5">
        <v>17</v>
      </c>
      <c r="E372" s="5">
        <v>20</v>
      </c>
      <c r="F372" s="8" t="s">
        <v>782</v>
      </c>
      <c r="G372" s="8"/>
      <c r="H372" s="5" t="s">
        <v>12</v>
      </c>
      <c r="I372" s="5" t="str" cm="1">
        <f t="array" ref="I372">_xlfn.IFS(
  H372="Mahuva", "Mahuva",
  H372="Jesar", "Mahuva",
  H372="Palitana", "Palitana",
  H372="Gariyadhar", "Palitana",
  H372="Talaja", "Talaja",
  H372="Vallabhipur", "Vallabhipur",
  H372="Umrala", "Vallabhipur",
  H372="Shihor", "Shihor",
  H372="Ghogha", "Bhavnagar",
  H372="Bhavnagar", "Bhavnagar"
)</f>
        <v>Mahuva</v>
      </c>
      <c r="J372" s="5" t="s">
        <v>256</v>
      </c>
      <c r="K372" s="5" t="s">
        <v>624</v>
      </c>
      <c r="L372" s="5">
        <v>221249</v>
      </c>
      <c r="M372" s="5">
        <v>5</v>
      </c>
      <c r="N372" s="7">
        <v>45903</v>
      </c>
      <c r="O372" s="7">
        <v>45915</v>
      </c>
      <c r="P372" s="7">
        <v>45916</v>
      </c>
      <c r="Q372" s="7">
        <f t="shared" si="66"/>
        <v>46035</v>
      </c>
      <c r="R372" s="9">
        <v>1024912.96</v>
      </c>
      <c r="S372" s="33"/>
      <c r="T372" s="9">
        <v>961163.37</v>
      </c>
      <c r="U372" s="10">
        <v>-6.22</v>
      </c>
      <c r="V372" s="10" t="str">
        <f t="shared" si="67"/>
        <v>Below</v>
      </c>
      <c r="W372" s="11" t="str" cm="1">
        <f t="array" ref="W372">NumberToWords(T372)</f>
        <v>Nine Lakh Sixty One Thousand One Hundred Sixty Three Rupees and Thirty Seven Paise Only</v>
      </c>
      <c r="X372" s="10" t="str">
        <f t="shared" si="68"/>
        <v>Division</v>
      </c>
      <c r="Z372" s="9">
        <f t="shared" si="69"/>
        <v>961163.37</v>
      </c>
      <c r="AA372" s="5" t="s">
        <v>413</v>
      </c>
      <c r="AB372" s="8">
        <f>_xlfn.XLOOKUP(AA372, 'Agency List'!A$2:A$145, 'Agency List'!B$2:B$145, "Not Found")</f>
        <v>0</v>
      </c>
      <c r="AC372" s="8" t="str">
        <f>_xlfn.XLOOKUP(AA372, 'Agency List'!A$2:A$145, 'Agency List'!C$2:C$145, "Not Found")</f>
        <v xml:space="preserve">F-8, 1st Floor, Radhe City Center, Bapa Sitaram Chowk, Talaja, Dist. Bhavnagar
</v>
      </c>
      <c r="AD372" s="8">
        <f>_xlfn.XLOOKUP(AA372, 'Agency List'!A$2:A$145, 'Agency List'!D$2:D$145, "Not Found")</f>
        <v>7984290006</v>
      </c>
      <c r="AE372" s="7"/>
      <c r="AF372" s="5"/>
      <c r="AG372" s="5" t="str">
        <f t="shared" si="70"/>
        <v>Bandhkam</v>
      </c>
      <c r="AH372" s="5"/>
      <c r="AI372" s="8"/>
      <c r="AJ372" s="8"/>
      <c r="AL372" s="16">
        <v>3</v>
      </c>
      <c r="AM372" s="12">
        <f t="shared" si="71"/>
        <v>49000</v>
      </c>
      <c r="AN372" s="7">
        <f t="shared" si="72"/>
        <v>46502</v>
      </c>
      <c r="AO372" s="12">
        <f t="shared" si="73"/>
        <v>2500</v>
      </c>
      <c r="AP372" s="12">
        <f t="shared" si="74"/>
        <v>0</v>
      </c>
      <c r="AQ372" s="15">
        <f t="shared" si="75"/>
        <v>46087</v>
      </c>
      <c r="AR372" s="7">
        <f t="shared" si="76"/>
        <v>46442</v>
      </c>
      <c r="AS372" s="5">
        <v>1413</v>
      </c>
      <c r="AT372" s="7">
        <v>45933</v>
      </c>
      <c r="AU372" s="5"/>
      <c r="AV372" s="17"/>
      <c r="AW372" s="17"/>
      <c r="AX372" s="5"/>
      <c r="AY372" s="5"/>
      <c r="AZ372" s="13"/>
      <c r="BA372" s="12"/>
      <c r="BB372" s="7"/>
      <c r="BC372" s="14"/>
      <c r="BD372" s="14"/>
      <c r="BF372" s="12"/>
      <c r="BG372" s="14"/>
      <c r="BH372" s="19">
        <v>45962</v>
      </c>
      <c r="BI372" s="5"/>
      <c r="BK372" s="5">
        <v>1784</v>
      </c>
      <c r="BL372" s="7">
        <v>46011</v>
      </c>
      <c r="BM372" s="18"/>
      <c r="BN372" s="18"/>
      <c r="BO372" s="18"/>
      <c r="BP372" s="18"/>
      <c r="BQ372" s="5"/>
      <c r="BR372" s="18"/>
      <c r="BS372" s="18"/>
      <c r="BT372" s="35">
        <f>BH372+AL372*30</f>
        <v>46052</v>
      </c>
    </row>
    <row r="373" spans="1:72" ht="58" x14ac:dyDescent="0.35">
      <c r="A373" s="5">
        <v>372</v>
      </c>
      <c r="B373" s="5"/>
      <c r="C373" s="5" t="s">
        <v>78</v>
      </c>
      <c r="D373" s="5">
        <v>17</v>
      </c>
      <c r="E373" s="5">
        <v>21</v>
      </c>
      <c r="F373" s="8" t="s">
        <v>783</v>
      </c>
      <c r="G373" s="8"/>
      <c r="H373" s="5" t="s">
        <v>13</v>
      </c>
      <c r="I373" s="5" t="str" cm="1">
        <f t="array" ref="I373">_xlfn.IFS(
  H373="Mahuva", "Mahuva",
  H373="Jesar", "Mahuva",
  H373="Palitana", "Palitana",
  H373="Gariyadhar", "Palitana",
  H373="Talaja", "Talaja",
  H373="Vallabhipur", "Vallabhipur",
  H373="Umrala", "Vallabhipur",
  H373="Shihor", "Shihor",
  H373="Ghogha", "Bhavnagar",
  H373="Bhavnagar", "Bhavnagar"
)</f>
        <v>Shihor</v>
      </c>
      <c r="J373" s="5" t="s">
        <v>21</v>
      </c>
      <c r="K373" s="5"/>
      <c r="L373" s="5">
        <v>221654</v>
      </c>
      <c r="M373" s="5">
        <v>1</v>
      </c>
      <c r="N373" s="7">
        <v>45903</v>
      </c>
      <c r="O373" s="7">
        <v>45915</v>
      </c>
      <c r="P373" s="7">
        <v>45916</v>
      </c>
      <c r="Q373" s="7">
        <f t="shared" si="66"/>
        <v>46035</v>
      </c>
      <c r="R373" s="9">
        <v>12537845.210000001</v>
      </c>
      <c r="S373" s="33"/>
      <c r="T373" s="9">
        <v>10843982.32</v>
      </c>
      <c r="U373" s="10">
        <v>-13.51</v>
      </c>
      <c r="V373" s="10" t="str">
        <f t="shared" si="67"/>
        <v>Below</v>
      </c>
      <c r="W373" s="11" t="str" cm="1">
        <f t="array" ref="W373">NumberToWords(T373)</f>
        <v>One Crore Eight Lakh Forty Three Thousand Nine Hundred Eighty Two Rupees and Thirty Two Paise Only</v>
      </c>
      <c r="X373" s="10" t="str">
        <f t="shared" si="68"/>
        <v>Circle</v>
      </c>
      <c r="Z373" s="9">
        <f t="shared" si="69"/>
        <v>10843982.32</v>
      </c>
      <c r="AA373" s="5" t="s">
        <v>219</v>
      </c>
      <c r="AB373" s="8" t="str">
        <f>_xlfn.XLOOKUP(AA373, 'Agency List'!A$2:A$145, 'Agency List'!B$2:B$145, "Not Found")</f>
        <v>RANJITBHAI BAHADURBHAI VALA</v>
      </c>
      <c r="AC373" s="8" t="str">
        <f>_xlfn.XLOOKUP(AA373, 'Agency List'!A$2:A$145, 'Agency List'!C$2:C$145, "Not Found")</f>
        <v>101, SHREEEJI ANAND CORNER, NEAR HDFC BANK, TOWER ROAD, PARA, Dist. BOTAD -364710</v>
      </c>
      <c r="AD373" s="8">
        <f>_xlfn.XLOOKUP(AA373, 'Agency List'!A$2:A$145, 'Agency List'!D$2:D$145, "Not Found")</f>
        <v>9925448406</v>
      </c>
      <c r="AE373" s="7">
        <v>45924</v>
      </c>
      <c r="AF373" s="5" t="s">
        <v>821</v>
      </c>
      <c r="AG373" s="5" t="str">
        <f t="shared" si="70"/>
        <v>NA</v>
      </c>
      <c r="AH373" s="55"/>
      <c r="AI373" s="49" t="s">
        <v>69</v>
      </c>
      <c r="AJ373" s="20" t="s">
        <v>787</v>
      </c>
      <c r="AK373" s="7">
        <v>45903</v>
      </c>
      <c r="AL373" s="16">
        <v>6</v>
      </c>
      <c r="AM373" s="12">
        <f t="shared" si="71"/>
        <v>543000</v>
      </c>
      <c r="AN373" s="7">
        <f t="shared" si="72"/>
        <v>47402</v>
      </c>
      <c r="AO373" s="12">
        <f t="shared" si="73"/>
        <v>31000</v>
      </c>
      <c r="AP373" s="12">
        <f t="shared" si="74"/>
        <v>89000</v>
      </c>
      <c r="AQ373" s="15">
        <f t="shared" si="75"/>
        <v>46267</v>
      </c>
      <c r="AR373" s="7">
        <f t="shared" si="76"/>
        <v>47342</v>
      </c>
      <c r="AS373" s="5">
        <v>1514</v>
      </c>
      <c r="AT373" s="7">
        <v>45972</v>
      </c>
      <c r="AU373" s="5" t="s">
        <v>78</v>
      </c>
      <c r="AV373" s="17">
        <v>298</v>
      </c>
      <c r="AW373" s="37">
        <v>46052</v>
      </c>
      <c r="AX373" s="5" t="s">
        <v>355</v>
      </c>
      <c r="AY373" s="5" t="s">
        <v>369</v>
      </c>
      <c r="AZ373" s="13">
        <v>44863324903</v>
      </c>
      <c r="BA373" s="12">
        <v>543000</v>
      </c>
      <c r="BB373" s="7">
        <v>46050</v>
      </c>
      <c r="BC373" s="5" t="s">
        <v>355</v>
      </c>
      <c r="BD373" s="5" t="s">
        <v>369</v>
      </c>
      <c r="BE373" s="13">
        <v>44869444000</v>
      </c>
      <c r="BF373" s="12">
        <v>89000</v>
      </c>
      <c r="BG373" s="7">
        <v>46052</v>
      </c>
      <c r="BH373" s="19">
        <v>46052</v>
      </c>
      <c r="BI373" s="5">
        <v>116</v>
      </c>
      <c r="BJ373" s="19">
        <v>46052</v>
      </c>
      <c r="BK373" s="5">
        <v>1778</v>
      </c>
      <c r="BL373" s="7">
        <v>46011</v>
      </c>
      <c r="BM373" s="18"/>
      <c r="BN373" s="18"/>
      <c r="BO373" s="18"/>
      <c r="BP373" s="18"/>
      <c r="BQ373" s="5"/>
      <c r="BR373" s="18"/>
      <c r="BS373" s="18"/>
      <c r="BT373" s="35">
        <f t="shared" ref="BT373:BT378" si="79">EDATE(BH373,AL373)-1</f>
        <v>46232</v>
      </c>
    </row>
    <row r="374" spans="1:72" x14ac:dyDescent="0.35">
      <c r="A374" s="5">
        <v>373</v>
      </c>
      <c r="B374" s="5"/>
      <c r="C374" s="5" t="s">
        <v>78</v>
      </c>
      <c r="D374" s="5">
        <v>17</v>
      </c>
      <c r="E374" s="5">
        <v>22</v>
      </c>
      <c r="F374" s="8"/>
      <c r="G374" s="8"/>
      <c r="H374" s="5"/>
      <c r="I374" s="5" t="e" cm="1">
        <f t="array" ref="I374">_xlfn.IFS(
  H374="Mahuva", "Mahuva",
  H374="Jesar", "Mahuva",
  H374="Palitana", "Palitana",
  H374="Gariyadhar", "Palitana",
  H374="Talaja", "Talaja",
  H374="Vallabhipur", "Vallabhipur",
  H374="Umrala", "Vallabhipur",
  H374="Shihor", "Shihor",
  H374="Ghogha", "Bhavnagar",
  H374="Bhavnagar", "Bhavnagar"
)</f>
        <v>#N/A</v>
      </c>
      <c r="J374" s="5"/>
      <c r="K374" s="5"/>
      <c r="M374" s="5"/>
      <c r="N374" s="7">
        <v>45903</v>
      </c>
      <c r="O374" s="7">
        <v>45915</v>
      </c>
      <c r="P374" s="7">
        <v>45916</v>
      </c>
      <c r="Q374" s="7">
        <f t="shared" si="66"/>
        <v>46035</v>
      </c>
      <c r="S374" s="33"/>
      <c r="U374" s="10"/>
      <c r="V374" s="10" t="str">
        <f t="shared" si="67"/>
        <v>Equals</v>
      </c>
      <c r="W374" s="11" t="str" cm="1">
        <f t="array" ref="W374">NumberToWords(T374)</f>
        <v>Zero Rupees Only</v>
      </c>
      <c r="X374" s="10" t="str">
        <f t="shared" si="68"/>
        <v>Division</v>
      </c>
      <c r="Z374" s="9">
        <f t="shared" si="69"/>
        <v>0</v>
      </c>
      <c r="AB374" s="8">
        <f>_xlfn.XLOOKUP(AA374, 'Agency List'!A$2:A$145, 'Agency List'!B$2:B$145, "Not Found")</f>
        <v>0</v>
      </c>
      <c r="AC374" s="8">
        <f>_xlfn.XLOOKUP(AA374, 'Agency List'!A$2:A$145, 'Agency List'!C$2:C$145, "Not Found")</f>
        <v>0</v>
      </c>
      <c r="AD374" s="8">
        <f>_xlfn.XLOOKUP(AA374, 'Agency List'!A$2:A$145, 'Agency List'!D$2:D$145, "Not Found")</f>
        <v>0</v>
      </c>
      <c r="AE374" s="7"/>
      <c r="AF374" s="5"/>
      <c r="AG374" s="5" t="str">
        <f t="shared" si="70"/>
        <v>Bandhkam</v>
      </c>
      <c r="AH374" s="5"/>
      <c r="AI374" s="8"/>
      <c r="AJ374" s="8"/>
      <c r="AL374" s="16"/>
      <c r="AM374" s="12">
        <f t="shared" si="71"/>
        <v>0</v>
      </c>
      <c r="AN374" s="7">
        <f t="shared" si="72"/>
        <v>450</v>
      </c>
      <c r="AO374" s="12">
        <f t="shared" si="73"/>
        <v>0</v>
      </c>
      <c r="AP374" s="12">
        <f t="shared" si="74"/>
        <v>0</v>
      </c>
      <c r="AQ374" s="15">
        <f t="shared" si="75"/>
        <v>35</v>
      </c>
      <c r="AR374" s="7">
        <f t="shared" si="76"/>
        <v>390</v>
      </c>
      <c r="AS374" s="5"/>
      <c r="AU374" s="5"/>
      <c r="AV374" s="17"/>
      <c r="AW374" s="17"/>
      <c r="AX374" s="5"/>
      <c r="AY374" s="5"/>
      <c r="AZ374" s="13"/>
      <c r="BA374" s="12"/>
      <c r="BB374" s="7"/>
      <c r="BC374" s="14"/>
      <c r="BD374" s="14"/>
      <c r="BF374" s="12"/>
      <c r="BG374" s="14"/>
      <c r="BH374" s="19"/>
      <c r="BI374" s="5"/>
      <c r="BM374" s="18"/>
      <c r="BN374" s="18"/>
      <c r="BO374" s="18"/>
      <c r="BP374" s="18"/>
      <c r="BQ374" s="5"/>
      <c r="BR374" s="18"/>
      <c r="BS374" s="18"/>
      <c r="BT374" s="35">
        <f t="shared" si="79"/>
        <v>-1</v>
      </c>
    </row>
    <row r="375" spans="1:72" x14ac:dyDescent="0.35">
      <c r="A375" s="5">
        <v>374</v>
      </c>
      <c r="B375" s="5"/>
      <c r="C375" s="5" t="s">
        <v>78</v>
      </c>
      <c r="D375" s="5">
        <v>17</v>
      </c>
      <c r="E375" s="5">
        <v>23</v>
      </c>
      <c r="F375" s="8"/>
      <c r="G375" s="8"/>
      <c r="H375" s="5"/>
      <c r="I375" s="5" t="e" cm="1">
        <f t="array" ref="I375">_xlfn.IFS(
  H375="Mahuva", "Mahuva",
  H375="Jesar", "Mahuva",
  H375="Palitana", "Palitana",
  H375="Gariyadhar", "Palitana",
  H375="Talaja", "Talaja",
  H375="Vallabhipur", "Vallabhipur",
  H375="Umrala", "Vallabhipur",
  H375="Shihor", "Shihor",
  H375="Ghogha", "Bhavnagar",
  H375="Bhavnagar", "Bhavnagar"
)</f>
        <v>#N/A</v>
      </c>
      <c r="J375" s="5"/>
      <c r="K375" s="5"/>
      <c r="M375" s="5"/>
      <c r="N375" s="7">
        <v>45903</v>
      </c>
      <c r="O375" s="7">
        <v>45915</v>
      </c>
      <c r="P375" s="7">
        <v>45916</v>
      </c>
      <c r="Q375" s="7">
        <f t="shared" si="66"/>
        <v>46035</v>
      </c>
      <c r="S375" s="33"/>
      <c r="U375" s="10"/>
      <c r="V375" s="10" t="str">
        <f t="shared" si="67"/>
        <v>Equals</v>
      </c>
      <c r="W375" s="11" t="str" cm="1">
        <f t="array" ref="W375">NumberToWords(T375)</f>
        <v>Zero Rupees Only</v>
      </c>
      <c r="X375" s="10" t="str">
        <f t="shared" si="68"/>
        <v>Division</v>
      </c>
      <c r="Z375" s="9">
        <f t="shared" si="69"/>
        <v>0</v>
      </c>
      <c r="AB375" s="8">
        <f>_xlfn.XLOOKUP(AA375, 'Agency List'!A$2:A$145, 'Agency List'!B$2:B$145, "Not Found")</f>
        <v>0</v>
      </c>
      <c r="AC375" s="8">
        <f>_xlfn.XLOOKUP(AA375, 'Agency List'!A$2:A$145, 'Agency List'!C$2:C$145, "Not Found")</f>
        <v>0</v>
      </c>
      <c r="AD375" s="8">
        <f>_xlfn.XLOOKUP(AA375, 'Agency List'!A$2:A$145, 'Agency List'!D$2:D$145, "Not Found")</f>
        <v>0</v>
      </c>
      <c r="AE375" s="7"/>
      <c r="AF375" s="5"/>
      <c r="AG375" s="5" t="str">
        <f t="shared" si="70"/>
        <v>Bandhkam</v>
      </c>
      <c r="AH375" s="5"/>
      <c r="AI375" s="8"/>
      <c r="AJ375" s="8"/>
      <c r="AL375" s="16"/>
      <c r="AM375" s="12">
        <f t="shared" si="71"/>
        <v>0</v>
      </c>
      <c r="AN375" s="7">
        <f t="shared" si="72"/>
        <v>450</v>
      </c>
      <c r="AO375" s="12">
        <f t="shared" si="73"/>
        <v>0</v>
      </c>
      <c r="AP375" s="12">
        <f t="shared" si="74"/>
        <v>0</v>
      </c>
      <c r="AQ375" s="15">
        <f t="shared" si="75"/>
        <v>35</v>
      </c>
      <c r="AR375" s="7">
        <f t="shared" si="76"/>
        <v>390</v>
      </c>
      <c r="AS375" s="5"/>
      <c r="AU375" s="5"/>
      <c r="AV375" s="17"/>
      <c r="AW375" s="17"/>
      <c r="AX375" s="5"/>
      <c r="AY375" s="5"/>
      <c r="AZ375" s="13"/>
      <c r="BA375" s="12"/>
      <c r="BB375" s="7"/>
      <c r="BC375" s="14"/>
      <c r="BD375" s="14"/>
      <c r="BF375" s="12"/>
      <c r="BG375" s="14"/>
      <c r="BH375" s="19"/>
      <c r="BI375" s="5"/>
      <c r="BM375" s="18"/>
      <c r="BN375" s="18"/>
      <c r="BO375" s="18"/>
      <c r="BP375" s="18"/>
      <c r="BQ375" s="5"/>
      <c r="BR375" s="18"/>
      <c r="BS375" s="18"/>
      <c r="BT375" s="35">
        <f t="shared" si="79"/>
        <v>-1</v>
      </c>
    </row>
    <row r="376" spans="1:72" x14ac:dyDescent="0.35">
      <c r="A376" s="5">
        <v>375</v>
      </c>
      <c r="B376" s="5"/>
      <c r="C376" s="5" t="s">
        <v>78</v>
      </c>
      <c r="D376" s="5">
        <v>17</v>
      </c>
      <c r="E376" s="5">
        <v>24</v>
      </c>
      <c r="F376" s="8"/>
      <c r="G376" s="8"/>
      <c r="H376" s="5"/>
      <c r="I376" s="5" t="e" cm="1">
        <f t="array" ref="I376">_xlfn.IFS(
  H376="Mahuva", "Mahuva",
  H376="Jesar", "Mahuva",
  H376="Palitana", "Palitana",
  H376="Gariyadhar", "Palitana",
  H376="Talaja", "Talaja",
  H376="Vallabhipur", "Vallabhipur",
  H376="Umrala", "Vallabhipur",
  H376="Shihor", "Shihor",
  H376="Ghogha", "Bhavnagar",
  H376="Bhavnagar", "Bhavnagar"
)</f>
        <v>#N/A</v>
      </c>
      <c r="J376" s="5"/>
      <c r="K376" s="5"/>
      <c r="M376" s="5"/>
      <c r="N376" s="7">
        <v>45903</v>
      </c>
      <c r="O376" s="7">
        <v>45915</v>
      </c>
      <c r="P376" s="7">
        <v>45916</v>
      </c>
      <c r="Q376" s="7">
        <f t="shared" si="66"/>
        <v>46035</v>
      </c>
      <c r="S376" s="33"/>
      <c r="U376" s="10"/>
      <c r="V376" s="10" t="str">
        <f t="shared" si="67"/>
        <v>Equals</v>
      </c>
      <c r="W376" s="11" t="str" cm="1">
        <f t="array" ref="W376">NumberToWords(T376)</f>
        <v>Zero Rupees Only</v>
      </c>
      <c r="X376" s="10" t="str">
        <f t="shared" si="68"/>
        <v>Division</v>
      </c>
      <c r="Z376" s="9">
        <f t="shared" si="69"/>
        <v>0</v>
      </c>
      <c r="AB376" s="8">
        <f>_xlfn.XLOOKUP(AA376, 'Agency List'!A$2:A$145, 'Agency List'!B$2:B$145, "Not Found")</f>
        <v>0</v>
      </c>
      <c r="AC376" s="8">
        <f>_xlfn.XLOOKUP(AA376, 'Agency List'!A$2:A$145, 'Agency List'!C$2:C$145, "Not Found")</f>
        <v>0</v>
      </c>
      <c r="AD376" s="8">
        <f>_xlfn.XLOOKUP(AA376, 'Agency List'!A$2:A$145, 'Agency List'!D$2:D$145, "Not Found")</f>
        <v>0</v>
      </c>
      <c r="AE376" s="7"/>
      <c r="AF376" s="5"/>
      <c r="AG376" s="5" t="str">
        <f t="shared" si="70"/>
        <v>Bandhkam</v>
      </c>
      <c r="AH376" s="5"/>
      <c r="AI376" s="8"/>
      <c r="AJ376" s="8"/>
      <c r="AL376" s="16"/>
      <c r="AM376" s="12">
        <f t="shared" si="71"/>
        <v>0</v>
      </c>
      <c r="AN376" s="7">
        <f t="shared" si="72"/>
        <v>450</v>
      </c>
      <c r="AO376" s="12">
        <f t="shared" si="73"/>
        <v>0</v>
      </c>
      <c r="AP376" s="12">
        <f t="shared" si="74"/>
        <v>0</v>
      </c>
      <c r="AQ376" s="15">
        <f t="shared" si="75"/>
        <v>35</v>
      </c>
      <c r="AR376" s="7">
        <f t="shared" si="76"/>
        <v>390</v>
      </c>
      <c r="AS376" s="5"/>
      <c r="AU376" s="5"/>
      <c r="AV376" s="17"/>
      <c r="AW376" s="17"/>
      <c r="AX376" s="5"/>
      <c r="AY376" s="5"/>
      <c r="AZ376" s="13"/>
      <c r="BA376" s="12"/>
      <c r="BB376" s="7"/>
      <c r="BC376" s="14"/>
      <c r="BD376" s="14"/>
      <c r="BF376" s="12"/>
      <c r="BG376" s="14"/>
      <c r="BH376" s="19"/>
      <c r="BI376" s="5"/>
      <c r="BM376" s="18"/>
      <c r="BN376" s="18"/>
      <c r="BO376" s="18"/>
      <c r="BP376" s="18"/>
      <c r="BQ376" s="5"/>
      <c r="BR376" s="18"/>
      <c r="BS376" s="18"/>
      <c r="BT376" s="35">
        <f t="shared" si="79"/>
        <v>-1</v>
      </c>
    </row>
    <row r="377" spans="1:72" x14ac:dyDescent="0.35">
      <c r="A377" s="5">
        <v>376</v>
      </c>
      <c r="B377" s="5"/>
      <c r="C377" s="5" t="s">
        <v>78</v>
      </c>
      <c r="D377" s="5">
        <v>17</v>
      </c>
      <c r="E377" s="5">
        <v>25</v>
      </c>
      <c r="F377" s="8"/>
      <c r="G377" s="8"/>
      <c r="H377" s="5"/>
      <c r="I377" s="5" t="e" cm="1">
        <f t="array" ref="I377">_xlfn.IFS(
  H377="Mahuva", "Mahuva",
  H377="Jesar", "Mahuva",
  H377="Palitana", "Palitana",
  H377="Gariyadhar", "Palitana",
  H377="Talaja", "Talaja",
  H377="Vallabhipur", "Vallabhipur",
  H377="Umrala", "Vallabhipur",
  H377="Shihor", "Shihor",
  H377="Ghogha", "Bhavnagar",
  H377="Bhavnagar", "Bhavnagar"
)</f>
        <v>#N/A</v>
      </c>
      <c r="J377" s="5"/>
      <c r="K377" s="5"/>
      <c r="M377" s="5"/>
      <c r="N377" s="7">
        <v>45903</v>
      </c>
      <c r="O377" s="7">
        <v>45915</v>
      </c>
      <c r="P377" s="7">
        <v>45916</v>
      </c>
      <c r="Q377" s="7">
        <f t="shared" si="66"/>
        <v>46035</v>
      </c>
      <c r="S377" s="33"/>
      <c r="U377" s="10"/>
      <c r="V377" s="10" t="str">
        <f t="shared" si="67"/>
        <v>Equals</v>
      </c>
      <c r="W377" s="11" t="str" cm="1">
        <f t="array" ref="W377">NumberToWords(T377)</f>
        <v>Zero Rupees Only</v>
      </c>
      <c r="X377" s="10" t="str">
        <f t="shared" si="68"/>
        <v>Division</v>
      </c>
      <c r="Z377" s="9">
        <f t="shared" si="69"/>
        <v>0</v>
      </c>
      <c r="AB377" s="8">
        <f>_xlfn.XLOOKUP(AA377, 'Agency List'!A$2:A$145, 'Agency List'!B$2:B$145, "Not Found")</f>
        <v>0</v>
      </c>
      <c r="AC377" s="8">
        <f>_xlfn.XLOOKUP(AA377, 'Agency List'!A$2:A$145, 'Agency List'!C$2:C$145, "Not Found")</f>
        <v>0</v>
      </c>
      <c r="AD377" s="8">
        <f>_xlfn.XLOOKUP(AA377, 'Agency List'!A$2:A$145, 'Agency List'!D$2:D$145, "Not Found")</f>
        <v>0</v>
      </c>
      <c r="AE377" s="7"/>
      <c r="AF377" s="5"/>
      <c r="AG377" s="5" t="str">
        <f t="shared" si="70"/>
        <v>Bandhkam</v>
      </c>
      <c r="AH377" s="5"/>
      <c r="AI377" s="8"/>
      <c r="AJ377" s="8"/>
      <c r="AL377" s="16"/>
      <c r="AM377" s="12">
        <f t="shared" si="71"/>
        <v>0</v>
      </c>
      <c r="AN377" s="7">
        <f t="shared" si="72"/>
        <v>450</v>
      </c>
      <c r="AO377" s="12">
        <f t="shared" si="73"/>
        <v>0</v>
      </c>
      <c r="AP377" s="12">
        <f t="shared" si="74"/>
        <v>0</v>
      </c>
      <c r="AQ377" s="15">
        <f t="shared" si="75"/>
        <v>35</v>
      </c>
      <c r="AR377" s="7">
        <f t="shared" si="76"/>
        <v>390</v>
      </c>
      <c r="AS377" s="5"/>
      <c r="AU377" s="5"/>
      <c r="AV377" s="17"/>
      <c r="AW377" s="17"/>
      <c r="AX377" s="5"/>
      <c r="AY377" s="5"/>
      <c r="AZ377" s="13"/>
      <c r="BA377" s="12"/>
      <c r="BB377" s="7"/>
      <c r="BC377" s="14"/>
      <c r="BD377" s="14"/>
      <c r="BF377" s="12"/>
      <c r="BG377" s="14"/>
      <c r="BH377" s="19"/>
      <c r="BI377" s="5"/>
      <c r="BM377" s="18"/>
      <c r="BN377" s="18"/>
      <c r="BO377" s="18"/>
      <c r="BP377" s="18"/>
      <c r="BQ377" s="5"/>
      <c r="BR377" s="18"/>
      <c r="BS377" s="18"/>
      <c r="BT377" s="35">
        <f t="shared" si="79"/>
        <v>-1</v>
      </c>
    </row>
    <row r="378" spans="1:72" x14ac:dyDescent="0.35">
      <c r="A378" s="5">
        <v>377</v>
      </c>
      <c r="B378" s="5"/>
      <c r="C378" s="5" t="s">
        <v>78</v>
      </c>
      <c r="D378" s="5">
        <v>17</v>
      </c>
      <c r="E378" s="5">
        <v>26</v>
      </c>
      <c r="F378" s="8"/>
      <c r="G378" s="8"/>
      <c r="H378" s="5"/>
      <c r="I378" s="5" t="e" cm="1">
        <f t="array" ref="I378">_xlfn.IFS(
  H378="Mahuva", "Mahuva",
  H378="Jesar", "Mahuva",
  H378="Palitana", "Palitana",
  H378="Gariyadhar", "Palitana",
  H378="Talaja", "Talaja",
  H378="Vallabhipur", "Vallabhipur",
  H378="Umrala", "Vallabhipur",
  H378="Shihor", "Shihor",
  H378="Ghogha", "Bhavnagar",
  H378="Bhavnagar", "Bhavnagar"
)</f>
        <v>#N/A</v>
      </c>
      <c r="J378" s="5"/>
      <c r="K378" s="5"/>
      <c r="M378" s="5"/>
      <c r="N378" s="7">
        <v>45903</v>
      </c>
      <c r="O378" s="7">
        <v>45915</v>
      </c>
      <c r="P378" s="7">
        <v>45916</v>
      </c>
      <c r="Q378" s="7">
        <f t="shared" si="66"/>
        <v>46035</v>
      </c>
      <c r="S378" s="33"/>
      <c r="U378" s="10"/>
      <c r="V378" s="10" t="str">
        <f t="shared" si="67"/>
        <v>Equals</v>
      </c>
      <c r="W378" s="11" t="str" cm="1">
        <f t="array" ref="W378">NumberToWords(T378)</f>
        <v>Zero Rupees Only</v>
      </c>
      <c r="X378" s="10" t="str">
        <f t="shared" si="68"/>
        <v>Division</v>
      </c>
      <c r="Z378" s="9">
        <f t="shared" si="69"/>
        <v>0</v>
      </c>
      <c r="AB378" s="8">
        <f>_xlfn.XLOOKUP(AA378, 'Agency List'!A$2:A$145, 'Agency List'!B$2:B$145, "Not Found")</f>
        <v>0</v>
      </c>
      <c r="AC378" s="8">
        <f>_xlfn.XLOOKUP(AA378, 'Agency List'!A$2:A$145, 'Agency List'!C$2:C$145, "Not Found")</f>
        <v>0</v>
      </c>
      <c r="AD378" s="8">
        <f>_xlfn.XLOOKUP(AA378, 'Agency List'!A$2:A$145, 'Agency List'!D$2:D$145, "Not Found")</f>
        <v>0</v>
      </c>
      <c r="AE378" s="7"/>
      <c r="AF378" s="5"/>
      <c r="AG378" s="5" t="str">
        <f t="shared" si="70"/>
        <v>Bandhkam</v>
      </c>
      <c r="AH378" s="5"/>
      <c r="AI378" s="8"/>
      <c r="AJ378" s="8"/>
      <c r="AL378" s="16"/>
      <c r="AM378" s="12">
        <f t="shared" si="71"/>
        <v>0</v>
      </c>
      <c r="AN378" s="7">
        <f t="shared" si="72"/>
        <v>450</v>
      </c>
      <c r="AO378" s="12">
        <f t="shared" si="73"/>
        <v>0</v>
      </c>
      <c r="AP378" s="12">
        <f t="shared" si="74"/>
        <v>0</v>
      </c>
      <c r="AQ378" s="15">
        <f t="shared" si="75"/>
        <v>35</v>
      </c>
      <c r="AR378" s="7">
        <f t="shared" si="76"/>
        <v>390</v>
      </c>
      <c r="AS378" s="5"/>
      <c r="AU378" s="5"/>
      <c r="AV378" s="17"/>
      <c r="AW378" s="17"/>
      <c r="AX378" s="5"/>
      <c r="AY378" s="5"/>
      <c r="AZ378" s="13"/>
      <c r="BA378" s="12"/>
      <c r="BB378" s="7"/>
      <c r="BC378" s="14"/>
      <c r="BD378" s="14"/>
      <c r="BF378" s="12"/>
      <c r="BG378" s="14"/>
      <c r="BH378" s="19"/>
      <c r="BI378" s="5"/>
      <c r="BM378" s="18"/>
      <c r="BN378" s="18"/>
      <c r="BO378" s="18"/>
      <c r="BP378" s="18"/>
      <c r="BQ378" s="5"/>
      <c r="BR378" s="18"/>
      <c r="BS378" s="18"/>
      <c r="BT378" s="35">
        <f t="shared" si="79"/>
        <v>-1</v>
      </c>
    </row>
    <row r="379" spans="1:72" ht="29" x14ac:dyDescent="0.35">
      <c r="A379" s="5">
        <v>378</v>
      </c>
      <c r="B379" s="5"/>
      <c r="C379" s="5" t="s">
        <v>78</v>
      </c>
      <c r="D379" s="5">
        <v>18</v>
      </c>
      <c r="E379" s="5">
        <v>1</v>
      </c>
      <c r="F379" s="8" t="s">
        <v>846</v>
      </c>
      <c r="G379" s="8"/>
      <c r="H379" s="5"/>
      <c r="I379" s="5"/>
      <c r="J379" s="5" t="s">
        <v>907</v>
      </c>
      <c r="K379" s="5"/>
      <c r="L379" s="5">
        <v>220895</v>
      </c>
      <c r="M379" s="5">
        <v>1</v>
      </c>
      <c r="N379" s="7">
        <v>45903</v>
      </c>
      <c r="O379" s="7">
        <v>45915</v>
      </c>
      <c r="P379" s="7">
        <v>45916</v>
      </c>
      <c r="Q379" s="7">
        <f t="shared" si="66"/>
        <v>46035</v>
      </c>
      <c r="R379" s="9">
        <v>0</v>
      </c>
      <c r="S379" s="33" t="s">
        <v>847</v>
      </c>
      <c r="T379" s="9">
        <v>0</v>
      </c>
      <c r="U379" s="10">
        <v>0</v>
      </c>
      <c r="V379" s="10" t="str">
        <f t="shared" si="67"/>
        <v>Equals</v>
      </c>
      <c r="W379" s="11" t="str" cm="1">
        <f t="array" ref="W379">NumberToWords(T379)</f>
        <v>Zero Rupees Only</v>
      </c>
      <c r="X379" s="10" t="str">
        <f t="shared" si="68"/>
        <v>Division</v>
      </c>
      <c r="Z379" s="9">
        <f t="shared" si="69"/>
        <v>0</v>
      </c>
      <c r="AB379" s="8">
        <f>_xlfn.XLOOKUP(AA379, 'Agency List'!A$2:A$145, 'Agency List'!B$2:B$145, "Not Found")</f>
        <v>0</v>
      </c>
      <c r="AC379" s="8">
        <f>_xlfn.XLOOKUP(AA379, 'Agency List'!A$2:A$145, 'Agency List'!C$2:C$145, "Not Found")</f>
        <v>0</v>
      </c>
      <c r="AD379" s="8">
        <f>_xlfn.XLOOKUP(AA379, 'Agency List'!A$2:A$145, 'Agency List'!D$2:D$145, "Not Found")</f>
        <v>0</v>
      </c>
      <c r="AE379" s="7"/>
      <c r="AF379" s="5"/>
      <c r="AG379" s="5" t="str">
        <f t="shared" si="70"/>
        <v>Bandhkam</v>
      </c>
      <c r="AH379" s="5"/>
      <c r="AI379" s="8"/>
      <c r="AJ379" s="8"/>
      <c r="AL379" s="16">
        <v>12</v>
      </c>
      <c r="AM379" s="12">
        <f t="shared" si="71"/>
        <v>0</v>
      </c>
      <c r="AN379" s="7">
        <f t="shared" si="72"/>
        <v>810</v>
      </c>
      <c r="AO379" s="12">
        <f t="shared" si="73"/>
        <v>0</v>
      </c>
      <c r="AP379" s="12">
        <f t="shared" si="74"/>
        <v>0</v>
      </c>
      <c r="AQ379" s="15">
        <f t="shared" si="75"/>
        <v>395</v>
      </c>
      <c r="AR379" s="7">
        <f t="shared" si="76"/>
        <v>750</v>
      </c>
      <c r="AS379" s="5"/>
      <c r="AU379" s="5"/>
      <c r="AV379" s="17"/>
      <c r="AW379" s="17"/>
      <c r="AX379" s="5"/>
      <c r="AY379" s="5"/>
      <c r="AZ379" s="13"/>
      <c r="BA379" s="12"/>
      <c r="BB379" s="7"/>
      <c r="BC379" s="14"/>
      <c r="BD379" s="14"/>
      <c r="BF379" s="12"/>
      <c r="BG379" s="14"/>
      <c r="BH379" s="19"/>
      <c r="BI379" s="5"/>
      <c r="BM379" s="18"/>
      <c r="BN379" s="18"/>
      <c r="BO379" s="18"/>
      <c r="BP379" s="18"/>
      <c r="BQ379" s="5"/>
      <c r="BR379" s="18"/>
      <c r="BS379" s="18"/>
      <c r="BT379" s="35">
        <f t="shared" ref="BT379:BT385" si="80">BH379+AL379*30</f>
        <v>360</v>
      </c>
    </row>
    <row r="380" spans="1:72" ht="58" x14ac:dyDescent="0.35">
      <c r="A380" s="5">
        <v>379</v>
      </c>
      <c r="B380" s="5"/>
      <c r="C380" s="5" t="s">
        <v>78</v>
      </c>
      <c r="D380" s="5">
        <v>19</v>
      </c>
      <c r="E380" s="5">
        <v>1</v>
      </c>
      <c r="F380" s="8" t="s">
        <v>851</v>
      </c>
      <c r="G380" s="8"/>
      <c r="H380" s="5"/>
      <c r="I380" s="5" t="e" cm="1">
        <f t="array" ref="I380">_xlfn.IFS(
  H380="Mahuva", "Mahuva",
  H380="Jesar", "Mahuva",
  H380="Palitana", "Palitana",
  H380="Gariyadhar", "Palitana",
  H380="Talaja", "Talaja",
  H380="Vallabhipur", "Vallabhipur",
  H380="Umrala", "Vallabhipur",
  H380="Shihor", "Shihor",
  H380="Ghogha", "Bhavnagar",
  H380="Bhavnagar", "Bhavnagar"
)</f>
        <v>#N/A</v>
      </c>
      <c r="J380" s="5" t="s">
        <v>907</v>
      </c>
      <c r="K380" s="5"/>
      <c r="L380" s="5">
        <v>220914</v>
      </c>
      <c r="M380" s="5">
        <v>1</v>
      </c>
      <c r="N380" s="7">
        <v>45903</v>
      </c>
      <c r="Q380" s="7">
        <f t="shared" si="66"/>
        <v>120</v>
      </c>
      <c r="S380" s="33"/>
      <c r="U380" s="10"/>
      <c r="V380" s="10" t="str">
        <f t="shared" si="67"/>
        <v>Equals</v>
      </c>
      <c r="W380" s="11" t="str" cm="1">
        <f t="array" ref="W380">NumberToWords(T380)</f>
        <v>Zero Rupees Only</v>
      </c>
      <c r="X380" s="10" t="str">
        <f t="shared" si="68"/>
        <v>Division</v>
      </c>
      <c r="Z380" s="9">
        <f t="shared" si="69"/>
        <v>0</v>
      </c>
      <c r="AB380" s="8">
        <f>_xlfn.XLOOKUP(AA380, 'Agency List'!A$2:A$145, 'Agency List'!B$2:B$145, "Not Found")</f>
        <v>0</v>
      </c>
      <c r="AC380" s="8">
        <f>_xlfn.XLOOKUP(AA380, 'Agency List'!A$2:A$145, 'Agency List'!C$2:C$145, "Not Found")</f>
        <v>0</v>
      </c>
      <c r="AD380" s="8">
        <f>_xlfn.XLOOKUP(AA380, 'Agency List'!A$2:A$145, 'Agency List'!D$2:D$145, "Not Found")</f>
        <v>0</v>
      </c>
      <c r="AE380" s="7"/>
      <c r="AF380" s="5"/>
      <c r="AG380" s="5" t="str">
        <f t="shared" si="70"/>
        <v>Bandhkam</v>
      </c>
      <c r="AH380" s="5"/>
      <c r="AI380" s="8"/>
      <c r="AJ380" s="8"/>
      <c r="AL380" s="16"/>
      <c r="AM380" s="12">
        <f t="shared" si="71"/>
        <v>0</v>
      </c>
      <c r="AN380" s="7">
        <f t="shared" si="72"/>
        <v>450</v>
      </c>
      <c r="AO380" s="12">
        <f t="shared" si="73"/>
        <v>0</v>
      </c>
      <c r="AP380" s="12">
        <f t="shared" si="74"/>
        <v>0</v>
      </c>
      <c r="AQ380" s="15">
        <f t="shared" si="75"/>
        <v>35</v>
      </c>
      <c r="AR380" s="7">
        <f t="shared" si="76"/>
        <v>390</v>
      </c>
      <c r="AS380" s="5"/>
      <c r="AU380" s="5"/>
      <c r="AV380" s="17"/>
      <c r="AW380" s="17"/>
      <c r="AX380" s="5"/>
      <c r="AY380" s="5"/>
      <c r="AZ380" s="13"/>
      <c r="BA380" s="12"/>
      <c r="BB380" s="7"/>
      <c r="BC380" s="14"/>
      <c r="BD380" s="14"/>
      <c r="BF380" s="12"/>
      <c r="BG380" s="14"/>
      <c r="BH380" s="19"/>
      <c r="BI380" s="5"/>
      <c r="BM380" s="18"/>
      <c r="BN380" s="18"/>
      <c r="BO380" s="18"/>
      <c r="BP380" s="18"/>
      <c r="BQ380" s="5"/>
      <c r="BR380" s="18"/>
      <c r="BS380" s="18"/>
      <c r="BT380" s="35">
        <f t="shared" si="80"/>
        <v>0</v>
      </c>
    </row>
    <row r="381" spans="1:72" ht="58" x14ac:dyDescent="0.35">
      <c r="A381" s="5">
        <v>380</v>
      </c>
      <c r="B381" s="5"/>
      <c r="C381" s="5" t="s">
        <v>78</v>
      </c>
      <c r="D381" s="5">
        <v>19</v>
      </c>
      <c r="E381" s="5">
        <v>2</v>
      </c>
      <c r="F381" s="8" t="s">
        <v>852</v>
      </c>
      <c r="G381" s="8"/>
      <c r="H381" s="5"/>
      <c r="I381" s="5" t="e" cm="1">
        <f t="array" ref="I381">_xlfn.IFS(
  H381="Mahuva", "Mahuva",
  H381="Jesar", "Mahuva",
  H381="Palitana", "Palitana",
  H381="Gariyadhar", "Palitana",
  H381="Talaja", "Talaja",
  H381="Vallabhipur", "Vallabhipur",
  H381="Umrala", "Vallabhipur",
  H381="Shihor", "Shihor",
  H381="Ghogha", "Bhavnagar",
  H381="Bhavnagar", "Bhavnagar"
)</f>
        <v>#N/A</v>
      </c>
      <c r="J381" s="5" t="s">
        <v>907</v>
      </c>
      <c r="K381" s="5"/>
      <c r="L381" s="5">
        <v>220930</v>
      </c>
      <c r="M381" s="5">
        <v>1</v>
      </c>
      <c r="N381" s="7">
        <v>45903</v>
      </c>
      <c r="Q381" s="7">
        <f t="shared" si="66"/>
        <v>120</v>
      </c>
      <c r="S381" s="33"/>
      <c r="U381" s="10"/>
      <c r="V381" s="10" t="str">
        <f t="shared" si="67"/>
        <v>Equals</v>
      </c>
      <c r="W381" s="11" t="str" cm="1">
        <f t="array" ref="W381">NumberToWords(T381)</f>
        <v>Zero Rupees Only</v>
      </c>
      <c r="X381" s="10" t="str">
        <f t="shared" si="68"/>
        <v>Division</v>
      </c>
      <c r="Z381" s="9">
        <f t="shared" si="69"/>
        <v>0</v>
      </c>
      <c r="AB381" s="8">
        <f>_xlfn.XLOOKUP(AA381, 'Agency List'!A$2:A$145, 'Agency List'!B$2:B$145, "Not Found")</f>
        <v>0</v>
      </c>
      <c r="AC381" s="8">
        <f>_xlfn.XLOOKUP(AA381, 'Agency List'!A$2:A$145, 'Agency List'!C$2:C$145, "Not Found")</f>
        <v>0</v>
      </c>
      <c r="AD381" s="8">
        <f>_xlfn.XLOOKUP(AA381, 'Agency List'!A$2:A$145, 'Agency List'!D$2:D$145, "Not Found")</f>
        <v>0</v>
      </c>
      <c r="AE381" s="7"/>
      <c r="AF381" s="5"/>
      <c r="AG381" s="5" t="str">
        <f t="shared" si="70"/>
        <v>Bandhkam</v>
      </c>
      <c r="AH381" s="5"/>
      <c r="AI381" s="8"/>
      <c r="AJ381" s="8"/>
      <c r="AL381" s="16"/>
      <c r="AM381" s="12">
        <f t="shared" si="71"/>
        <v>0</v>
      </c>
      <c r="AN381" s="7">
        <f t="shared" si="72"/>
        <v>450</v>
      </c>
      <c r="AO381" s="12">
        <f t="shared" si="73"/>
        <v>0</v>
      </c>
      <c r="AP381" s="12">
        <f t="shared" si="74"/>
        <v>0</v>
      </c>
      <c r="AQ381" s="15">
        <f t="shared" si="75"/>
        <v>35</v>
      </c>
      <c r="AR381" s="7">
        <f t="shared" si="76"/>
        <v>390</v>
      </c>
      <c r="AS381" s="5"/>
      <c r="AU381" s="5"/>
      <c r="AV381" s="17"/>
      <c r="AW381" s="17"/>
      <c r="AX381" s="5"/>
      <c r="AY381" s="5"/>
      <c r="AZ381" s="13"/>
      <c r="BA381" s="12"/>
      <c r="BB381" s="7"/>
      <c r="BC381" s="14"/>
      <c r="BD381" s="14"/>
      <c r="BF381" s="12"/>
      <c r="BG381" s="14"/>
      <c r="BH381" s="19"/>
      <c r="BI381" s="5"/>
      <c r="BM381" s="18"/>
      <c r="BN381" s="18"/>
      <c r="BO381" s="18"/>
      <c r="BP381" s="18"/>
      <c r="BQ381" s="5"/>
      <c r="BR381" s="18"/>
      <c r="BS381" s="18"/>
      <c r="BT381" s="35">
        <f t="shared" si="80"/>
        <v>0</v>
      </c>
    </row>
    <row r="382" spans="1:72" ht="58" x14ac:dyDescent="0.35">
      <c r="A382" s="5">
        <v>381</v>
      </c>
      <c r="B382" s="5"/>
      <c r="C382" s="5" t="s">
        <v>78</v>
      </c>
      <c r="D382" s="5">
        <v>19</v>
      </c>
      <c r="E382" s="5">
        <v>3</v>
      </c>
      <c r="F382" s="8" t="s">
        <v>853</v>
      </c>
      <c r="G382" s="8"/>
      <c r="H382" s="5"/>
      <c r="I382" s="5" t="e" cm="1">
        <f t="array" ref="I382">_xlfn.IFS(
  H382="Mahuva", "Mahuva",
  H382="Jesar", "Mahuva",
  H382="Palitana", "Palitana",
  H382="Gariyadhar", "Palitana",
  H382="Talaja", "Talaja",
  H382="Vallabhipur", "Vallabhipur",
  H382="Umrala", "Vallabhipur",
  H382="Shihor", "Shihor",
  H382="Ghogha", "Bhavnagar",
  H382="Bhavnagar", "Bhavnagar"
)</f>
        <v>#N/A</v>
      </c>
      <c r="J382" s="5" t="s">
        <v>907</v>
      </c>
      <c r="K382" s="5"/>
      <c r="L382" s="5">
        <v>220932</v>
      </c>
      <c r="M382" s="5">
        <v>1</v>
      </c>
      <c r="N382" s="7">
        <v>45903</v>
      </c>
      <c r="Q382" s="7">
        <f t="shared" si="66"/>
        <v>120</v>
      </c>
      <c r="S382" s="33"/>
      <c r="U382" s="10"/>
      <c r="V382" s="10" t="str">
        <f t="shared" si="67"/>
        <v>Equals</v>
      </c>
      <c r="W382" s="11" t="str" cm="1">
        <f t="array" ref="W382">NumberToWords(T382)</f>
        <v>Zero Rupees Only</v>
      </c>
      <c r="X382" s="10" t="str">
        <f t="shared" si="68"/>
        <v>Division</v>
      </c>
      <c r="Z382" s="9">
        <f t="shared" si="69"/>
        <v>0</v>
      </c>
      <c r="AB382" s="8">
        <f>_xlfn.XLOOKUP(AA382, 'Agency List'!A$2:A$145, 'Agency List'!B$2:B$145, "Not Found")</f>
        <v>0</v>
      </c>
      <c r="AC382" s="8">
        <f>_xlfn.XLOOKUP(AA382, 'Agency List'!A$2:A$145, 'Agency List'!C$2:C$145, "Not Found")</f>
        <v>0</v>
      </c>
      <c r="AD382" s="8">
        <f>_xlfn.XLOOKUP(AA382, 'Agency List'!A$2:A$145, 'Agency List'!D$2:D$145, "Not Found")</f>
        <v>0</v>
      </c>
      <c r="AE382" s="7"/>
      <c r="AF382" s="5"/>
      <c r="AG382" s="5" t="str">
        <f t="shared" si="70"/>
        <v>Bandhkam</v>
      </c>
      <c r="AH382" s="5"/>
      <c r="AI382" s="8"/>
      <c r="AJ382" s="8"/>
      <c r="AL382" s="16"/>
      <c r="AM382" s="12">
        <f t="shared" si="71"/>
        <v>0</v>
      </c>
      <c r="AN382" s="7">
        <f t="shared" si="72"/>
        <v>450</v>
      </c>
      <c r="AO382" s="12">
        <f t="shared" si="73"/>
        <v>0</v>
      </c>
      <c r="AP382" s="12">
        <f t="shared" si="74"/>
        <v>0</v>
      </c>
      <c r="AQ382" s="15">
        <f t="shared" si="75"/>
        <v>35</v>
      </c>
      <c r="AR382" s="7">
        <f t="shared" si="76"/>
        <v>390</v>
      </c>
      <c r="AS382" s="5"/>
      <c r="AU382" s="5"/>
      <c r="AV382" s="17"/>
      <c r="AW382" s="17"/>
      <c r="AX382" s="5"/>
      <c r="AY382" s="5"/>
      <c r="AZ382" s="13"/>
      <c r="BA382" s="12"/>
      <c r="BB382" s="7"/>
      <c r="BC382" s="14"/>
      <c r="BD382" s="14"/>
      <c r="BF382" s="12"/>
      <c r="BG382" s="14"/>
      <c r="BH382" s="19"/>
      <c r="BI382" s="5"/>
      <c r="BM382" s="18"/>
      <c r="BN382" s="18"/>
      <c r="BO382" s="18"/>
      <c r="BP382" s="18"/>
      <c r="BQ382" s="5"/>
      <c r="BR382" s="18"/>
      <c r="BS382" s="18"/>
      <c r="BT382" s="35">
        <f t="shared" si="80"/>
        <v>0</v>
      </c>
    </row>
    <row r="383" spans="1:72" ht="58" x14ac:dyDescent="0.35">
      <c r="A383" s="5">
        <v>382</v>
      </c>
      <c r="B383" s="5"/>
      <c r="C383" s="5" t="s">
        <v>78</v>
      </c>
      <c r="D383" s="5">
        <v>19</v>
      </c>
      <c r="E383" s="5">
        <v>4</v>
      </c>
      <c r="F383" s="8" t="s">
        <v>854</v>
      </c>
      <c r="G383" s="8"/>
      <c r="H383" s="5"/>
      <c r="I383" s="5" t="e" cm="1">
        <f t="array" ref="I383">_xlfn.IFS(
  H383="Mahuva", "Mahuva",
  H383="Jesar", "Mahuva",
  H383="Palitana", "Palitana",
  H383="Gariyadhar", "Palitana",
  H383="Talaja", "Talaja",
  H383="Vallabhipur", "Vallabhipur",
  H383="Umrala", "Vallabhipur",
  H383="Shihor", "Shihor",
  H383="Ghogha", "Bhavnagar",
  H383="Bhavnagar", "Bhavnagar"
)</f>
        <v>#N/A</v>
      </c>
      <c r="J383" s="5" t="s">
        <v>907</v>
      </c>
      <c r="K383" s="5"/>
      <c r="L383" s="5">
        <v>220934</v>
      </c>
      <c r="M383" s="5">
        <v>1</v>
      </c>
      <c r="N383" s="7">
        <v>45903</v>
      </c>
      <c r="Q383" s="7">
        <f t="shared" si="66"/>
        <v>120</v>
      </c>
      <c r="S383" s="33"/>
      <c r="U383" s="10"/>
      <c r="V383" s="10" t="str">
        <f t="shared" si="67"/>
        <v>Equals</v>
      </c>
      <c r="W383" s="11" t="str" cm="1">
        <f t="array" ref="W383">NumberToWords(T383)</f>
        <v>Zero Rupees Only</v>
      </c>
      <c r="X383" s="10" t="str">
        <f t="shared" si="68"/>
        <v>Division</v>
      </c>
      <c r="Z383" s="9">
        <f t="shared" si="69"/>
        <v>0</v>
      </c>
      <c r="AB383" s="8">
        <f>_xlfn.XLOOKUP(AA383, 'Agency List'!A$2:A$145, 'Agency List'!B$2:B$145, "Not Found")</f>
        <v>0</v>
      </c>
      <c r="AC383" s="8">
        <f>_xlfn.XLOOKUP(AA383, 'Agency List'!A$2:A$145, 'Agency List'!C$2:C$145, "Not Found")</f>
        <v>0</v>
      </c>
      <c r="AD383" s="8">
        <f>_xlfn.XLOOKUP(AA383, 'Agency List'!A$2:A$145, 'Agency List'!D$2:D$145, "Not Found")</f>
        <v>0</v>
      </c>
      <c r="AE383" s="7"/>
      <c r="AF383" s="5"/>
      <c r="AG383" s="5" t="str">
        <f t="shared" si="70"/>
        <v>Bandhkam</v>
      </c>
      <c r="AH383" s="5"/>
      <c r="AI383" s="8"/>
      <c r="AJ383" s="8"/>
      <c r="AL383" s="16"/>
      <c r="AM383" s="12">
        <f t="shared" si="71"/>
        <v>0</v>
      </c>
      <c r="AN383" s="7">
        <f t="shared" si="72"/>
        <v>450</v>
      </c>
      <c r="AO383" s="12">
        <f t="shared" si="73"/>
        <v>0</v>
      </c>
      <c r="AP383" s="12">
        <f t="shared" si="74"/>
        <v>0</v>
      </c>
      <c r="AQ383" s="15">
        <f t="shared" si="75"/>
        <v>35</v>
      </c>
      <c r="AR383" s="7">
        <f t="shared" si="76"/>
        <v>390</v>
      </c>
      <c r="AS383" s="5"/>
      <c r="AU383" s="5"/>
      <c r="AV383" s="17"/>
      <c r="AW383" s="17"/>
      <c r="AX383" s="5"/>
      <c r="AY383" s="5"/>
      <c r="AZ383" s="13"/>
      <c r="BA383" s="12"/>
      <c r="BB383" s="7"/>
      <c r="BC383" s="14"/>
      <c r="BD383" s="14"/>
      <c r="BF383" s="12"/>
      <c r="BG383" s="14"/>
      <c r="BH383" s="19"/>
      <c r="BI383" s="5"/>
      <c r="BM383" s="18"/>
      <c r="BN383" s="18"/>
      <c r="BO383" s="18"/>
      <c r="BP383" s="18"/>
      <c r="BQ383" s="5"/>
      <c r="BR383" s="18"/>
      <c r="BS383" s="18"/>
      <c r="BT383" s="35">
        <f t="shared" si="80"/>
        <v>0</v>
      </c>
    </row>
    <row r="384" spans="1:72" ht="58" x14ac:dyDescent="0.35">
      <c r="A384" s="5">
        <v>383</v>
      </c>
      <c r="B384" s="5"/>
      <c r="C384" s="5" t="s">
        <v>78</v>
      </c>
      <c r="D384" s="5">
        <v>19</v>
      </c>
      <c r="E384" s="5">
        <v>5</v>
      </c>
      <c r="F384" s="8" t="s">
        <v>856</v>
      </c>
      <c r="G384" s="8"/>
      <c r="H384" s="5"/>
      <c r="I384" s="5" t="e" cm="1">
        <f t="array" ref="I384">_xlfn.IFS(
  H384="Mahuva", "Mahuva",
  H384="Jesar", "Mahuva",
  H384="Palitana", "Palitana",
  H384="Gariyadhar", "Palitana",
  H384="Talaja", "Talaja",
  H384="Vallabhipur", "Vallabhipur",
  H384="Umrala", "Vallabhipur",
  H384="Shihor", "Shihor",
  H384="Ghogha", "Bhavnagar",
  H384="Bhavnagar", "Bhavnagar"
)</f>
        <v>#N/A</v>
      </c>
      <c r="J384" s="5" t="s">
        <v>907</v>
      </c>
      <c r="K384" s="5"/>
      <c r="L384" s="5">
        <v>220941</v>
      </c>
      <c r="M384" s="5">
        <v>1</v>
      </c>
      <c r="N384" s="7">
        <v>45903</v>
      </c>
      <c r="Q384" s="7">
        <f t="shared" si="66"/>
        <v>120</v>
      </c>
      <c r="S384" s="33"/>
      <c r="U384" s="10"/>
      <c r="V384" s="10" t="str">
        <f t="shared" si="67"/>
        <v>Equals</v>
      </c>
      <c r="W384" s="11" t="str" cm="1">
        <f t="array" ref="W384">NumberToWords(T384)</f>
        <v>Zero Rupees Only</v>
      </c>
      <c r="X384" s="10" t="str">
        <f t="shared" si="68"/>
        <v>Division</v>
      </c>
      <c r="Z384" s="9">
        <f t="shared" si="69"/>
        <v>0</v>
      </c>
      <c r="AB384" s="8">
        <f>_xlfn.XLOOKUP(AA384, 'Agency List'!A$2:A$145, 'Agency List'!B$2:B$145, "Not Found")</f>
        <v>0</v>
      </c>
      <c r="AC384" s="8">
        <f>_xlfn.XLOOKUP(AA384, 'Agency List'!A$2:A$145, 'Agency List'!C$2:C$145, "Not Found")</f>
        <v>0</v>
      </c>
      <c r="AD384" s="8">
        <f>_xlfn.XLOOKUP(AA384, 'Agency List'!A$2:A$145, 'Agency List'!D$2:D$145, "Not Found")</f>
        <v>0</v>
      </c>
      <c r="AE384" s="7"/>
      <c r="AF384" s="5"/>
      <c r="AG384" s="5" t="str">
        <f t="shared" si="70"/>
        <v>Bandhkam</v>
      </c>
      <c r="AH384" s="5"/>
      <c r="AI384" s="8"/>
      <c r="AJ384" s="8"/>
      <c r="AL384" s="16"/>
      <c r="AM384" s="12">
        <f t="shared" si="71"/>
        <v>0</v>
      </c>
      <c r="AN384" s="7">
        <f t="shared" si="72"/>
        <v>450</v>
      </c>
      <c r="AO384" s="12">
        <f t="shared" si="73"/>
        <v>0</v>
      </c>
      <c r="AP384" s="12">
        <f t="shared" si="74"/>
        <v>0</v>
      </c>
      <c r="AQ384" s="15">
        <f t="shared" si="75"/>
        <v>35</v>
      </c>
      <c r="AR384" s="7">
        <f t="shared" si="76"/>
        <v>390</v>
      </c>
      <c r="AS384" s="5"/>
      <c r="AU384" s="5"/>
      <c r="AV384" s="17"/>
      <c r="AW384" s="17"/>
      <c r="AX384" s="5"/>
      <c r="AY384" s="5"/>
      <c r="AZ384" s="13"/>
      <c r="BA384" s="12"/>
      <c r="BB384" s="7"/>
      <c r="BC384" s="14"/>
      <c r="BD384" s="14"/>
      <c r="BF384" s="12"/>
      <c r="BG384" s="14"/>
      <c r="BH384" s="19"/>
      <c r="BI384" s="5"/>
      <c r="BM384" s="18"/>
      <c r="BN384" s="18"/>
      <c r="BO384" s="18"/>
      <c r="BP384" s="18"/>
      <c r="BQ384" s="5"/>
      <c r="BR384" s="18"/>
      <c r="BS384" s="18"/>
      <c r="BT384" s="35">
        <f t="shared" si="80"/>
        <v>0</v>
      </c>
    </row>
    <row r="385" spans="1:72" ht="58" x14ac:dyDescent="0.35">
      <c r="A385" s="5">
        <v>384</v>
      </c>
      <c r="B385" s="5"/>
      <c r="C385" s="5" t="s">
        <v>78</v>
      </c>
      <c r="D385" s="5">
        <v>19</v>
      </c>
      <c r="E385" s="5">
        <v>6</v>
      </c>
      <c r="F385" s="8" t="s">
        <v>855</v>
      </c>
      <c r="G385" s="8"/>
      <c r="H385" s="5"/>
      <c r="I385" s="5" t="e" cm="1">
        <f t="array" ref="I385">_xlfn.IFS(
  H385="Mahuva", "Mahuva",
  H385="Jesar", "Mahuva",
  H385="Palitana", "Palitana",
  H385="Gariyadhar", "Palitana",
  H385="Talaja", "Talaja",
  H385="Vallabhipur", "Vallabhipur",
  H385="Umrala", "Vallabhipur",
  H385="Shihor", "Shihor",
  H385="Ghogha", "Bhavnagar",
  H385="Bhavnagar", "Bhavnagar"
)</f>
        <v>#N/A</v>
      </c>
      <c r="J385" s="5" t="s">
        <v>907</v>
      </c>
      <c r="K385" s="5"/>
      <c r="M385" s="5">
        <v>1</v>
      </c>
      <c r="N385" s="7">
        <v>45903</v>
      </c>
      <c r="Q385" s="7">
        <f t="shared" si="66"/>
        <v>120</v>
      </c>
      <c r="S385" s="33"/>
      <c r="U385" s="10"/>
      <c r="V385" s="10" t="str">
        <f t="shared" si="67"/>
        <v>Equals</v>
      </c>
      <c r="W385" s="11" t="str" cm="1">
        <f t="array" ref="W385">NumberToWords(T385)</f>
        <v>Zero Rupees Only</v>
      </c>
      <c r="X385" s="10" t="str">
        <f t="shared" si="68"/>
        <v>Division</v>
      </c>
      <c r="Z385" s="9">
        <f t="shared" si="69"/>
        <v>0</v>
      </c>
      <c r="AB385" s="8">
        <f>_xlfn.XLOOKUP(AA385, 'Agency List'!A$2:A$145, 'Agency List'!B$2:B$145, "Not Found")</f>
        <v>0</v>
      </c>
      <c r="AC385" s="8">
        <f>_xlfn.XLOOKUP(AA385, 'Agency List'!A$2:A$145, 'Agency List'!C$2:C$145, "Not Found")</f>
        <v>0</v>
      </c>
      <c r="AD385" s="8">
        <f>_xlfn.XLOOKUP(AA385, 'Agency List'!A$2:A$145, 'Agency List'!D$2:D$145, "Not Found")</f>
        <v>0</v>
      </c>
      <c r="AE385" s="7"/>
      <c r="AF385" s="5"/>
      <c r="AG385" s="5" t="str">
        <f t="shared" si="70"/>
        <v>Bandhkam</v>
      </c>
      <c r="AH385" s="5"/>
      <c r="AI385" s="8"/>
      <c r="AJ385" s="8"/>
      <c r="AL385" s="16"/>
      <c r="AM385" s="12">
        <f t="shared" si="71"/>
        <v>0</v>
      </c>
      <c r="AN385" s="7">
        <f t="shared" si="72"/>
        <v>450</v>
      </c>
      <c r="AO385" s="12">
        <f t="shared" si="73"/>
        <v>0</v>
      </c>
      <c r="AP385" s="12">
        <f t="shared" si="74"/>
        <v>0</v>
      </c>
      <c r="AQ385" s="15">
        <f t="shared" si="75"/>
        <v>35</v>
      </c>
      <c r="AR385" s="7">
        <f t="shared" si="76"/>
        <v>390</v>
      </c>
      <c r="AS385" s="5"/>
      <c r="AU385" s="5"/>
      <c r="AV385" s="17"/>
      <c r="AW385" s="17"/>
      <c r="AX385" s="5"/>
      <c r="AY385" s="5"/>
      <c r="AZ385" s="13"/>
      <c r="BA385" s="12"/>
      <c r="BB385" s="7"/>
      <c r="BC385" s="14"/>
      <c r="BD385" s="14"/>
      <c r="BF385" s="12"/>
      <c r="BG385" s="14"/>
      <c r="BH385" s="19"/>
      <c r="BI385" s="5"/>
      <c r="BM385" s="18"/>
      <c r="BN385" s="18"/>
      <c r="BO385" s="18"/>
      <c r="BP385" s="18"/>
      <c r="BQ385" s="5"/>
      <c r="BR385" s="18"/>
      <c r="BS385" s="18"/>
      <c r="BT385" s="35">
        <f t="shared" si="80"/>
        <v>0</v>
      </c>
    </row>
    <row r="386" spans="1:72" x14ac:dyDescent="0.35">
      <c r="A386" s="5">
        <v>385</v>
      </c>
      <c r="B386" s="5"/>
      <c r="C386" s="5" t="s">
        <v>78</v>
      </c>
      <c r="D386" s="5">
        <v>20</v>
      </c>
      <c r="E386" s="5">
        <v>1</v>
      </c>
      <c r="F386" s="8"/>
      <c r="G386" s="8"/>
      <c r="H386" s="5"/>
      <c r="I386" s="5" t="e" cm="1">
        <f t="array" ref="I386">_xlfn.IFS(
  H386="Mahuva", "Mahuva",
  H386="Jesar", "Mahuva",
  H386="Palitana", "Palitana",
  H386="Gariyadhar", "Palitana",
  H386="Talaja", "Talaja",
  H386="Vallabhipur", "Vallabhipur",
  H386="Umrala", "Vallabhipur",
  H386="Shihor", "Shihor",
  H386="Ghogha", "Bhavnagar",
  H386="Bhavnagar", "Bhavnagar"
)</f>
        <v>#N/A</v>
      </c>
      <c r="J386" s="5"/>
      <c r="K386" s="5"/>
      <c r="L386" s="5">
        <v>221015</v>
      </c>
      <c r="M386" s="5">
        <v>1</v>
      </c>
      <c r="N386" s="7">
        <v>45903</v>
      </c>
      <c r="Q386" s="7">
        <f t="shared" ref="Q386:Q449" si="81">O386+120</f>
        <v>120</v>
      </c>
      <c r="S386" s="33"/>
      <c r="U386" s="10"/>
      <c r="V386" s="10" t="str">
        <f t="shared" ref="V386:V449" si="82">IF(U386&lt;0,"Below",IF(U386&gt;0,"Above","Equals"))</f>
        <v>Equals</v>
      </c>
      <c r="W386" s="11" t="str" cm="1">
        <f t="array" ref="W386">NumberToWords(T386)</f>
        <v>Zero Rupees Only</v>
      </c>
      <c r="X386" s="10" t="str">
        <f t="shared" ref="X386:X449" si="83">IF(T386&lt;5000000,"Division",IF(T386&lt;=20000000,"Circle","Government"))</f>
        <v>Division</v>
      </c>
      <c r="Z386" s="9">
        <f t="shared" ref="Z386:Z449" si="84">T386+Y386</f>
        <v>0</v>
      </c>
      <c r="AB386" s="8">
        <f>_xlfn.XLOOKUP(AA386, 'Agency List'!A$2:A$145, 'Agency List'!B$2:B$145, "Not Found")</f>
        <v>0</v>
      </c>
      <c r="AC386" s="8">
        <f>_xlfn.XLOOKUP(AA386, 'Agency List'!A$2:A$145, 'Agency List'!C$2:C$145, "Not Found")</f>
        <v>0</v>
      </c>
      <c r="AD386" s="8">
        <f>_xlfn.XLOOKUP(AA386, 'Agency List'!A$2:A$145, 'Agency List'!D$2:D$145, "Not Found")</f>
        <v>0</v>
      </c>
      <c r="AE386" s="7"/>
      <c r="AF386" s="5"/>
      <c r="AG386" s="5" t="str">
        <f t="shared" ref="AG386:AG449" si="85">IF(AND(
   AF386&lt;&gt;"5054 MMGSY NORMAL",
   AF386&lt;&gt;"3054 MMGSY NORMAL",
   AF386&lt;&gt;"5054 MMGSY SCSP",
   AF386&lt;&gt;"5054 Suvidhapath"
),
   IF(T386&gt;2500000,"Karobari","Bandhkam"),
   "NA"
)</f>
        <v>Bandhkam</v>
      </c>
      <c r="AH386" s="5"/>
      <c r="AI386" s="8"/>
      <c r="AJ386" s="8"/>
      <c r="AL386" s="16"/>
      <c r="AM386" s="12">
        <f t="shared" ref="AM386:AM449" si="86">CEILING(T386*5/100, 1000)</f>
        <v>0</v>
      </c>
      <c r="AN386" s="7">
        <f t="shared" ref="AN386:AN449" si="87">AR386+60</f>
        <v>450</v>
      </c>
      <c r="AO386" s="12">
        <f t="shared" ref="AO386:AO449" si="88">CEILING(((AM386+AP386)*4.9/100),100)</f>
        <v>0</v>
      </c>
      <c r="AP386" s="12">
        <f t="shared" ref="AP386:AP449" si="89">IF(U386&lt;-20,(CEILING(((R386*90/100)-T386)*30/100, 1000)),IF(U386&lt;-10,(CEILING(((R386*90/100)-T386)*20/100, 1000)),0))</f>
        <v>0</v>
      </c>
      <c r="AQ386" s="15">
        <f t="shared" ref="AQ386:AQ449" si="90">BH386+AL386*30+35</f>
        <v>35</v>
      </c>
      <c r="AR386" s="7">
        <f t="shared" ref="AR386:AR449" si="91" xml:space="preserve">   IF(R386&gt;10000000,
      BH386 + AL386*30 + 36*30 + 30,
      BH386 + AL386*30 + 12*30 + 30
   )</f>
        <v>390</v>
      </c>
      <c r="AS386" s="5"/>
      <c r="AU386" s="5"/>
      <c r="AV386" s="17"/>
      <c r="AW386" s="17"/>
      <c r="AX386" s="5"/>
      <c r="AY386" s="5"/>
      <c r="AZ386" s="13"/>
      <c r="BA386" s="12"/>
      <c r="BB386" s="7"/>
      <c r="BC386" s="14"/>
      <c r="BD386" s="14"/>
      <c r="BF386" s="12"/>
      <c r="BG386" s="14"/>
      <c r="BH386" s="19"/>
      <c r="BI386" s="5"/>
      <c r="BM386" s="18"/>
      <c r="BN386" s="18"/>
      <c r="BO386" s="18"/>
      <c r="BP386" s="18"/>
      <c r="BQ386" s="5"/>
      <c r="BR386" s="18"/>
      <c r="BS386" s="18"/>
      <c r="BT386" s="35">
        <f>EDATE(BH386,AL386)-1</f>
        <v>-1</v>
      </c>
    </row>
    <row r="387" spans="1:72" ht="43.5" x14ac:dyDescent="0.35">
      <c r="A387" s="5">
        <v>386</v>
      </c>
      <c r="B387" s="5"/>
      <c r="C387" s="5" t="s">
        <v>78</v>
      </c>
      <c r="D387" s="5">
        <v>21</v>
      </c>
      <c r="E387" s="5">
        <v>1</v>
      </c>
      <c r="F387" s="8" t="s">
        <v>864</v>
      </c>
      <c r="G387" s="8"/>
      <c r="H387" s="5" t="s">
        <v>12</v>
      </c>
      <c r="I387" s="5" t="str" cm="1">
        <f t="array" ref="I387">_xlfn.IFS(
  H387="Mahuva", "Mahuva",
  H387="Jesar", "Mahuva",
  H387="Palitana", "Palitana",
  H387="Gariyadhar", "Palitana",
  H387="Talaja", "Talaja",
  H387="Vallabhipur", "Vallabhipur",
  H387="Umrala", "Vallabhipur",
  H387="Shihor", "Shihor",
  H387="Ghogha", "Bhavnagar",
  H387="Bhavnagar", "Bhavnagar"
)</f>
        <v>Mahuva</v>
      </c>
      <c r="J387" s="5" t="s">
        <v>21</v>
      </c>
      <c r="K387" s="5"/>
      <c r="L387" s="5">
        <v>236916</v>
      </c>
      <c r="M387" s="5">
        <v>2</v>
      </c>
      <c r="N387" s="7">
        <v>45948</v>
      </c>
      <c r="O387" s="7">
        <v>45964</v>
      </c>
      <c r="P387" s="7">
        <v>45965</v>
      </c>
      <c r="Q387" s="7">
        <f t="shared" si="81"/>
        <v>46084</v>
      </c>
      <c r="S387" s="33" t="s">
        <v>233</v>
      </c>
      <c r="U387" s="10"/>
      <c r="V387" s="10" t="str">
        <f t="shared" si="82"/>
        <v>Equals</v>
      </c>
      <c r="W387" s="11" t="str" cm="1">
        <f t="array" ref="W387">NumberToWords(T387)</f>
        <v>Zero Rupees Only</v>
      </c>
      <c r="X387" s="10" t="str">
        <f t="shared" si="83"/>
        <v>Division</v>
      </c>
      <c r="Z387" s="9">
        <f t="shared" si="84"/>
        <v>0</v>
      </c>
      <c r="AB387" s="8">
        <f>_xlfn.XLOOKUP(AA387, 'Agency List'!A$2:A$145, 'Agency List'!B$2:B$145, "Not Found")</f>
        <v>0</v>
      </c>
      <c r="AC387" s="8">
        <f>_xlfn.XLOOKUP(AA387, 'Agency List'!A$2:A$145, 'Agency List'!C$2:C$145, "Not Found")</f>
        <v>0</v>
      </c>
      <c r="AD387" s="8">
        <f>_xlfn.XLOOKUP(AA387, 'Agency List'!A$2:A$145, 'Agency List'!D$2:D$145, "Not Found")</f>
        <v>0</v>
      </c>
      <c r="AE387" s="7"/>
      <c r="AF387" s="5"/>
      <c r="AG387" s="5" t="str">
        <f t="shared" si="85"/>
        <v>Bandhkam</v>
      </c>
      <c r="AH387" s="5"/>
      <c r="AI387" s="8"/>
      <c r="AJ387" s="8"/>
      <c r="AL387" s="16"/>
      <c r="AM387" s="12">
        <f t="shared" si="86"/>
        <v>0</v>
      </c>
      <c r="AN387" s="7">
        <f t="shared" si="87"/>
        <v>450</v>
      </c>
      <c r="AO387" s="12">
        <f t="shared" si="88"/>
        <v>0</v>
      </c>
      <c r="AP387" s="12">
        <f t="shared" si="89"/>
        <v>0</v>
      </c>
      <c r="AQ387" s="15">
        <f t="shared" si="90"/>
        <v>35</v>
      </c>
      <c r="AR387" s="7">
        <f t="shared" si="91"/>
        <v>390</v>
      </c>
      <c r="AS387" s="5"/>
      <c r="AU387" s="5"/>
      <c r="AV387" s="17"/>
      <c r="AW387" s="17"/>
      <c r="AX387" s="5"/>
      <c r="AY387" s="5"/>
      <c r="AZ387" s="13"/>
      <c r="BA387" s="12"/>
      <c r="BB387" s="7"/>
      <c r="BC387" s="14"/>
      <c r="BD387" s="14"/>
      <c r="BF387" s="12"/>
      <c r="BG387" s="14"/>
      <c r="BH387" s="19"/>
      <c r="BI387" s="5"/>
      <c r="BM387" s="18"/>
      <c r="BN387" s="18"/>
      <c r="BO387" s="18"/>
      <c r="BP387" s="18"/>
      <c r="BQ387" s="5"/>
      <c r="BR387" s="18"/>
      <c r="BS387" s="18"/>
      <c r="BT387" s="35">
        <f>EDATE(BH387,AL387)-1</f>
        <v>-1</v>
      </c>
    </row>
    <row r="388" spans="1:72" ht="72.5" x14ac:dyDescent="0.35">
      <c r="A388" s="5">
        <v>387</v>
      </c>
      <c r="B388" s="5"/>
      <c r="C388" s="5" t="s">
        <v>78</v>
      </c>
      <c r="D388" s="5">
        <v>21</v>
      </c>
      <c r="E388" s="5">
        <v>2</v>
      </c>
      <c r="F388" s="8" t="s">
        <v>865</v>
      </c>
      <c r="G388" s="8"/>
      <c r="H388" s="5" t="s">
        <v>257</v>
      </c>
      <c r="I388" s="5" t="str" cm="1">
        <f t="array" ref="I388">_xlfn.IFS(
  H388="Mahuva", "Mahuva",
  H388="Jesar", "Mahuva",
  H388="Palitana", "Palitana",
  H388="Gariyadhar", "Palitana",
  H388="Talaja", "Talaja",
  H388="Vallabhipur", "Vallabhipur",
  H388="Umrala", "Vallabhipur",
  H388="Shihor", "Shihor",
  H388="Ghogha", "Bhavnagar",
  H388="Bhavnagar", "Bhavnagar"
)</f>
        <v>Palitana</v>
      </c>
      <c r="J388" s="5" t="s">
        <v>256</v>
      </c>
      <c r="K388" s="5" t="s">
        <v>925</v>
      </c>
      <c r="L388" s="5">
        <v>236938</v>
      </c>
      <c r="M388" s="5">
        <v>12</v>
      </c>
      <c r="N388" s="7">
        <v>45948</v>
      </c>
      <c r="O388" s="7">
        <v>45964</v>
      </c>
      <c r="P388" s="7">
        <v>45965</v>
      </c>
      <c r="Q388" s="7">
        <f t="shared" si="81"/>
        <v>46084</v>
      </c>
      <c r="R388" s="9">
        <v>1325265.3700000001</v>
      </c>
      <c r="S388" s="33"/>
      <c r="T388" s="9">
        <v>1656449.19</v>
      </c>
      <c r="U388" s="10">
        <v>24.99</v>
      </c>
      <c r="V388" s="10" t="str">
        <f t="shared" si="82"/>
        <v>Above</v>
      </c>
      <c r="W388" s="11" t="str" cm="1">
        <f t="array" ref="W388">NumberToWords(T388)</f>
        <v>Sixteen Lakh Fifty Six Thousand Four Hundred Forty Nine Rupees and Nineteen Paise Only</v>
      </c>
      <c r="X388" s="10" t="str">
        <f t="shared" si="83"/>
        <v>Division</v>
      </c>
      <c r="Z388" s="9">
        <f t="shared" si="84"/>
        <v>1656449.19</v>
      </c>
      <c r="AA388" s="5" t="s">
        <v>1097</v>
      </c>
      <c r="AB388" s="8" t="str">
        <f>_xlfn.XLOOKUP(AA388, 'Agency List'!A$2:A$145, 'Agency List'!B$2:B$145, "Not Found")</f>
        <v>Not Found</v>
      </c>
      <c r="AC388" s="8" t="str">
        <f>_xlfn.XLOOKUP(AA388, 'Agency List'!A$2:A$145, 'Agency List'!C$2:C$145, "Not Found")</f>
        <v>Not Found</v>
      </c>
      <c r="AD388" s="8" t="str">
        <f>_xlfn.XLOOKUP(AA388, 'Agency List'!A$2:A$145, 'Agency List'!D$2:D$145, "Not Found")</f>
        <v>Not Found</v>
      </c>
      <c r="AE388" s="7"/>
      <c r="AF388" s="5"/>
      <c r="AG388" s="5" t="str">
        <f t="shared" si="85"/>
        <v>Bandhkam</v>
      </c>
      <c r="AH388" s="5"/>
      <c r="AI388" s="8"/>
      <c r="AJ388" s="8"/>
      <c r="AL388" s="16"/>
      <c r="AM388" s="12">
        <f t="shared" si="86"/>
        <v>83000</v>
      </c>
      <c r="AN388" s="7">
        <f t="shared" si="87"/>
        <v>450</v>
      </c>
      <c r="AO388" s="12">
        <f t="shared" si="88"/>
        <v>4100</v>
      </c>
      <c r="AP388" s="12">
        <f t="shared" si="89"/>
        <v>0</v>
      </c>
      <c r="AQ388" s="15">
        <f t="shared" si="90"/>
        <v>35</v>
      </c>
      <c r="AR388" s="7">
        <f t="shared" si="91"/>
        <v>390</v>
      </c>
      <c r="AS388" s="5"/>
      <c r="AU388" s="5"/>
      <c r="AV388" s="17"/>
      <c r="AW388" s="17"/>
      <c r="AX388" s="5"/>
      <c r="AY388" s="5"/>
      <c r="AZ388" s="13"/>
      <c r="BA388" s="12"/>
      <c r="BB388" s="7"/>
      <c r="BC388" s="14"/>
      <c r="BD388" s="14"/>
      <c r="BF388" s="12"/>
      <c r="BG388" s="14"/>
      <c r="BH388" s="19"/>
      <c r="BI388" s="5"/>
      <c r="BM388" s="18"/>
      <c r="BN388" s="18"/>
      <c r="BO388" s="18"/>
      <c r="BP388" s="18"/>
      <c r="BQ388" s="5"/>
      <c r="BR388" s="18"/>
      <c r="BS388" s="18"/>
      <c r="BT388" s="35">
        <f>BH388+AL388*30</f>
        <v>0</v>
      </c>
    </row>
    <row r="389" spans="1:72" ht="43.5" x14ac:dyDescent="0.35">
      <c r="A389" s="5">
        <v>388</v>
      </c>
      <c r="B389" s="5"/>
      <c r="C389" s="5" t="s">
        <v>78</v>
      </c>
      <c r="D389" s="5">
        <v>21</v>
      </c>
      <c r="E389" s="5">
        <v>3</v>
      </c>
      <c r="F389" s="8" t="s">
        <v>866</v>
      </c>
      <c r="G389" s="8"/>
      <c r="H389" s="5" t="s">
        <v>1</v>
      </c>
      <c r="I389" s="5" t="str" cm="1">
        <f t="array" ref="I389">_xlfn.IFS(
  H389="Mahuva", "Mahuva",
  H389="Jesar", "Mahuva",
  H389="Palitana", "Palitana",
  H389="Gariyadhar", "Palitana",
  H389="Talaja", "Talaja",
  H389="Vallabhipur", "Vallabhipur",
  H389="Umrala", "Vallabhipur",
  H389="Shihor", "Shihor",
  H389="Ghogha", "Bhavnagar",
  H389="Bhavnagar", "Bhavnagar"
)</f>
        <v>Bhavnagar</v>
      </c>
      <c r="J389" s="5" t="s">
        <v>256</v>
      </c>
      <c r="K389" s="5" t="s">
        <v>624</v>
      </c>
      <c r="L389" s="5">
        <v>236956</v>
      </c>
      <c r="M389" s="5">
        <v>6</v>
      </c>
      <c r="N389" s="7">
        <v>45948</v>
      </c>
      <c r="O389" s="7">
        <v>45964</v>
      </c>
      <c r="P389" s="7">
        <v>45965</v>
      </c>
      <c r="Q389" s="7">
        <f t="shared" si="81"/>
        <v>46084</v>
      </c>
      <c r="R389" s="9">
        <v>1024912.96</v>
      </c>
      <c r="S389" s="33"/>
      <c r="T389" s="9">
        <v>1144827.78</v>
      </c>
      <c r="U389" s="10">
        <v>11.7</v>
      </c>
      <c r="V389" s="10" t="str">
        <f t="shared" si="82"/>
        <v>Above</v>
      </c>
      <c r="W389" s="11" t="str" cm="1">
        <f t="array" ref="W389">NumberToWords(T389)</f>
        <v>Eleven Lakh Forty Four Thousand Eight Hundred Twenty Seven Rupees and Seventy Eight Paise Only</v>
      </c>
      <c r="X389" s="10" t="str">
        <f t="shared" si="83"/>
        <v>Division</v>
      </c>
      <c r="Z389" s="9">
        <f t="shared" si="84"/>
        <v>1144827.78</v>
      </c>
      <c r="AA389" s="5" t="s">
        <v>1097</v>
      </c>
      <c r="AB389" s="8" t="str">
        <f>_xlfn.XLOOKUP(AA389, 'Agency List'!A$2:A$145, 'Agency List'!B$2:B$145, "Not Found")</f>
        <v>Not Found</v>
      </c>
      <c r="AC389" s="8" t="str">
        <f>_xlfn.XLOOKUP(AA389, 'Agency List'!A$2:A$145, 'Agency List'!C$2:C$145, "Not Found")</f>
        <v>Not Found</v>
      </c>
      <c r="AD389" s="8" t="str">
        <f>_xlfn.XLOOKUP(AA389, 'Agency List'!A$2:A$145, 'Agency List'!D$2:D$145, "Not Found")</f>
        <v>Not Found</v>
      </c>
      <c r="AE389" s="7"/>
      <c r="AF389" s="5"/>
      <c r="AG389" s="5" t="str">
        <f t="shared" si="85"/>
        <v>Bandhkam</v>
      </c>
      <c r="AH389" s="5"/>
      <c r="AI389" s="8"/>
      <c r="AJ389" s="8"/>
      <c r="AL389" s="16"/>
      <c r="AM389" s="12">
        <f t="shared" si="86"/>
        <v>58000</v>
      </c>
      <c r="AN389" s="7">
        <f t="shared" si="87"/>
        <v>450</v>
      </c>
      <c r="AO389" s="12">
        <f t="shared" si="88"/>
        <v>2900</v>
      </c>
      <c r="AP389" s="12">
        <f t="shared" si="89"/>
        <v>0</v>
      </c>
      <c r="AQ389" s="15">
        <f t="shared" si="90"/>
        <v>35</v>
      </c>
      <c r="AR389" s="7">
        <f t="shared" si="91"/>
        <v>390</v>
      </c>
      <c r="AS389" s="5"/>
      <c r="AU389" s="5"/>
      <c r="AV389" s="17"/>
      <c r="AW389" s="17"/>
      <c r="AX389" s="5"/>
      <c r="AY389" s="5"/>
      <c r="AZ389" s="13"/>
      <c r="BA389" s="12"/>
      <c r="BB389" s="7"/>
      <c r="BC389" s="14"/>
      <c r="BD389" s="14"/>
      <c r="BF389" s="12"/>
      <c r="BG389" s="14"/>
      <c r="BH389" s="19"/>
      <c r="BI389" s="5"/>
      <c r="BM389" s="18"/>
      <c r="BN389" s="18"/>
      <c r="BO389" s="18"/>
      <c r="BP389" s="18"/>
      <c r="BQ389" s="5"/>
      <c r="BR389" s="18"/>
      <c r="BS389" s="18"/>
      <c r="BT389" s="35">
        <f>BH389+AL389*30</f>
        <v>0</v>
      </c>
    </row>
    <row r="390" spans="1:72" ht="43.5" x14ac:dyDescent="0.35">
      <c r="A390" s="5">
        <v>389</v>
      </c>
      <c r="B390" s="5"/>
      <c r="C390" s="5" t="s">
        <v>78</v>
      </c>
      <c r="D390" s="5">
        <v>21</v>
      </c>
      <c r="E390" s="5">
        <v>4</v>
      </c>
      <c r="F390" s="8" t="s">
        <v>883</v>
      </c>
      <c r="G390" s="8"/>
      <c r="H390" s="5" t="s">
        <v>12</v>
      </c>
      <c r="I390" s="5" t="str" cm="1">
        <f t="array" ref="I390">_xlfn.IFS(
  H390="Mahuva", "Mahuva",
  H390="Jesar", "Mahuva",
  H390="Palitana", "Palitana",
  H390="Gariyadhar", "Palitana",
  H390="Talaja", "Talaja",
  H390="Vallabhipur", "Vallabhipur",
  H390="Umrala", "Vallabhipur",
  H390="Shihor", "Shihor",
  H390="Ghogha", "Bhavnagar",
  H390="Bhavnagar", "Bhavnagar"
)</f>
        <v>Mahuva</v>
      </c>
      <c r="J390" s="5" t="s">
        <v>256</v>
      </c>
      <c r="K390" s="5" t="s">
        <v>624</v>
      </c>
      <c r="L390" s="5">
        <v>236982</v>
      </c>
      <c r="M390" s="5">
        <v>6</v>
      </c>
      <c r="N390" s="7">
        <v>45948</v>
      </c>
      <c r="O390" s="7">
        <v>45964</v>
      </c>
      <c r="P390" s="7">
        <v>45965</v>
      </c>
      <c r="Q390" s="7">
        <f t="shared" si="81"/>
        <v>46084</v>
      </c>
      <c r="R390" s="9">
        <v>1024912.96</v>
      </c>
      <c r="S390" s="33"/>
      <c r="T390" s="9">
        <v>944354.8</v>
      </c>
      <c r="U390" s="10">
        <v>-7.86</v>
      </c>
      <c r="V390" s="10" t="str">
        <f t="shared" si="82"/>
        <v>Below</v>
      </c>
      <c r="W390" s="11" t="str" cm="1">
        <f t="array" ref="W390">NumberToWords(T390)</f>
        <v>Nine Lakh Forty Four Thousand Three Hundred Fifty Four Rupees and Eight Paise Only</v>
      </c>
      <c r="X390" s="10" t="str">
        <f t="shared" si="83"/>
        <v>Division</v>
      </c>
      <c r="Z390" s="9">
        <f t="shared" si="84"/>
        <v>944354.8</v>
      </c>
      <c r="AA390" s="5" t="s">
        <v>867</v>
      </c>
      <c r="AB390" s="8">
        <f>_xlfn.XLOOKUP(AA390, 'Agency List'!A$2:A$145, 'Agency List'!B$2:B$145, "Not Found")</f>
        <v>0</v>
      </c>
      <c r="AC390" s="8" t="str">
        <f>_xlfn.XLOOKUP(AA390, 'Agency List'!A$2:A$145, 'Agency List'!C$2:C$145, "Not Found")</f>
        <v>At. Shelavadar, Tal. Talaja, Dist. Bhavnagar - 364140</v>
      </c>
      <c r="AD390" s="8">
        <f>_xlfn.XLOOKUP(AA390, 'Agency List'!A$2:A$145, 'Agency List'!D$2:D$145, "Not Found")</f>
        <v>9429640652</v>
      </c>
      <c r="AE390" s="7"/>
      <c r="AF390" s="5" t="s">
        <v>1084</v>
      </c>
      <c r="AG390" s="5" t="str">
        <f t="shared" si="85"/>
        <v>Bandhkam</v>
      </c>
      <c r="AH390" s="5"/>
      <c r="AI390" s="8"/>
      <c r="AJ390" s="8"/>
      <c r="AL390" s="16">
        <v>3</v>
      </c>
      <c r="AM390" s="12">
        <f t="shared" si="86"/>
        <v>48000</v>
      </c>
      <c r="AN390" s="7">
        <f t="shared" si="87"/>
        <v>46582</v>
      </c>
      <c r="AO390" s="12">
        <f t="shared" si="88"/>
        <v>2400</v>
      </c>
      <c r="AP390" s="12">
        <f t="shared" si="89"/>
        <v>0</v>
      </c>
      <c r="AQ390" s="15">
        <f t="shared" si="90"/>
        <v>46167</v>
      </c>
      <c r="AR390" s="7">
        <f t="shared" si="91"/>
        <v>46522</v>
      </c>
      <c r="AS390" s="5">
        <v>1555</v>
      </c>
      <c r="AT390" s="7">
        <v>45981</v>
      </c>
      <c r="AU390" s="5" t="s">
        <v>78</v>
      </c>
      <c r="AV390" s="17">
        <v>280</v>
      </c>
      <c r="AW390" s="37">
        <v>46042</v>
      </c>
      <c r="AX390" s="5" t="s">
        <v>355</v>
      </c>
      <c r="AY390" s="5" t="s">
        <v>790</v>
      </c>
      <c r="AZ390" s="45" t="s">
        <v>1083</v>
      </c>
      <c r="BA390" s="12">
        <v>48000</v>
      </c>
      <c r="BB390" s="7">
        <v>46007</v>
      </c>
      <c r="BC390" s="14"/>
      <c r="BD390" s="14"/>
      <c r="BF390" s="12"/>
      <c r="BG390" s="14"/>
      <c r="BH390" s="19">
        <v>46042</v>
      </c>
      <c r="BI390" s="5">
        <v>74</v>
      </c>
      <c r="BJ390" s="19">
        <v>46042</v>
      </c>
      <c r="BM390" s="18"/>
      <c r="BN390" s="18"/>
      <c r="BO390" s="18"/>
      <c r="BP390" s="18"/>
      <c r="BQ390" s="5"/>
      <c r="BR390" s="18"/>
      <c r="BS390" s="18"/>
      <c r="BT390" s="35">
        <f>BH390+AL390*30</f>
        <v>46132</v>
      </c>
    </row>
    <row r="391" spans="1:72" ht="43.5" x14ac:dyDescent="0.35">
      <c r="A391" s="5">
        <v>390</v>
      </c>
      <c r="B391" s="5"/>
      <c r="C391" s="5" t="s">
        <v>78</v>
      </c>
      <c r="D391" s="5">
        <v>21</v>
      </c>
      <c r="E391" s="5">
        <v>5</v>
      </c>
      <c r="F391" s="8" t="s">
        <v>884</v>
      </c>
      <c r="G391" s="8"/>
      <c r="H391" s="5" t="s">
        <v>278</v>
      </c>
      <c r="I391" s="5" t="str" cm="1">
        <f t="array" ref="I391">_xlfn.IFS(
  H391="Mahuva", "Mahuva",
  H391="Jesar", "Mahuva",
  H391="Palitana", "Palitana",
  H391="Gariyadhar", "Palitana",
  H391="Talaja", "Talaja",
  H391="Vallabhipur", "Vallabhipur",
  H391="Umrala", "Vallabhipur",
  H391="Shihor", "Shihor",
  H391="Ghogha", "Bhavnagar",
  H391="Bhavnagar", "Bhavnagar"
)</f>
        <v>Mahuva</v>
      </c>
      <c r="J391" s="5" t="s">
        <v>21</v>
      </c>
      <c r="K391" s="5" t="s">
        <v>868</v>
      </c>
      <c r="L391" s="5">
        <v>236984</v>
      </c>
      <c r="M391" s="5"/>
      <c r="N391" s="7">
        <v>45948</v>
      </c>
      <c r="O391" s="7">
        <v>45964</v>
      </c>
      <c r="P391" s="7">
        <v>45965</v>
      </c>
      <c r="Q391" s="7">
        <f t="shared" si="81"/>
        <v>46084</v>
      </c>
      <c r="R391" s="9">
        <v>50657649.75</v>
      </c>
      <c r="S391" s="33"/>
      <c r="T391" s="9">
        <v>43064068.049999997</v>
      </c>
      <c r="U391" s="10">
        <v>-14.99</v>
      </c>
      <c r="V391" s="10" t="str">
        <f t="shared" si="82"/>
        <v>Below</v>
      </c>
      <c r="W391" s="11" t="str" cm="1">
        <f t="array" ref="W391">NumberToWords(T391)</f>
        <v>Four Crore Thirty Lakh Sixty Four Thousand Sixty Eight Rupees and Five Paise Only</v>
      </c>
      <c r="X391" s="10" t="str">
        <f t="shared" si="83"/>
        <v>Government</v>
      </c>
      <c r="Z391" s="9">
        <f t="shared" si="84"/>
        <v>43064068.049999997</v>
      </c>
      <c r="AA391" s="5" t="s">
        <v>15</v>
      </c>
      <c r="AB391" s="8" t="str">
        <f>_xlfn.XLOOKUP(AA391, 'Agency List'!A$2:A$145, 'Agency List'!B$2:B$145, "Not Found")</f>
        <v>CHATURBHAI MOHANBHAI VAGHELA</v>
      </c>
      <c r="AC391" s="8" t="str">
        <f>_xlfn.XLOOKUP(AA391, 'Agency List'!A$2:A$145, 'Agency List'!C$2:C$145, "Not Found")</f>
        <v>MOTI PANIYALI, Via. Po. SHETRUNJI, Ta. PALITANA, Dist. BHAVNAGAR-364270</v>
      </c>
      <c r="AD391" s="8">
        <f>_xlfn.XLOOKUP(AA391, 'Agency List'!A$2:A$145, 'Agency List'!D$2:D$145, "Not Found")</f>
        <v>9925448120</v>
      </c>
      <c r="AE391" s="7">
        <v>45974</v>
      </c>
      <c r="AF391" s="5"/>
      <c r="AG391" s="5" t="str">
        <f t="shared" si="85"/>
        <v>Karobari</v>
      </c>
      <c r="AH391" s="5"/>
      <c r="AI391" s="8"/>
      <c r="AJ391" s="8"/>
      <c r="AL391" s="16"/>
      <c r="AM391" s="12">
        <f t="shared" si="86"/>
        <v>2154000</v>
      </c>
      <c r="AN391" s="7">
        <f t="shared" si="87"/>
        <v>1170</v>
      </c>
      <c r="AO391" s="12">
        <f t="shared" si="88"/>
        <v>130400</v>
      </c>
      <c r="AP391" s="12">
        <f t="shared" si="89"/>
        <v>506000</v>
      </c>
      <c r="AQ391" s="15">
        <f t="shared" si="90"/>
        <v>35</v>
      </c>
      <c r="AR391" s="7">
        <f t="shared" si="91"/>
        <v>1110</v>
      </c>
      <c r="AS391" s="5"/>
      <c r="AU391" s="5"/>
      <c r="AV391" s="17"/>
      <c r="AW391" s="17"/>
      <c r="AX391" s="5"/>
      <c r="AY391" s="5"/>
      <c r="AZ391" s="13"/>
      <c r="BA391" s="12"/>
      <c r="BB391" s="7"/>
      <c r="BC391" s="14"/>
      <c r="BD391" s="14"/>
      <c r="BF391" s="12"/>
      <c r="BG391" s="14"/>
      <c r="BH391" s="19"/>
      <c r="BI391" s="5"/>
      <c r="BM391" s="18"/>
      <c r="BN391" s="18"/>
      <c r="BO391" s="18"/>
      <c r="BP391" s="18"/>
      <c r="BQ391" s="5"/>
      <c r="BR391" s="18"/>
      <c r="BS391" s="18"/>
      <c r="BT391" s="35">
        <f>EDATE(BH391,AL391)-1</f>
        <v>-1</v>
      </c>
    </row>
    <row r="392" spans="1:72" ht="58" x14ac:dyDescent="0.35">
      <c r="A392" s="5">
        <v>391</v>
      </c>
      <c r="B392" s="5"/>
      <c r="C392" s="5" t="s">
        <v>78</v>
      </c>
      <c r="D392" s="5">
        <v>21</v>
      </c>
      <c r="E392" s="5">
        <v>6</v>
      </c>
      <c r="F392" s="8" t="s">
        <v>885</v>
      </c>
      <c r="G392" s="8"/>
      <c r="H392" s="5" t="s">
        <v>2</v>
      </c>
      <c r="I392" s="5" t="str" cm="1">
        <f t="array" ref="I392">_xlfn.IFS(
  H392="Mahuva", "Mahuva",
  H392="Jesar", "Mahuva",
  H392="Palitana", "Palitana",
  H392="Gariyadhar", "Palitana",
  H392="Talaja", "Talaja",
  H392="Vallabhipur", "Vallabhipur",
  H392="Umrala", "Vallabhipur",
  H392="Shihor", "Shihor",
  H392="Ghogha", "Bhavnagar",
  H392="Bhavnagar", "Bhavnagar"
)</f>
        <v>Vallabhipur</v>
      </c>
      <c r="J392" s="5" t="s">
        <v>21</v>
      </c>
      <c r="K392" s="5" t="s">
        <v>869</v>
      </c>
      <c r="L392" s="5">
        <v>236987</v>
      </c>
      <c r="M392" s="5"/>
      <c r="N392" s="7">
        <v>45948</v>
      </c>
      <c r="O392" s="7">
        <v>45964</v>
      </c>
      <c r="P392" s="7">
        <v>45965</v>
      </c>
      <c r="Q392" s="7">
        <f t="shared" si="81"/>
        <v>46084</v>
      </c>
      <c r="R392" s="9">
        <v>3514814.96</v>
      </c>
      <c r="S392" s="33"/>
      <c r="T392" s="9">
        <v>2741555.67</v>
      </c>
      <c r="U392" s="10">
        <v>-22</v>
      </c>
      <c r="V392" s="10" t="str">
        <f t="shared" si="82"/>
        <v>Below</v>
      </c>
      <c r="W392" s="11" t="str" cm="1">
        <f t="array" ref="W392">NumberToWords(T392)</f>
        <v>Twenty Seven Lakh Forty One Thousand Five Hundred Fifty Five Rupees and Sixty Seven Paise Only</v>
      </c>
      <c r="X392" s="10" t="str">
        <f t="shared" si="83"/>
        <v>Division</v>
      </c>
      <c r="Z392" s="9">
        <f t="shared" si="84"/>
        <v>2741555.67</v>
      </c>
      <c r="AA392" s="5" t="s">
        <v>190</v>
      </c>
      <c r="AB392" s="8" t="str">
        <f>_xlfn.XLOOKUP(AA392, 'Agency List'!A$2:A$145, 'Agency List'!B$2:B$145, "Not Found")</f>
        <v>Hamirbhai Govindbhai Chavda</v>
      </c>
      <c r="AC392" s="8" t="str">
        <f>_xlfn.XLOOKUP(AA392, 'Agency List'!A$2:A$145, 'Agency List'!C$2:C$145, "Not Found")</f>
        <v>At. Lakhavad, Tal. Umrala, Dist. Bhavnagar</v>
      </c>
      <c r="AD392" s="8">
        <f>_xlfn.XLOOKUP(AA392, 'Agency List'!A$2:A$145, 'Agency List'!D$2:D$145, "Not Found")</f>
        <v>7878212124</v>
      </c>
      <c r="AE392" s="7"/>
      <c r="AF392" s="5" t="s">
        <v>896</v>
      </c>
      <c r="AG392" s="5" t="str">
        <f t="shared" si="85"/>
        <v>Karobari</v>
      </c>
      <c r="AH392" s="5"/>
      <c r="AI392" s="8"/>
      <c r="AJ392" s="8"/>
      <c r="AL392" s="16">
        <v>3</v>
      </c>
      <c r="AM392" s="12">
        <f t="shared" si="86"/>
        <v>138000</v>
      </c>
      <c r="AN392" s="7">
        <f t="shared" si="87"/>
        <v>46541</v>
      </c>
      <c r="AO392" s="12">
        <f t="shared" si="88"/>
        <v>13000</v>
      </c>
      <c r="AP392" s="12">
        <f t="shared" si="89"/>
        <v>127000</v>
      </c>
      <c r="AQ392" s="15">
        <f t="shared" si="90"/>
        <v>46126</v>
      </c>
      <c r="AR392" s="7">
        <f t="shared" si="91"/>
        <v>46481</v>
      </c>
      <c r="AS392" s="5">
        <v>1554</v>
      </c>
      <c r="AT392" s="7">
        <v>45981</v>
      </c>
      <c r="AU392" s="5" t="s">
        <v>78</v>
      </c>
      <c r="AV392" s="17">
        <v>223</v>
      </c>
      <c r="AW392" s="37">
        <v>46001</v>
      </c>
      <c r="AX392" s="5" t="s">
        <v>355</v>
      </c>
      <c r="AY392" s="5" t="s">
        <v>369</v>
      </c>
      <c r="AZ392" s="13">
        <v>44711528800</v>
      </c>
      <c r="BA392" s="12">
        <v>138000</v>
      </c>
      <c r="BB392" s="7">
        <v>45996</v>
      </c>
      <c r="BC392" s="5" t="s">
        <v>355</v>
      </c>
      <c r="BD392" s="5" t="s">
        <v>369</v>
      </c>
      <c r="BE392" s="13">
        <v>44711681609</v>
      </c>
      <c r="BF392" s="12">
        <v>127000</v>
      </c>
      <c r="BG392" s="7">
        <v>45996</v>
      </c>
      <c r="BH392" s="19">
        <v>46001</v>
      </c>
      <c r="BI392" s="5">
        <v>1604</v>
      </c>
      <c r="BJ392" s="19">
        <v>46001</v>
      </c>
      <c r="BM392" s="18"/>
      <c r="BN392" s="18"/>
      <c r="BO392" s="18"/>
      <c r="BP392" s="18"/>
      <c r="BQ392" s="5"/>
      <c r="BR392" s="18"/>
      <c r="BS392" s="18"/>
      <c r="BT392" s="35">
        <f>EDATE(BH392,AL392)-1</f>
        <v>46090</v>
      </c>
    </row>
    <row r="393" spans="1:72" ht="43.5" x14ac:dyDescent="0.35">
      <c r="A393" s="5">
        <v>392</v>
      </c>
      <c r="B393" s="5"/>
      <c r="C393" s="5" t="s">
        <v>78</v>
      </c>
      <c r="D393" s="5">
        <v>21</v>
      </c>
      <c r="E393" s="5">
        <v>7</v>
      </c>
      <c r="F393" s="8" t="s">
        <v>863</v>
      </c>
      <c r="G393" s="8"/>
      <c r="H393" s="5" t="s">
        <v>1</v>
      </c>
      <c r="I393" s="5" t="str" cm="1">
        <f t="array" ref="I393">_xlfn.IFS(
  H393="Mahuva", "Mahuva",
  H393="Jesar", "Mahuva",
  H393="Palitana", "Palitana",
  H393="Gariyadhar", "Palitana",
  H393="Talaja", "Talaja",
  H393="Vallabhipur", "Vallabhipur",
  H393="Umrala", "Vallabhipur",
  H393="Shihor", "Shihor",
  H393="Ghogha", "Bhavnagar",
  H393="Bhavnagar", "Bhavnagar"
)</f>
        <v>Bhavnagar</v>
      </c>
      <c r="J393" s="5" t="s">
        <v>256</v>
      </c>
      <c r="K393" s="5" t="s">
        <v>624</v>
      </c>
      <c r="L393" s="5">
        <v>236988</v>
      </c>
      <c r="M393" s="5">
        <v>1</v>
      </c>
      <c r="N393" s="7">
        <v>45948</v>
      </c>
      <c r="O393" s="7">
        <v>45964</v>
      </c>
      <c r="P393" s="7">
        <v>45965</v>
      </c>
      <c r="Q393" s="7">
        <f t="shared" si="81"/>
        <v>46084</v>
      </c>
      <c r="R393" s="9">
        <v>8157183.54</v>
      </c>
      <c r="S393" s="33"/>
      <c r="T393" s="9">
        <v>7356963.8300000001</v>
      </c>
      <c r="U393" s="10">
        <v>-9.81</v>
      </c>
      <c r="V393" s="10" t="str">
        <f t="shared" si="82"/>
        <v>Below</v>
      </c>
      <c r="W393" s="11" t="str" cm="1">
        <f t="array" ref="W393">NumberToWords(T393)</f>
        <v>Seventy Three Lakh Fifty Six Thousand Nine Hundred Sixty Three Rupees and Eighty Three Paise Only</v>
      </c>
      <c r="X393" s="10" t="str">
        <f t="shared" si="83"/>
        <v>Circle</v>
      </c>
      <c r="Z393" s="9">
        <f t="shared" si="84"/>
        <v>7356963.8300000001</v>
      </c>
      <c r="AA393" s="5" t="s">
        <v>858</v>
      </c>
      <c r="AB393" s="8" t="str">
        <f>_xlfn.XLOOKUP(AA393, 'Agency List'!A$2:A$145, 'Agency List'!B$2:B$145, "Not Found")</f>
        <v>Upendrakumar J. Joshi</v>
      </c>
      <c r="AC393" s="8" t="str">
        <f>_xlfn.XLOOKUP(AA393, 'Agency List'!A$2:A$145, 'Agency List'!C$2:C$145, "Not Found")</f>
        <v>At Po. Lilivav, Ta. Talaja, Dist. Bhavnagar</v>
      </c>
      <c r="AD393" s="8">
        <f>_xlfn.XLOOKUP(AA393, 'Agency List'!A$2:A$145, 'Agency List'!D$2:D$145, "Not Found")</f>
        <v>9824483166</v>
      </c>
      <c r="AE393" s="7">
        <v>45974</v>
      </c>
      <c r="AF393" s="5" t="s">
        <v>861</v>
      </c>
      <c r="AG393" s="5" t="str">
        <f t="shared" si="85"/>
        <v>Karobari</v>
      </c>
      <c r="AH393" s="55"/>
      <c r="AI393" s="49" t="s">
        <v>69</v>
      </c>
      <c r="AJ393" s="20" t="s">
        <v>862</v>
      </c>
      <c r="AK393" s="7">
        <v>45986</v>
      </c>
      <c r="AL393" s="16">
        <v>5</v>
      </c>
      <c r="AM393" s="12">
        <f t="shared" si="86"/>
        <v>368000</v>
      </c>
      <c r="AN393" s="7">
        <f t="shared" si="87"/>
        <v>46588</v>
      </c>
      <c r="AO393" s="12">
        <f t="shared" si="88"/>
        <v>18100</v>
      </c>
      <c r="AP393" s="12">
        <f t="shared" si="89"/>
        <v>0</v>
      </c>
      <c r="AQ393" s="15">
        <f t="shared" si="90"/>
        <v>46173</v>
      </c>
      <c r="AR393" s="7">
        <f t="shared" si="91"/>
        <v>46528</v>
      </c>
      <c r="AS393" s="5">
        <v>1557</v>
      </c>
      <c r="AT393" s="7">
        <v>45987</v>
      </c>
      <c r="AU393" s="5" t="s">
        <v>78</v>
      </c>
      <c r="AV393" s="17">
        <v>220</v>
      </c>
      <c r="AW393" s="37">
        <v>45988</v>
      </c>
      <c r="AX393" s="5" t="s">
        <v>355</v>
      </c>
      <c r="AY393" s="5" t="s">
        <v>723</v>
      </c>
      <c r="AZ393" s="45" t="s">
        <v>882</v>
      </c>
      <c r="BA393" s="12">
        <v>368000</v>
      </c>
      <c r="BB393" s="7">
        <v>45988</v>
      </c>
      <c r="BC393" s="14"/>
      <c r="BD393" s="14"/>
      <c r="BF393" s="12"/>
      <c r="BG393" s="14"/>
      <c r="BH393" s="19">
        <v>45988</v>
      </c>
      <c r="BI393" s="5">
        <v>1563</v>
      </c>
      <c r="BJ393" s="19">
        <v>45988</v>
      </c>
      <c r="BM393" s="18"/>
      <c r="BN393" s="18"/>
      <c r="BO393" s="18"/>
      <c r="BP393" s="18"/>
      <c r="BQ393" s="5"/>
      <c r="BR393" s="18"/>
      <c r="BS393" s="18"/>
      <c r="BT393" s="35">
        <f t="shared" ref="BT393:BT400" si="92">BH393+AL393*30</f>
        <v>46138</v>
      </c>
    </row>
    <row r="394" spans="1:72" ht="43.5" x14ac:dyDescent="0.35">
      <c r="A394" s="5">
        <v>393</v>
      </c>
      <c r="B394" s="5"/>
      <c r="C394" s="5" t="s">
        <v>78</v>
      </c>
      <c r="D394" s="5">
        <v>21</v>
      </c>
      <c r="E394" s="5">
        <v>8</v>
      </c>
      <c r="F394" s="8" t="s">
        <v>886</v>
      </c>
      <c r="G394" s="8"/>
      <c r="H394" s="5" t="s">
        <v>11</v>
      </c>
      <c r="I394" s="5" t="str" cm="1">
        <f t="array" ref="I394">_xlfn.IFS(
  H394="Mahuva", "Mahuva",
  H394="Jesar", "Mahuva",
  H394="Palitana", "Palitana",
  H394="Gariyadhar", "Palitana",
  H394="Talaja", "Talaja",
  H394="Vallabhipur", "Vallabhipur",
  H394="Umrala", "Vallabhipur",
  H394="Shihor", "Shihor",
  H394="Ghogha", "Bhavnagar",
  H394="Bhavnagar", "Bhavnagar"
)</f>
        <v>Vallabhipur</v>
      </c>
      <c r="J394" s="5" t="s">
        <v>256</v>
      </c>
      <c r="K394" s="5" t="s">
        <v>706</v>
      </c>
      <c r="L394" s="5">
        <v>236992</v>
      </c>
      <c r="M394" s="5">
        <v>1</v>
      </c>
      <c r="N394" s="7">
        <v>45948</v>
      </c>
      <c r="O394" s="7">
        <v>45964</v>
      </c>
      <c r="P394" s="7">
        <v>45965</v>
      </c>
      <c r="Q394" s="7">
        <f t="shared" si="81"/>
        <v>46084</v>
      </c>
      <c r="R394" s="9">
        <v>834276.55</v>
      </c>
      <c r="S394" s="33"/>
      <c r="T394" s="9">
        <v>788391.34</v>
      </c>
      <c r="U394" s="10">
        <v>-5.5</v>
      </c>
      <c r="V394" s="10" t="str">
        <f t="shared" si="82"/>
        <v>Below</v>
      </c>
      <c r="W394" s="11" t="str" cm="1">
        <f t="array" ref="W394">NumberToWords(T394)</f>
        <v>Seven Lakh Eighty Eight Thousand Three Hundred Ninety One Rupees and Thirty Four Paise Only</v>
      </c>
      <c r="X394" s="10" t="str">
        <f t="shared" si="83"/>
        <v>Division</v>
      </c>
      <c r="Z394" s="9">
        <f t="shared" si="84"/>
        <v>788391.34</v>
      </c>
      <c r="AA394" s="5" t="s">
        <v>870</v>
      </c>
      <c r="AB394" s="8" t="str">
        <f>_xlfn.XLOOKUP(AA394, 'Agency List'!A$2:A$145, 'Agency List'!B$2:B$145, "Not Found")</f>
        <v>Alpeshkumar Ranabhai Kalotara</v>
      </c>
      <c r="AC394" s="8" t="str">
        <f>_xlfn.XLOOKUP(AA394, 'Agency List'!A$2:A$145, 'Agency List'!C$2:C$145, "Not Found")</f>
        <v>At. Chhapariyali, Bagdana Road, Tal. Jesar, Dist. Bhavnagar - 364510</v>
      </c>
      <c r="AD394" s="8">
        <f>_xlfn.XLOOKUP(AA394, 'Agency List'!A$2:A$145, 'Agency List'!D$2:D$145, "Not Found")</f>
        <v>9773408044</v>
      </c>
      <c r="AE394" s="7"/>
      <c r="AF394" s="5" t="s">
        <v>817</v>
      </c>
      <c r="AG394" s="5" t="str">
        <f t="shared" si="85"/>
        <v>Bandhkam</v>
      </c>
      <c r="AH394" s="55"/>
      <c r="AI394" s="49"/>
      <c r="AJ394" s="20"/>
      <c r="AL394" s="16">
        <v>2</v>
      </c>
      <c r="AM394" s="12">
        <f t="shared" si="86"/>
        <v>40000</v>
      </c>
      <c r="AN394" s="7">
        <f t="shared" si="87"/>
        <v>46524</v>
      </c>
      <c r="AO394" s="12">
        <f t="shared" si="88"/>
        <v>2000</v>
      </c>
      <c r="AP394" s="12">
        <f t="shared" si="89"/>
        <v>0</v>
      </c>
      <c r="AQ394" s="15">
        <f t="shared" si="90"/>
        <v>46109</v>
      </c>
      <c r="AR394" s="7">
        <f t="shared" si="91"/>
        <v>46464</v>
      </c>
      <c r="AS394" s="5">
        <v>1564</v>
      </c>
      <c r="AT394" s="7">
        <v>45981</v>
      </c>
      <c r="AU394" s="5" t="s">
        <v>78</v>
      </c>
      <c r="AV394" s="17">
        <v>247</v>
      </c>
      <c r="AW394" s="37">
        <v>46014</v>
      </c>
      <c r="AX394" s="5" t="s">
        <v>355</v>
      </c>
      <c r="AY394" s="5" t="s">
        <v>369</v>
      </c>
      <c r="AZ394" s="13">
        <v>44731666109</v>
      </c>
      <c r="BA394" s="12">
        <v>40000</v>
      </c>
      <c r="BB394" s="7">
        <v>46002</v>
      </c>
      <c r="BC394" s="14"/>
      <c r="BD394" s="14"/>
      <c r="BF394" s="12"/>
      <c r="BG394" s="14"/>
      <c r="BH394" s="19">
        <v>46014</v>
      </c>
      <c r="BI394" s="5">
        <v>1792</v>
      </c>
      <c r="BJ394" s="19">
        <v>46014</v>
      </c>
      <c r="BM394" s="18"/>
      <c r="BN394" s="18"/>
      <c r="BO394" s="18"/>
      <c r="BP394" s="18"/>
      <c r="BQ394" s="5"/>
      <c r="BR394" s="18"/>
      <c r="BS394" s="18"/>
      <c r="BT394" s="35">
        <f t="shared" si="92"/>
        <v>46074</v>
      </c>
    </row>
    <row r="395" spans="1:72" ht="43.5" x14ac:dyDescent="0.35">
      <c r="A395" s="5">
        <v>394</v>
      </c>
      <c r="B395" s="5"/>
      <c r="C395" s="5" t="s">
        <v>78</v>
      </c>
      <c r="D395" s="5">
        <v>21</v>
      </c>
      <c r="E395" s="5">
        <v>9</v>
      </c>
      <c r="F395" s="8" t="s">
        <v>887</v>
      </c>
      <c r="G395" s="8"/>
      <c r="H395" s="5" t="s">
        <v>332</v>
      </c>
      <c r="I395" s="5" t="str" cm="1">
        <f t="array" ref="I395">_xlfn.IFS(
  H395="Mahuva", "Mahuva",
  H395="Jesar", "Mahuva",
  H395="Palitana", "Palitana",
  H395="Gariyadhar", "Palitana",
  H395="Talaja", "Talaja",
  H395="Vallabhipur", "Vallabhipur",
  H395="Umrala", "Vallabhipur",
  H395="Shihor", "Shihor",
  H395="Ghogha", "Bhavnagar",
  H395="Bhavnagar", "Bhavnagar"
)</f>
        <v>Bhavnagar</v>
      </c>
      <c r="J395" s="5" t="s">
        <v>256</v>
      </c>
      <c r="K395" s="5" t="s">
        <v>706</v>
      </c>
      <c r="L395" s="5">
        <v>236994</v>
      </c>
      <c r="M395" s="5">
        <v>1</v>
      </c>
      <c r="N395" s="7">
        <v>45948</v>
      </c>
      <c r="O395" s="7">
        <v>45964</v>
      </c>
      <c r="P395" s="7">
        <v>45965</v>
      </c>
      <c r="Q395" s="7">
        <f t="shared" si="81"/>
        <v>46084</v>
      </c>
      <c r="R395" s="9">
        <v>830092.26</v>
      </c>
      <c r="S395" s="33"/>
      <c r="T395" s="9">
        <v>722180.27</v>
      </c>
      <c r="U395" s="10">
        <v>-13</v>
      </c>
      <c r="V395" s="10" t="str">
        <f t="shared" si="82"/>
        <v>Below</v>
      </c>
      <c r="W395" s="11" t="str" cm="1">
        <f t="array" ref="W395">NumberToWords(T395)</f>
        <v>Seven Lakh Twenty Two Thousand One Hundred Eighty Rupees and Twenty Seven Paise Only</v>
      </c>
      <c r="X395" s="10" t="str">
        <f t="shared" si="83"/>
        <v>Division</v>
      </c>
      <c r="Z395" s="9">
        <f t="shared" si="84"/>
        <v>722180.27</v>
      </c>
      <c r="AA395" s="5" t="s">
        <v>871</v>
      </c>
      <c r="AB395" s="8">
        <f>_xlfn.XLOOKUP(AA395, 'Agency List'!A$2:A$145, 'Agency List'!B$2:B$145, "Not Found")</f>
        <v>0</v>
      </c>
      <c r="AC395" s="8" t="str">
        <f>_xlfn.XLOOKUP(AA395, 'Agency List'!A$2:A$145, 'Agency List'!C$2:C$145, "Not Found")</f>
        <v>Plot No. 39/B, Jawahar Colony, Bordigate, Bhavnagar - 364005</v>
      </c>
      <c r="AD395" s="8">
        <f>_xlfn.XLOOKUP(AA395, 'Agency List'!A$2:A$145, 'Agency List'!D$2:D$145, "Not Found")</f>
        <v>7990014980</v>
      </c>
      <c r="AE395" s="7"/>
      <c r="AF395" s="5" t="s">
        <v>817</v>
      </c>
      <c r="AG395" s="5" t="str">
        <f t="shared" si="85"/>
        <v>Bandhkam</v>
      </c>
      <c r="AH395" s="55"/>
      <c r="AI395" s="49"/>
      <c r="AJ395" s="20"/>
      <c r="AL395" s="16">
        <v>2</v>
      </c>
      <c r="AM395" s="12">
        <f t="shared" si="86"/>
        <v>37000</v>
      </c>
      <c r="AN395" s="7">
        <f t="shared" si="87"/>
        <v>46524</v>
      </c>
      <c r="AO395" s="12">
        <f t="shared" si="88"/>
        <v>2100</v>
      </c>
      <c r="AP395" s="12">
        <f t="shared" si="89"/>
        <v>5000</v>
      </c>
      <c r="AQ395" s="15">
        <f t="shared" si="90"/>
        <v>46109</v>
      </c>
      <c r="AR395" s="7">
        <f t="shared" si="91"/>
        <v>46464</v>
      </c>
      <c r="AS395" s="5">
        <v>1668</v>
      </c>
      <c r="AT395" s="7">
        <v>45981</v>
      </c>
      <c r="AU395" s="5" t="s">
        <v>78</v>
      </c>
      <c r="AV395" s="17">
        <v>246</v>
      </c>
      <c r="AW395" s="37">
        <v>46014</v>
      </c>
      <c r="AX395" s="5" t="s">
        <v>355</v>
      </c>
      <c r="AY395" s="5" t="s">
        <v>369</v>
      </c>
      <c r="AZ395" s="13">
        <v>44711715867</v>
      </c>
      <c r="BA395" s="12">
        <v>37000</v>
      </c>
      <c r="BB395" s="7">
        <v>45996</v>
      </c>
      <c r="BC395" s="5" t="s">
        <v>355</v>
      </c>
      <c r="BD395" s="5" t="s">
        <v>369</v>
      </c>
      <c r="BE395" s="13">
        <v>44711720060</v>
      </c>
      <c r="BF395" s="12">
        <v>5000</v>
      </c>
      <c r="BG395" s="7">
        <v>45996</v>
      </c>
      <c r="BH395" s="19">
        <v>46014</v>
      </c>
      <c r="BI395" s="5">
        <v>1791</v>
      </c>
      <c r="BJ395" s="19">
        <v>46014</v>
      </c>
      <c r="BM395" s="18"/>
      <c r="BN395" s="18"/>
      <c r="BO395" s="18"/>
      <c r="BP395" s="18"/>
      <c r="BQ395" s="5"/>
      <c r="BR395" s="18"/>
      <c r="BS395" s="18"/>
      <c r="BT395" s="35">
        <f t="shared" si="92"/>
        <v>46074</v>
      </c>
    </row>
    <row r="396" spans="1:72" ht="43.5" x14ac:dyDescent="0.35">
      <c r="A396" s="5">
        <v>395</v>
      </c>
      <c r="B396" s="5"/>
      <c r="C396" s="5" t="s">
        <v>78</v>
      </c>
      <c r="D396" s="5">
        <v>21</v>
      </c>
      <c r="E396" s="5">
        <v>10</v>
      </c>
      <c r="F396" s="8" t="s">
        <v>888</v>
      </c>
      <c r="G396" s="8"/>
      <c r="H396" s="5" t="s">
        <v>2</v>
      </c>
      <c r="I396" s="5" t="str" cm="1">
        <f t="array" ref="I396">_xlfn.IFS(
  H396="Mahuva", "Mahuva",
  H396="Jesar", "Mahuva",
  H396="Palitana", "Palitana",
  H396="Gariyadhar", "Palitana",
  H396="Talaja", "Talaja",
  H396="Vallabhipur", "Vallabhipur",
  H396="Umrala", "Vallabhipur",
  H396="Shihor", "Shihor",
  H396="Ghogha", "Bhavnagar",
  H396="Bhavnagar", "Bhavnagar"
)</f>
        <v>Vallabhipur</v>
      </c>
      <c r="J396" s="5" t="s">
        <v>256</v>
      </c>
      <c r="K396" s="5" t="s">
        <v>706</v>
      </c>
      <c r="L396" s="5">
        <v>236995</v>
      </c>
      <c r="M396" s="5">
        <v>1</v>
      </c>
      <c r="N396" s="7">
        <v>45948</v>
      </c>
      <c r="O396" s="7">
        <v>45964</v>
      </c>
      <c r="P396" s="7">
        <v>45965</v>
      </c>
      <c r="Q396" s="7">
        <f t="shared" si="81"/>
        <v>46084</v>
      </c>
      <c r="R396" s="9">
        <v>830592.97</v>
      </c>
      <c r="S396" s="33"/>
      <c r="T396" s="9">
        <v>756836.31</v>
      </c>
      <c r="U396" s="10">
        <v>-8.8800000000000008</v>
      </c>
      <c r="V396" s="10" t="str">
        <f t="shared" si="82"/>
        <v>Below</v>
      </c>
      <c r="W396" s="11" t="str" cm="1">
        <f t="array" ref="W396">NumberToWords(T396)</f>
        <v>Seven Lakh Fifty Six Thousand Eight Hundred Thirty Six Rupees and Thirty One Paise Only</v>
      </c>
      <c r="X396" s="10" t="str">
        <f t="shared" si="83"/>
        <v>Division</v>
      </c>
      <c r="Z396" s="9">
        <f t="shared" si="84"/>
        <v>756836.31</v>
      </c>
      <c r="AA396" s="5" t="s">
        <v>637</v>
      </c>
      <c r="AB396" s="8" t="str">
        <f>_xlfn.XLOOKUP(AA396, 'Agency List'!A$2:A$145, 'Agency List'!B$2:B$145, "Not Found")</f>
        <v>Amardipsinh M. Gohil</v>
      </c>
      <c r="AC396" s="8" t="str">
        <f>_xlfn.XLOOKUP(AA396, 'Agency List'!A$2:A$145, 'Agency List'!C$2:C$145, "Not Found")</f>
        <v>C 1014, Opp. SBI Bank, Kaliyabid, Bhavnagar</v>
      </c>
      <c r="AD396" s="8">
        <f>_xlfn.XLOOKUP(AA396, 'Agency List'!A$2:A$145, 'Agency List'!D$2:D$145, "Not Found")</f>
        <v>9426959999</v>
      </c>
      <c r="AE396" s="7"/>
      <c r="AF396" s="5" t="s">
        <v>817</v>
      </c>
      <c r="AG396" s="5" t="str">
        <f t="shared" si="85"/>
        <v>Bandhkam</v>
      </c>
      <c r="AH396" s="55"/>
      <c r="AI396" s="49"/>
      <c r="AJ396" s="20"/>
      <c r="AL396" s="16">
        <v>2</v>
      </c>
      <c r="AM396" s="12">
        <f t="shared" si="86"/>
        <v>38000</v>
      </c>
      <c r="AN396" s="7">
        <f t="shared" si="87"/>
        <v>46552</v>
      </c>
      <c r="AO396" s="12">
        <f t="shared" si="88"/>
        <v>1900</v>
      </c>
      <c r="AP396" s="12">
        <f t="shared" si="89"/>
        <v>0</v>
      </c>
      <c r="AQ396" s="15">
        <f t="shared" si="90"/>
        <v>46137</v>
      </c>
      <c r="AR396" s="7">
        <f t="shared" si="91"/>
        <v>46492</v>
      </c>
      <c r="AS396" s="5">
        <v>1565</v>
      </c>
      <c r="AT396" s="7">
        <v>45981</v>
      </c>
      <c r="AU396" s="5" t="s">
        <v>78</v>
      </c>
      <c r="AV396" s="17">
        <v>278</v>
      </c>
      <c r="AW396" s="37">
        <v>46042</v>
      </c>
      <c r="AX396" s="5" t="s">
        <v>355</v>
      </c>
      <c r="AY396" s="5" t="s">
        <v>369</v>
      </c>
      <c r="AZ396" s="13">
        <v>44760402038</v>
      </c>
      <c r="BA396" s="12">
        <v>38000</v>
      </c>
      <c r="BB396" s="7">
        <v>46013</v>
      </c>
      <c r="BC396" s="14"/>
      <c r="BD396" s="14"/>
      <c r="BF396" s="12"/>
      <c r="BG396" s="14"/>
      <c r="BH396" s="19">
        <v>46042</v>
      </c>
      <c r="BI396" s="5">
        <v>72</v>
      </c>
      <c r="BJ396" s="19">
        <v>46042</v>
      </c>
      <c r="BM396" s="18"/>
      <c r="BN396" s="18"/>
      <c r="BO396" s="18"/>
      <c r="BP396" s="18"/>
      <c r="BQ396" s="5"/>
      <c r="BR396" s="18"/>
      <c r="BS396" s="18"/>
      <c r="BT396" s="35">
        <f t="shared" si="92"/>
        <v>46102</v>
      </c>
    </row>
    <row r="397" spans="1:72" ht="43.5" x14ac:dyDescent="0.35">
      <c r="A397" s="5">
        <v>396</v>
      </c>
      <c r="B397" s="5"/>
      <c r="C397" s="5" t="s">
        <v>78</v>
      </c>
      <c r="D397" s="5">
        <v>21</v>
      </c>
      <c r="E397" s="5">
        <v>11</v>
      </c>
      <c r="F397" s="8" t="s">
        <v>889</v>
      </c>
      <c r="G397" s="8"/>
      <c r="H397" s="5" t="s">
        <v>278</v>
      </c>
      <c r="I397" s="5" t="str" cm="1">
        <f t="array" ref="I397">_xlfn.IFS(
  H397="Mahuva", "Mahuva",
  H397="Jesar", "Mahuva",
  H397="Palitana", "Palitana",
  H397="Gariyadhar", "Palitana",
  H397="Talaja", "Talaja",
  H397="Vallabhipur", "Vallabhipur",
  H397="Umrala", "Vallabhipur",
  H397="Shihor", "Shihor",
  H397="Ghogha", "Bhavnagar",
  H397="Bhavnagar", "Bhavnagar"
)</f>
        <v>Mahuva</v>
      </c>
      <c r="J397" s="5" t="s">
        <v>256</v>
      </c>
      <c r="K397" s="5" t="s">
        <v>706</v>
      </c>
      <c r="L397" s="5">
        <v>236996</v>
      </c>
      <c r="M397" s="5">
        <v>1</v>
      </c>
      <c r="N397" s="7">
        <v>45948</v>
      </c>
      <c r="O397" s="7">
        <v>45964</v>
      </c>
      <c r="P397" s="7">
        <v>45965</v>
      </c>
      <c r="Q397" s="7">
        <f t="shared" si="81"/>
        <v>46084</v>
      </c>
      <c r="R397" s="9">
        <v>1238183.43</v>
      </c>
      <c r="S397" s="33"/>
      <c r="T397" s="9">
        <v>1137890.57</v>
      </c>
      <c r="U397" s="10">
        <v>-8.1</v>
      </c>
      <c r="V397" s="10" t="str">
        <f t="shared" si="82"/>
        <v>Below</v>
      </c>
      <c r="W397" s="11" t="str" cm="1">
        <f t="array" ref="W397">NumberToWords(T397)</f>
        <v>Eleven Lakh Thirty Seven Thousand Eight Hundred Ninety Rupees and Fifty Seven Paise Only</v>
      </c>
      <c r="X397" s="10" t="str">
        <f t="shared" si="83"/>
        <v>Division</v>
      </c>
      <c r="Z397" s="9">
        <f t="shared" si="84"/>
        <v>1137890.57</v>
      </c>
      <c r="AA397" s="5" t="s">
        <v>870</v>
      </c>
      <c r="AB397" s="8" t="str">
        <f>_xlfn.XLOOKUP(AA397, 'Agency List'!A$2:A$145, 'Agency List'!B$2:B$145, "Not Found")</f>
        <v>Alpeshkumar Ranabhai Kalotara</v>
      </c>
      <c r="AC397" s="8" t="str">
        <f>_xlfn.XLOOKUP(AA397, 'Agency List'!A$2:A$145, 'Agency List'!C$2:C$145, "Not Found")</f>
        <v>At. Chhapariyali, Bagdana Road, Tal. Jesar, Dist. Bhavnagar - 364510</v>
      </c>
      <c r="AD397" s="8">
        <f>_xlfn.XLOOKUP(AA397, 'Agency List'!A$2:A$145, 'Agency List'!D$2:D$145, "Not Found")</f>
        <v>9773408044</v>
      </c>
      <c r="AE397" s="7"/>
      <c r="AF397" s="5" t="s">
        <v>817</v>
      </c>
      <c r="AG397" s="5" t="str">
        <f t="shared" si="85"/>
        <v>Bandhkam</v>
      </c>
      <c r="AH397" s="55"/>
      <c r="AI397" s="49"/>
      <c r="AJ397" s="20"/>
      <c r="AL397" s="16">
        <v>3</v>
      </c>
      <c r="AM397" s="12">
        <f t="shared" si="86"/>
        <v>57000</v>
      </c>
      <c r="AN397" s="7">
        <f t="shared" si="87"/>
        <v>46554</v>
      </c>
      <c r="AO397" s="12">
        <f t="shared" si="88"/>
        <v>2800</v>
      </c>
      <c r="AP397" s="12">
        <f t="shared" si="89"/>
        <v>0</v>
      </c>
      <c r="AQ397" s="15">
        <f t="shared" si="90"/>
        <v>46139</v>
      </c>
      <c r="AR397" s="7">
        <f t="shared" si="91"/>
        <v>46494</v>
      </c>
      <c r="AS397" s="5">
        <v>1567</v>
      </c>
      <c r="AT397" s="7">
        <v>45981</v>
      </c>
      <c r="AU397" s="5" t="s">
        <v>78</v>
      </c>
      <c r="AV397" s="17">
        <v>248</v>
      </c>
      <c r="AW397" s="37">
        <v>46014</v>
      </c>
      <c r="AX397" s="5" t="s">
        <v>355</v>
      </c>
      <c r="AY397" s="5" t="s">
        <v>369</v>
      </c>
      <c r="AZ397" s="13">
        <v>44731669994</v>
      </c>
      <c r="BA397" s="12">
        <v>57000</v>
      </c>
      <c r="BB397" s="7">
        <v>46002</v>
      </c>
      <c r="BC397" s="14"/>
      <c r="BD397" s="14"/>
      <c r="BF397" s="12"/>
      <c r="BG397" s="14"/>
      <c r="BH397" s="19">
        <v>46014</v>
      </c>
      <c r="BI397" s="5">
        <v>1793</v>
      </c>
      <c r="BJ397" s="19">
        <v>46014</v>
      </c>
      <c r="BM397" s="18"/>
      <c r="BN397" s="18"/>
      <c r="BO397" s="18"/>
      <c r="BP397" s="18"/>
      <c r="BQ397" s="5"/>
      <c r="BR397" s="18"/>
      <c r="BS397" s="18"/>
      <c r="BT397" s="35">
        <f t="shared" si="92"/>
        <v>46104</v>
      </c>
    </row>
    <row r="398" spans="1:72" ht="43.5" x14ac:dyDescent="0.35">
      <c r="A398" s="5">
        <v>397</v>
      </c>
      <c r="B398" s="5"/>
      <c r="C398" s="5" t="s">
        <v>78</v>
      </c>
      <c r="D398" s="5">
        <v>21</v>
      </c>
      <c r="E398" s="5">
        <v>12</v>
      </c>
      <c r="F398" s="8" t="s">
        <v>890</v>
      </c>
      <c r="G398" s="8"/>
      <c r="H398" s="5" t="s">
        <v>12</v>
      </c>
      <c r="I398" s="5" t="str" cm="1">
        <f t="array" ref="I398">_xlfn.IFS(
  H398="Mahuva", "Mahuva",
  H398="Jesar", "Mahuva",
  H398="Palitana", "Palitana",
  H398="Gariyadhar", "Palitana",
  H398="Talaja", "Talaja",
  H398="Vallabhipur", "Vallabhipur",
  H398="Umrala", "Vallabhipur",
  H398="Shihor", "Shihor",
  H398="Ghogha", "Bhavnagar",
  H398="Bhavnagar", "Bhavnagar"
)</f>
        <v>Mahuva</v>
      </c>
      <c r="J398" s="5" t="s">
        <v>256</v>
      </c>
      <c r="K398" s="5" t="s">
        <v>872</v>
      </c>
      <c r="L398" s="5">
        <v>236997</v>
      </c>
      <c r="M398" s="5">
        <v>1</v>
      </c>
      <c r="N398" s="7">
        <v>45948</v>
      </c>
      <c r="O398" s="7">
        <v>45964</v>
      </c>
      <c r="P398" s="7">
        <v>45965</v>
      </c>
      <c r="Q398" s="7">
        <f t="shared" si="81"/>
        <v>46084</v>
      </c>
      <c r="R398" s="9">
        <v>2078883.38</v>
      </c>
      <c r="S398" s="33"/>
      <c r="T398" s="9">
        <v>1908414.94</v>
      </c>
      <c r="U398" s="10">
        <v>-8.1999999999999993</v>
      </c>
      <c r="V398" s="10" t="str">
        <f t="shared" si="82"/>
        <v>Below</v>
      </c>
      <c r="W398" s="11" t="str" cm="1">
        <f t="array" ref="W398">NumberToWords(T398)</f>
        <v>Nineteen Lakh Eight Thousand Four Hundred Fourteen Rupees and Ninety Four Paise Only</v>
      </c>
      <c r="X398" s="10" t="str">
        <f t="shared" si="83"/>
        <v>Division</v>
      </c>
      <c r="Z398" s="9">
        <f t="shared" si="84"/>
        <v>1908414.94</v>
      </c>
      <c r="AA398" s="5" t="s">
        <v>870</v>
      </c>
      <c r="AB398" s="8" t="str">
        <f>_xlfn.XLOOKUP(AA398, 'Agency List'!A$2:A$145, 'Agency List'!B$2:B$145, "Not Found")</f>
        <v>Alpeshkumar Ranabhai Kalotara</v>
      </c>
      <c r="AC398" s="8" t="str">
        <f>_xlfn.XLOOKUP(AA398, 'Agency List'!A$2:A$145, 'Agency List'!C$2:C$145, "Not Found")</f>
        <v>At. Chhapariyali, Bagdana Road, Tal. Jesar, Dist. Bhavnagar - 364510</v>
      </c>
      <c r="AD398" s="8">
        <f>_xlfn.XLOOKUP(AA398, 'Agency List'!A$2:A$145, 'Agency List'!D$2:D$145, "Not Found")</f>
        <v>9773408044</v>
      </c>
      <c r="AE398" s="7"/>
      <c r="AF398" s="5" t="s">
        <v>948</v>
      </c>
      <c r="AG398" s="5" t="str">
        <f t="shared" si="85"/>
        <v>Bandhkam</v>
      </c>
      <c r="AH398" s="55"/>
      <c r="AI398" s="49"/>
      <c r="AJ398" s="20"/>
      <c r="AL398" s="16">
        <v>3</v>
      </c>
      <c r="AM398" s="12">
        <f t="shared" si="86"/>
        <v>96000</v>
      </c>
      <c r="AN398" s="7">
        <f t="shared" si="87"/>
        <v>46554</v>
      </c>
      <c r="AO398" s="12">
        <f t="shared" si="88"/>
        <v>4800</v>
      </c>
      <c r="AP398" s="12">
        <f t="shared" si="89"/>
        <v>0</v>
      </c>
      <c r="AQ398" s="15">
        <f t="shared" si="90"/>
        <v>46139</v>
      </c>
      <c r="AR398" s="7">
        <f t="shared" si="91"/>
        <v>46494</v>
      </c>
      <c r="AS398" s="5">
        <v>1566</v>
      </c>
      <c r="AT398" s="7">
        <v>45981</v>
      </c>
      <c r="AU398" s="5" t="s">
        <v>78</v>
      </c>
      <c r="AV398" s="17">
        <v>249</v>
      </c>
      <c r="AW398" s="37">
        <v>46014</v>
      </c>
      <c r="AX398" s="5" t="s">
        <v>355</v>
      </c>
      <c r="AY398" s="5" t="s">
        <v>369</v>
      </c>
      <c r="AZ398" s="13">
        <v>44731727073</v>
      </c>
      <c r="BA398" s="12">
        <v>96000</v>
      </c>
      <c r="BB398" s="7">
        <v>46002</v>
      </c>
      <c r="BC398" s="14"/>
      <c r="BD398" s="14"/>
      <c r="BF398" s="12"/>
      <c r="BG398" s="14"/>
      <c r="BH398" s="19">
        <v>46014</v>
      </c>
      <c r="BI398" s="5">
        <v>1794</v>
      </c>
      <c r="BJ398" s="19">
        <v>46014</v>
      </c>
      <c r="BM398" s="18"/>
      <c r="BN398" s="18"/>
      <c r="BO398" s="18"/>
      <c r="BP398" s="18"/>
      <c r="BQ398" s="5"/>
      <c r="BR398" s="18"/>
      <c r="BS398" s="18"/>
      <c r="BT398" s="35">
        <f t="shared" si="92"/>
        <v>46104</v>
      </c>
    </row>
    <row r="399" spans="1:72" ht="43.5" x14ac:dyDescent="0.35">
      <c r="A399" s="5">
        <v>398</v>
      </c>
      <c r="B399" s="5"/>
      <c r="C399" s="5" t="s">
        <v>78</v>
      </c>
      <c r="D399" s="5">
        <v>21</v>
      </c>
      <c r="E399" s="5">
        <v>13</v>
      </c>
      <c r="F399" s="8" t="s">
        <v>891</v>
      </c>
      <c r="G399" s="8"/>
      <c r="H399" s="5" t="s">
        <v>2</v>
      </c>
      <c r="I399" s="5" t="str" cm="1">
        <f t="array" ref="I399">_xlfn.IFS(
  H399="Mahuva", "Mahuva",
  H399="Jesar", "Mahuva",
  H399="Palitana", "Palitana",
  H399="Gariyadhar", "Palitana",
  H399="Talaja", "Talaja",
  H399="Vallabhipur", "Vallabhipur",
  H399="Umrala", "Vallabhipur",
  H399="Shihor", "Shihor",
  H399="Ghogha", "Bhavnagar",
  H399="Bhavnagar", "Bhavnagar"
)</f>
        <v>Vallabhipur</v>
      </c>
      <c r="J399" s="5" t="s">
        <v>256</v>
      </c>
      <c r="K399" s="5" t="s">
        <v>872</v>
      </c>
      <c r="L399" s="5">
        <v>236998</v>
      </c>
      <c r="M399" s="5">
        <v>1</v>
      </c>
      <c r="N399" s="7">
        <v>45948</v>
      </c>
      <c r="O399" s="7">
        <v>45964</v>
      </c>
      <c r="P399" s="7">
        <v>45965</v>
      </c>
      <c r="Q399" s="7">
        <f t="shared" si="81"/>
        <v>46084</v>
      </c>
      <c r="R399" s="9">
        <v>2078883.38</v>
      </c>
      <c r="S399" s="33"/>
      <c r="T399" s="9">
        <v>1877855.36</v>
      </c>
      <c r="U399" s="10">
        <v>-9.67</v>
      </c>
      <c r="V399" s="10" t="str">
        <f t="shared" si="82"/>
        <v>Below</v>
      </c>
      <c r="W399" s="11" t="str" cm="1">
        <f t="array" ref="W399">NumberToWords(T399)</f>
        <v>Eighteen Lakh Seventy Seven Thousand Eight Hundred Fifty Five Rupees and Thirty Six Paise Only</v>
      </c>
      <c r="X399" s="10" t="str">
        <f t="shared" si="83"/>
        <v>Division</v>
      </c>
      <c r="Z399" s="9">
        <f t="shared" si="84"/>
        <v>1877855.36</v>
      </c>
      <c r="AA399" s="5" t="s">
        <v>873</v>
      </c>
      <c r="AB399" s="8">
        <f>_xlfn.XLOOKUP(AA399, 'Agency List'!A$2:A$145, 'Agency List'!B$2:B$145, "Not Found")</f>
        <v>0</v>
      </c>
      <c r="AC399" s="8" t="str">
        <f>_xlfn.XLOOKUP(AA399, 'Agency List'!A$2:A$145, 'Agency List'!C$2:C$145, "Not Found")</f>
        <v>Rupavati Road, Gariyadhar, Dist. Bhavnagar - 364505</v>
      </c>
      <c r="AD399" s="8">
        <f>_xlfn.XLOOKUP(AA399, 'Agency List'!A$2:A$145, 'Agency List'!D$2:D$145, "Not Found")</f>
        <v>9537673951</v>
      </c>
      <c r="AE399" s="7"/>
      <c r="AF399" s="5" t="s">
        <v>935</v>
      </c>
      <c r="AG399" s="5" t="str">
        <f t="shared" si="85"/>
        <v>Bandhkam</v>
      </c>
      <c r="AH399" s="55"/>
      <c r="AI399" s="49"/>
      <c r="AJ399" s="20"/>
      <c r="AL399" s="16">
        <v>3</v>
      </c>
      <c r="AM399" s="12">
        <f t="shared" si="86"/>
        <v>94000</v>
      </c>
      <c r="AN399" s="7">
        <f t="shared" si="87"/>
        <v>46549</v>
      </c>
      <c r="AO399" s="12">
        <f t="shared" si="88"/>
        <v>4700</v>
      </c>
      <c r="AP399" s="12">
        <f t="shared" si="89"/>
        <v>0</v>
      </c>
      <c r="AQ399" s="15">
        <f t="shared" si="90"/>
        <v>46134</v>
      </c>
      <c r="AR399" s="7">
        <f t="shared" si="91"/>
        <v>46489</v>
      </c>
      <c r="AS399" s="5">
        <v>1570</v>
      </c>
      <c r="AT399" s="7">
        <v>45981</v>
      </c>
      <c r="AU399" s="5" t="s">
        <v>78</v>
      </c>
      <c r="AV399" s="17">
        <v>240</v>
      </c>
      <c r="AW399" s="37">
        <v>46009</v>
      </c>
      <c r="AX399" s="5" t="s">
        <v>355</v>
      </c>
      <c r="AY399" s="5" t="s">
        <v>369</v>
      </c>
      <c r="AZ399" s="13">
        <v>44729875208</v>
      </c>
      <c r="BA399" s="12">
        <v>94000</v>
      </c>
      <c r="BB399" s="7">
        <v>46002</v>
      </c>
      <c r="BC399" s="14"/>
      <c r="BD399" s="14"/>
      <c r="BF399" s="12"/>
      <c r="BG399" s="14"/>
      <c r="BH399" s="37">
        <v>46009</v>
      </c>
      <c r="BI399" s="5">
        <v>1742</v>
      </c>
      <c r="BJ399" s="37">
        <v>46009</v>
      </c>
      <c r="BM399" s="18"/>
      <c r="BN399" s="18"/>
      <c r="BO399" s="18"/>
      <c r="BP399" s="18"/>
      <c r="BQ399" s="5"/>
      <c r="BR399" s="18"/>
      <c r="BS399" s="18"/>
      <c r="BT399" s="35">
        <f t="shared" si="92"/>
        <v>46099</v>
      </c>
    </row>
    <row r="400" spans="1:72" ht="29" x14ac:dyDescent="0.35">
      <c r="A400" s="5">
        <v>399</v>
      </c>
      <c r="B400" s="5"/>
      <c r="C400" s="5" t="s">
        <v>78</v>
      </c>
      <c r="D400" s="5">
        <v>21</v>
      </c>
      <c r="E400" s="5">
        <v>14</v>
      </c>
      <c r="F400" s="8" t="s">
        <v>892</v>
      </c>
      <c r="G400" s="8"/>
      <c r="H400" s="5" t="s">
        <v>332</v>
      </c>
      <c r="I400" s="5" t="str" cm="1">
        <f t="array" ref="I400">_xlfn.IFS(
  H400="Mahuva", "Mahuva",
  H400="Jesar", "Mahuva",
  H400="Palitana", "Palitana",
  H400="Gariyadhar", "Palitana",
  H400="Talaja", "Talaja",
  H400="Vallabhipur", "Vallabhipur",
  H400="Umrala", "Vallabhipur",
  H400="Shihor", "Shihor",
  H400="Ghogha", "Bhavnagar",
  H400="Bhavnagar", "Bhavnagar"
)</f>
        <v>Bhavnagar</v>
      </c>
      <c r="J400" s="5" t="s">
        <v>256</v>
      </c>
      <c r="K400" s="5" t="s">
        <v>874</v>
      </c>
      <c r="L400" s="5">
        <v>236999</v>
      </c>
      <c r="M400" s="5">
        <v>1</v>
      </c>
      <c r="N400" s="7">
        <v>45948</v>
      </c>
      <c r="O400" s="7">
        <v>45964</v>
      </c>
      <c r="P400" s="7">
        <v>45965</v>
      </c>
      <c r="Q400" s="7">
        <f t="shared" si="81"/>
        <v>46084</v>
      </c>
      <c r="R400" s="9">
        <v>4552092.74</v>
      </c>
      <c r="S400" s="33"/>
      <c r="T400" s="9">
        <v>4090510.54</v>
      </c>
      <c r="U400" s="10">
        <v>-10.14</v>
      </c>
      <c r="V400" s="10" t="str">
        <f t="shared" si="82"/>
        <v>Below</v>
      </c>
      <c r="W400" s="11" t="str" cm="1">
        <f t="array" ref="W400">NumberToWords(T400)</f>
        <v>Forty Lakh Ninety Thousand Five Hundred Ten Rupees and Fifty Four Paise Only</v>
      </c>
      <c r="X400" s="10" t="str">
        <f t="shared" si="83"/>
        <v>Division</v>
      </c>
      <c r="Z400" s="9">
        <f t="shared" si="84"/>
        <v>4090510.54</v>
      </c>
      <c r="AA400" s="5" t="s">
        <v>875</v>
      </c>
      <c r="AB400" s="8">
        <f>_xlfn.XLOOKUP(AA400, 'Agency List'!A$2:A$145, 'Agency List'!B$2:B$145, "Not Found")</f>
        <v>0</v>
      </c>
      <c r="AC400" s="8" t="str">
        <f>_xlfn.XLOOKUP(AA400, 'Agency List'!A$2:A$145, 'Agency List'!C$2:C$145, "Not Found")</f>
        <v>B-4852, Punam Pooja Society, Kaliyabid, Bhavnagar - 364002</v>
      </c>
      <c r="AD400" s="8">
        <f>_xlfn.XLOOKUP(AA400, 'Agency List'!A$2:A$145, 'Agency List'!D$2:D$145, "Not Found")</f>
        <v>9106055314</v>
      </c>
      <c r="AE400" s="7"/>
      <c r="AF400" s="5" t="s">
        <v>725</v>
      </c>
      <c r="AG400" s="5" t="str">
        <f t="shared" si="85"/>
        <v>Karobari</v>
      </c>
      <c r="AH400" s="55"/>
      <c r="AI400" s="49"/>
      <c r="AJ400" s="20"/>
      <c r="AL400" s="16">
        <v>6</v>
      </c>
      <c r="AM400" s="12">
        <f t="shared" si="86"/>
        <v>205000</v>
      </c>
      <c r="AN400" s="7">
        <f t="shared" si="87"/>
        <v>46641</v>
      </c>
      <c r="AO400" s="12">
        <f t="shared" si="88"/>
        <v>10200</v>
      </c>
      <c r="AP400" s="12">
        <f t="shared" si="89"/>
        <v>2000</v>
      </c>
      <c r="AQ400" s="15">
        <f t="shared" si="90"/>
        <v>46226</v>
      </c>
      <c r="AR400" s="7">
        <f t="shared" si="91"/>
        <v>46581</v>
      </c>
      <c r="AS400" s="5">
        <v>1569</v>
      </c>
      <c r="AT400" s="7">
        <v>45981</v>
      </c>
      <c r="AU400" s="5" t="s">
        <v>78</v>
      </c>
      <c r="AV400" s="17">
        <v>242</v>
      </c>
      <c r="AW400" s="37">
        <v>46011</v>
      </c>
      <c r="AX400" s="5" t="s">
        <v>355</v>
      </c>
      <c r="AY400" s="5" t="s">
        <v>369</v>
      </c>
      <c r="AZ400" s="13">
        <v>44733441571</v>
      </c>
      <c r="BA400" s="12">
        <v>205000</v>
      </c>
      <c r="BB400" s="7">
        <v>46003</v>
      </c>
      <c r="BC400" s="5" t="s">
        <v>355</v>
      </c>
      <c r="BD400" s="5" t="s">
        <v>369</v>
      </c>
      <c r="BE400" s="13">
        <v>44733424907</v>
      </c>
      <c r="BF400" s="12">
        <v>2000</v>
      </c>
      <c r="BG400" s="7">
        <v>46003</v>
      </c>
      <c r="BH400" s="19">
        <v>46011</v>
      </c>
      <c r="BI400" s="5">
        <v>1786</v>
      </c>
      <c r="BJ400" s="19">
        <v>46011</v>
      </c>
      <c r="BM400" s="18"/>
      <c r="BN400" s="18"/>
      <c r="BO400" s="18"/>
      <c r="BP400" s="18"/>
      <c r="BQ400" s="5"/>
      <c r="BR400" s="18"/>
      <c r="BS400" s="18"/>
      <c r="BT400" s="35">
        <f t="shared" si="92"/>
        <v>46191</v>
      </c>
    </row>
    <row r="401" spans="1:72" ht="58" x14ac:dyDescent="0.35">
      <c r="A401" s="5">
        <v>400</v>
      </c>
      <c r="B401" s="5"/>
      <c r="C401" s="5" t="s">
        <v>78</v>
      </c>
      <c r="D401" s="5">
        <v>21</v>
      </c>
      <c r="E401" s="5">
        <v>15</v>
      </c>
      <c r="F401" s="8" t="s">
        <v>877</v>
      </c>
      <c r="G401" s="8"/>
      <c r="H401" s="5" t="s">
        <v>1</v>
      </c>
      <c r="I401" s="5" t="str" cm="1">
        <f t="array" ref="I401">_xlfn.IFS(
  H401="Mahuva", "Mahuva",
  H401="Jesar", "Mahuva",
  H401="Palitana", "Palitana",
  H401="Gariyadhar", "Palitana",
  H401="Talaja", "Talaja",
  H401="Vallabhipur", "Vallabhipur",
  H401="Umrala", "Vallabhipur",
  H401="Shihor", "Shihor",
  H401="Ghogha", "Bhavnagar",
  H401="Bhavnagar", "Bhavnagar"
)</f>
        <v>Bhavnagar</v>
      </c>
      <c r="J401" s="5" t="s">
        <v>21</v>
      </c>
      <c r="K401" s="5" t="s">
        <v>868</v>
      </c>
      <c r="L401" s="5">
        <v>236991</v>
      </c>
      <c r="M401" s="5">
        <v>1</v>
      </c>
      <c r="N401" s="7">
        <v>45948</v>
      </c>
      <c r="O401" s="7">
        <v>45964</v>
      </c>
      <c r="P401" s="7">
        <v>45965</v>
      </c>
      <c r="Q401" s="7">
        <f t="shared" si="81"/>
        <v>46084</v>
      </c>
      <c r="R401" s="9">
        <v>9616260.9100000001</v>
      </c>
      <c r="S401" s="33" t="s">
        <v>233</v>
      </c>
      <c r="U401" s="10"/>
      <c r="V401" s="10" t="str">
        <f t="shared" si="82"/>
        <v>Equals</v>
      </c>
      <c r="W401" s="11" t="str" cm="1">
        <f t="array" ref="W401">NumberToWords(T401)</f>
        <v>Zero Rupees Only</v>
      </c>
      <c r="X401" s="10" t="str">
        <f t="shared" si="83"/>
        <v>Division</v>
      </c>
      <c r="Z401" s="9">
        <f t="shared" si="84"/>
        <v>0</v>
      </c>
      <c r="AB401" s="8">
        <f>_xlfn.XLOOKUP(AA401, 'Agency List'!A$2:A$145, 'Agency List'!B$2:B$145, "Not Found")</f>
        <v>0</v>
      </c>
      <c r="AC401" s="8">
        <f>_xlfn.XLOOKUP(AA401, 'Agency List'!A$2:A$145, 'Agency List'!C$2:C$145, "Not Found")</f>
        <v>0</v>
      </c>
      <c r="AD401" s="8">
        <f>_xlfn.XLOOKUP(AA401, 'Agency List'!A$2:A$145, 'Agency List'!D$2:D$145, "Not Found")</f>
        <v>0</v>
      </c>
      <c r="AE401" s="7"/>
      <c r="AF401" s="5"/>
      <c r="AG401" s="5" t="str">
        <f t="shared" si="85"/>
        <v>Bandhkam</v>
      </c>
      <c r="AH401" s="55"/>
      <c r="AI401" s="49"/>
      <c r="AJ401" s="20"/>
      <c r="AL401" s="16"/>
      <c r="AM401" s="12">
        <f t="shared" si="86"/>
        <v>0</v>
      </c>
      <c r="AN401" s="7">
        <f t="shared" si="87"/>
        <v>46473</v>
      </c>
      <c r="AO401" s="12">
        <f t="shared" si="88"/>
        <v>0</v>
      </c>
      <c r="AP401" s="12">
        <f t="shared" si="89"/>
        <v>0</v>
      </c>
      <c r="AQ401" s="15">
        <f t="shared" si="90"/>
        <v>46058</v>
      </c>
      <c r="AR401" s="7">
        <f t="shared" si="91"/>
        <v>46413</v>
      </c>
      <c r="AS401" s="5"/>
      <c r="AU401" s="5"/>
      <c r="AV401" s="17"/>
      <c r="AW401" s="17"/>
      <c r="AX401" s="5"/>
      <c r="AY401" s="5"/>
      <c r="AZ401" s="13"/>
      <c r="BA401" s="12"/>
      <c r="BB401" s="7"/>
      <c r="BC401" s="14"/>
      <c r="BD401" s="14"/>
      <c r="BF401" s="12"/>
      <c r="BG401" s="14"/>
      <c r="BH401" s="19">
        <v>46023</v>
      </c>
      <c r="BI401" s="5"/>
      <c r="BM401" s="18"/>
      <c r="BN401" s="18"/>
      <c r="BO401" s="18"/>
      <c r="BP401" s="18"/>
      <c r="BQ401" s="5"/>
      <c r="BR401" s="18"/>
      <c r="BS401" s="18"/>
      <c r="BT401" s="35">
        <f>EDATE(BH401,AL401)-1</f>
        <v>46022</v>
      </c>
    </row>
    <row r="402" spans="1:72" ht="43.5" x14ac:dyDescent="0.35">
      <c r="A402" s="5">
        <v>401</v>
      </c>
      <c r="B402" s="5"/>
      <c r="C402" s="5" t="s">
        <v>78</v>
      </c>
      <c r="D402" s="5">
        <v>21</v>
      </c>
      <c r="E402" s="5">
        <v>16</v>
      </c>
      <c r="F402" s="8" t="s">
        <v>893</v>
      </c>
      <c r="G402" s="8"/>
      <c r="H402" s="5" t="s">
        <v>332</v>
      </c>
      <c r="I402" s="5" t="str" cm="1">
        <f t="array" ref="I402">_xlfn.IFS(
  H402="Mahuva", "Mahuva",
  H402="Jesar", "Mahuva",
  H402="Palitana", "Palitana",
  H402="Gariyadhar", "Palitana",
  H402="Talaja", "Talaja",
  H402="Vallabhipur", "Vallabhipur",
  H402="Umrala", "Vallabhipur",
  H402="Shihor", "Shihor",
  H402="Ghogha", "Bhavnagar",
  H402="Bhavnagar", "Bhavnagar"
)</f>
        <v>Bhavnagar</v>
      </c>
      <c r="J402" s="5" t="s">
        <v>256</v>
      </c>
      <c r="K402" s="5" t="s">
        <v>876</v>
      </c>
      <c r="L402" s="5">
        <v>237000</v>
      </c>
      <c r="M402" s="5">
        <v>1</v>
      </c>
      <c r="N402" s="7">
        <v>45948</v>
      </c>
      <c r="O402" s="7">
        <v>45964</v>
      </c>
      <c r="P402" s="7">
        <v>45965</v>
      </c>
      <c r="Q402" s="7">
        <f t="shared" si="81"/>
        <v>46084</v>
      </c>
      <c r="R402" s="9">
        <v>1971286.08</v>
      </c>
      <c r="S402" s="33"/>
      <c r="T402" s="9">
        <v>1811611.91</v>
      </c>
      <c r="U402" s="10">
        <v>-8.1</v>
      </c>
      <c r="V402" s="10" t="str">
        <f t="shared" si="82"/>
        <v>Below</v>
      </c>
      <c r="W402" s="11" t="str" cm="1">
        <f t="array" ref="W402">NumberToWords(T402)</f>
        <v>Eighteen Lakh Eleven Thousand Six Hundred Eleven Rupees and Ninety One Paise Only</v>
      </c>
      <c r="X402" s="10" t="str">
        <f t="shared" si="83"/>
        <v>Division</v>
      </c>
      <c r="Z402" s="9">
        <f t="shared" si="84"/>
        <v>1811611.91</v>
      </c>
      <c r="AA402" s="5" t="s">
        <v>870</v>
      </c>
      <c r="AB402" s="8" t="str">
        <f>_xlfn.XLOOKUP(AA402, 'Agency List'!A$2:A$145, 'Agency List'!B$2:B$145, "Not Found")</f>
        <v>Alpeshkumar Ranabhai Kalotara</v>
      </c>
      <c r="AC402" s="8" t="str">
        <f>_xlfn.XLOOKUP(AA402, 'Agency List'!A$2:A$145, 'Agency List'!C$2:C$145, "Not Found")</f>
        <v>At. Chhapariyali, Bagdana Road, Tal. Jesar, Dist. Bhavnagar - 364510</v>
      </c>
      <c r="AD402" s="8">
        <f>_xlfn.XLOOKUP(AA402, 'Agency List'!A$2:A$145, 'Agency List'!D$2:D$145, "Not Found")</f>
        <v>9773408044</v>
      </c>
      <c r="AE402" s="7"/>
      <c r="AF402" s="5" t="s">
        <v>949</v>
      </c>
      <c r="AG402" s="5" t="str">
        <f t="shared" si="85"/>
        <v>Bandhkam</v>
      </c>
      <c r="AH402" s="55"/>
      <c r="AI402" s="49"/>
      <c r="AJ402" s="20"/>
      <c r="AL402" s="16">
        <v>4</v>
      </c>
      <c r="AM402" s="12">
        <f t="shared" si="86"/>
        <v>91000</v>
      </c>
      <c r="AN402" s="7">
        <f t="shared" si="87"/>
        <v>46584</v>
      </c>
      <c r="AO402" s="12">
        <f t="shared" si="88"/>
        <v>4500</v>
      </c>
      <c r="AP402" s="12">
        <f t="shared" si="89"/>
        <v>0</v>
      </c>
      <c r="AQ402" s="15">
        <f t="shared" si="90"/>
        <v>46169</v>
      </c>
      <c r="AR402" s="7">
        <f t="shared" si="91"/>
        <v>46524</v>
      </c>
      <c r="AS402" s="5">
        <v>1571</v>
      </c>
      <c r="AT402" s="7">
        <v>45981</v>
      </c>
      <c r="AU402" s="5" t="s">
        <v>78</v>
      </c>
      <c r="AV402" s="17">
        <v>250</v>
      </c>
      <c r="AW402" s="37">
        <v>46014</v>
      </c>
      <c r="AX402" s="5" t="s">
        <v>355</v>
      </c>
      <c r="AY402" s="5" t="s">
        <v>369</v>
      </c>
      <c r="AZ402" s="13">
        <v>44731726228</v>
      </c>
      <c r="BA402" s="12">
        <v>91000</v>
      </c>
      <c r="BB402" s="7">
        <v>46002</v>
      </c>
      <c r="BC402" s="14"/>
      <c r="BD402" s="14"/>
      <c r="BF402" s="12"/>
      <c r="BG402" s="14"/>
      <c r="BH402" s="19">
        <v>46014</v>
      </c>
      <c r="BI402" s="5">
        <v>1795</v>
      </c>
      <c r="BJ402" s="19">
        <v>46014</v>
      </c>
      <c r="BM402" s="18"/>
      <c r="BN402" s="18"/>
      <c r="BO402" s="18"/>
      <c r="BP402" s="18"/>
      <c r="BQ402" s="5"/>
      <c r="BR402" s="18"/>
      <c r="BS402" s="18"/>
      <c r="BT402" s="35">
        <f>BH402+AL402*30</f>
        <v>46134</v>
      </c>
    </row>
    <row r="403" spans="1:72" ht="43.5" x14ac:dyDescent="0.35">
      <c r="A403" s="5">
        <v>402</v>
      </c>
      <c r="B403" s="5"/>
      <c r="C403" s="5" t="s">
        <v>78</v>
      </c>
      <c r="D403" s="5">
        <v>22</v>
      </c>
      <c r="E403" s="5">
        <v>1</v>
      </c>
      <c r="F403" s="8" t="s">
        <v>1093</v>
      </c>
      <c r="G403" s="8"/>
      <c r="H403" s="5"/>
      <c r="I403" s="5" t="e" cm="1">
        <f t="array" ref="I403">_xlfn.IFS(
  H403="Mahuva", "Mahuva",
  H403="Jesar", "Mahuva",
  H403="Palitana", "Palitana",
  H403="Gariyadhar", "Palitana",
  H403="Talaja", "Talaja",
  H403="Vallabhipur", "Vallabhipur",
  H403="Umrala", "Vallabhipur",
  H403="Shihor", "Shihor",
  H403="Ghogha", "Bhavnagar",
  H403="Bhavnagar", "Bhavnagar"
)</f>
        <v>#N/A</v>
      </c>
      <c r="J403" s="5"/>
      <c r="K403" s="5"/>
      <c r="M403" s="5"/>
      <c r="Q403" s="7">
        <f t="shared" si="81"/>
        <v>120</v>
      </c>
      <c r="S403" s="33"/>
      <c r="U403" s="10"/>
      <c r="V403" s="10" t="str">
        <f t="shared" si="82"/>
        <v>Equals</v>
      </c>
      <c r="W403" s="11" t="str" cm="1">
        <f t="array" ref="W403">NumberToWords(T403)</f>
        <v>Zero Rupees Only</v>
      </c>
      <c r="X403" s="10" t="str">
        <f t="shared" si="83"/>
        <v>Division</v>
      </c>
      <c r="Z403" s="9">
        <f t="shared" si="84"/>
        <v>0</v>
      </c>
      <c r="AB403" s="8">
        <f>_xlfn.XLOOKUP(AA403, 'Agency List'!A$2:A$145, 'Agency List'!B$2:B$145, "Not Found")</f>
        <v>0</v>
      </c>
      <c r="AC403" s="8">
        <f>_xlfn.XLOOKUP(AA403, 'Agency List'!A$2:A$145, 'Agency List'!C$2:C$145, "Not Found")</f>
        <v>0</v>
      </c>
      <c r="AD403" s="8">
        <f>_xlfn.XLOOKUP(AA403, 'Agency List'!A$2:A$145, 'Agency List'!D$2:D$145, "Not Found")</f>
        <v>0</v>
      </c>
      <c r="AE403" s="7"/>
      <c r="AF403" s="5"/>
      <c r="AG403" s="5" t="str">
        <f t="shared" si="85"/>
        <v>Bandhkam</v>
      </c>
      <c r="AH403" s="55"/>
      <c r="AI403" s="49"/>
      <c r="AJ403" s="20"/>
      <c r="AL403" s="16"/>
      <c r="AM403" s="12">
        <f t="shared" si="86"/>
        <v>0</v>
      </c>
      <c r="AN403" s="7">
        <f t="shared" si="87"/>
        <v>450</v>
      </c>
      <c r="AO403" s="12">
        <f t="shared" si="88"/>
        <v>0</v>
      </c>
      <c r="AP403" s="12">
        <f t="shared" si="89"/>
        <v>0</v>
      </c>
      <c r="AQ403" s="15">
        <f t="shared" si="90"/>
        <v>35</v>
      </c>
      <c r="AR403" s="7">
        <f t="shared" si="91"/>
        <v>390</v>
      </c>
      <c r="AS403" s="5"/>
      <c r="AU403" s="5"/>
      <c r="AV403" s="17"/>
      <c r="AW403" s="17"/>
      <c r="AX403" s="5"/>
      <c r="AY403" s="5"/>
      <c r="AZ403" s="13"/>
      <c r="BA403" s="12"/>
      <c r="BB403" s="7"/>
      <c r="BC403" s="14"/>
      <c r="BD403" s="14"/>
      <c r="BF403" s="12"/>
      <c r="BG403" s="14"/>
      <c r="BH403" s="19"/>
      <c r="BI403" s="5"/>
      <c r="BM403" s="18"/>
      <c r="BN403" s="18"/>
      <c r="BO403" s="18"/>
      <c r="BP403" s="18"/>
      <c r="BQ403" s="5"/>
      <c r="BR403" s="18"/>
      <c r="BS403" s="18"/>
      <c r="BT403" s="35">
        <f>EDATE(BH403,AL403)-1</f>
        <v>-1</v>
      </c>
    </row>
    <row r="404" spans="1:72" ht="58" x14ac:dyDescent="0.35">
      <c r="A404" s="5">
        <v>403</v>
      </c>
      <c r="B404" s="5"/>
      <c r="C404" s="5" t="s">
        <v>78</v>
      </c>
      <c r="D404" s="5">
        <v>22</v>
      </c>
      <c r="E404" s="5">
        <v>2</v>
      </c>
      <c r="F404" s="8" t="s">
        <v>877</v>
      </c>
      <c r="G404" s="8"/>
      <c r="H404" s="5" t="s">
        <v>1</v>
      </c>
      <c r="I404" s="5" t="str" cm="1">
        <f t="array" ref="I404">_xlfn.IFS(
  H404="Mahuva", "Mahuva",
  H404="Jesar", "Mahuva",
  H404="Palitana", "Palitana",
  H404="Gariyadhar", "Palitana",
  H404="Talaja", "Talaja",
  H404="Vallabhipur", "Vallabhipur",
  H404="Umrala", "Vallabhipur",
  H404="Shihor", "Shihor",
  H404="Ghogha", "Bhavnagar",
  H404="Bhavnagar", "Bhavnagar"
)</f>
        <v>Bhavnagar</v>
      </c>
      <c r="J404" s="5" t="s">
        <v>21</v>
      </c>
      <c r="K404" s="5" t="s">
        <v>868</v>
      </c>
      <c r="L404" s="5">
        <v>243353</v>
      </c>
      <c r="M404" s="5"/>
      <c r="N404" s="7">
        <v>45975</v>
      </c>
      <c r="O404" s="7">
        <v>45987</v>
      </c>
      <c r="P404" s="7">
        <v>45988</v>
      </c>
      <c r="Q404" s="7">
        <f t="shared" si="81"/>
        <v>46107</v>
      </c>
      <c r="R404" s="9">
        <v>96162650.909999996</v>
      </c>
      <c r="S404" s="33"/>
      <c r="T404" s="9">
        <v>105778916</v>
      </c>
      <c r="U404" s="10">
        <v>10</v>
      </c>
      <c r="V404" s="10" t="str">
        <f t="shared" si="82"/>
        <v>Above</v>
      </c>
      <c r="W404" s="11" t="str" cm="1">
        <f t="array" ref="W404">NumberToWords(T404)</f>
        <v>Ten Crore Fifty Seven Lakh Seventy Eight Thousand Nine Hundred Sixteen Rupees Only</v>
      </c>
      <c r="X404" s="10" t="str">
        <f t="shared" si="83"/>
        <v>Government</v>
      </c>
      <c r="Z404" s="9">
        <f t="shared" si="84"/>
        <v>105778916</v>
      </c>
      <c r="AA404" s="5" t="s">
        <v>80</v>
      </c>
      <c r="AB404" s="8" t="str">
        <f>_xlfn.XLOOKUP(AA404, 'Agency List'!A$2:A$145, 'Agency List'!B$2:B$145, "Not Found")</f>
        <v>BHADRESHSINH BHAGWATSING GOHIL</v>
      </c>
      <c r="AC404" s="8" t="str">
        <f>_xlfn.XLOOKUP(AA404, 'Agency List'!A$2:A$145, 'Agency List'!C$2:C$145, "Not Found")</f>
        <v>A/8, AKSHARDEEP COMPLEX, OPP. DEEPAK MEMORIAL HALL, SANSKAR MANDAL, BHAVNAGAR-364002</v>
      </c>
      <c r="AD404" s="8">
        <f>_xlfn.XLOOKUP(AA404, 'Agency List'!A$2:A$145, 'Agency List'!D$2:D$145, "Not Found")</f>
        <v>9925209999</v>
      </c>
      <c r="AE404" s="7">
        <v>46050</v>
      </c>
      <c r="AF404" s="5"/>
      <c r="AG404" s="5" t="str">
        <f t="shared" si="85"/>
        <v>Karobari</v>
      </c>
      <c r="AH404" s="55"/>
      <c r="AI404" s="49"/>
      <c r="AJ404" s="20"/>
      <c r="AL404" s="16"/>
      <c r="AM404" s="12">
        <f t="shared" si="86"/>
        <v>5289000</v>
      </c>
      <c r="AN404" s="7">
        <f t="shared" si="87"/>
        <v>1170</v>
      </c>
      <c r="AO404" s="12">
        <f t="shared" si="88"/>
        <v>259200</v>
      </c>
      <c r="AP404" s="12">
        <f t="shared" si="89"/>
        <v>0</v>
      </c>
      <c r="AQ404" s="15">
        <f t="shared" si="90"/>
        <v>35</v>
      </c>
      <c r="AR404" s="7">
        <f t="shared" si="91"/>
        <v>1110</v>
      </c>
      <c r="AS404" s="5"/>
      <c r="AU404" s="5"/>
      <c r="AV404" s="17"/>
      <c r="AW404" s="17"/>
      <c r="AX404" s="5"/>
      <c r="AY404" s="5"/>
      <c r="AZ404" s="13"/>
      <c r="BA404" s="12"/>
      <c r="BB404" s="7"/>
      <c r="BC404" s="14"/>
      <c r="BD404" s="14"/>
      <c r="BF404" s="12"/>
      <c r="BG404" s="14"/>
      <c r="BH404" s="19"/>
      <c r="BI404" s="5"/>
      <c r="BM404" s="18"/>
      <c r="BN404" s="18"/>
      <c r="BO404" s="18"/>
      <c r="BP404" s="18"/>
      <c r="BQ404" s="5"/>
      <c r="BR404" s="18"/>
      <c r="BS404" s="18"/>
      <c r="BT404" s="35">
        <f>EDATE(BH404,AL404)-1</f>
        <v>-1</v>
      </c>
    </row>
    <row r="405" spans="1:72" ht="43.5" x14ac:dyDescent="0.35">
      <c r="A405" s="5">
        <v>404</v>
      </c>
      <c r="B405" s="5"/>
      <c r="C405" s="5" t="s">
        <v>78</v>
      </c>
      <c r="D405" s="5">
        <v>22</v>
      </c>
      <c r="E405" s="5">
        <v>3</v>
      </c>
      <c r="F405" s="8" t="s">
        <v>929</v>
      </c>
      <c r="G405" s="8"/>
      <c r="H405" s="5" t="s">
        <v>13</v>
      </c>
      <c r="I405" s="5" t="str" cm="1">
        <f t="array" ref="I405">_xlfn.IFS(
  H405="Mahuva", "Mahuva",
  H405="Jesar", "Mahuva",
  H405="Palitana", "Palitana",
  H405="Gariyadhar", "Palitana",
  H405="Talaja", "Talaja",
  H405="Vallabhipur", "Vallabhipur",
  H405="Umrala", "Vallabhipur",
  H405="Shihor", "Shihor",
  H405="Ghogha", "Bhavnagar",
  H405="Bhavnagar", "Bhavnagar"
)</f>
        <v>Shihor</v>
      </c>
      <c r="J405" s="5" t="s">
        <v>256</v>
      </c>
      <c r="K405" s="5" t="s">
        <v>708</v>
      </c>
      <c r="L405" s="5">
        <v>243378</v>
      </c>
      <c r="M405" s="5">
        <v>1</v>
      </c>
      <c r="N405" s="7">
        <v>45975</v>
      </c>
      <c r="O405" s="7">
        <v>45987</v>
      </c>
      <c r="P405" s="7">
        <v>45988</v>
      </c>
      <c r="Q405" s="7">
        <f t="shared" si="81"/>
        <v>46107</v>
      </c>
      <c r="R405" s="9">
        <v>33146866.050000001</v>
      </c>
      <c r="S405" s="33"/>
      <c r="T405" s="9">
        <v>26113101.07</v>
      </c>
      <c r="U405" s="10">
        <v>-21.22</v>
      </c>
      <c r="V405" s="10" t="str">
        <f t="shared" si="82"/>
        <v>Below</v>
      </c>
      <c r="W405" s="11" t="str" cm="1">
        <f t="array" ref="W405">NumberToWords(T405)</f>
        <v>Two Crore Sixty One Lakh Thirteen Thousand One Hundred One Rupees and Seven Paise Only</v>
      </c>
      <c r="X405" s="10" t="str">
        <f t="shared" si="83"/>
        <v>Government</v>
      </c>
      <c r="Z405" s="9">
        <f t="shared" si="84"/>
        <v>26113101.07</v>
      </c>
      <c r="AA405" s="5" t="s">
        <v>930</v>
      </c>
      <c r="AB405" s="8">
        <f>_xlfn.XLOOKUP(AA405, 'Agency List'!A$2:A$145, 'Agency List'!B$2:B$145, "Not Found")</f>
        <v>0</v>
      </c>
      <c r="AC405" s="8" t="str">
        <f>_xlfn.XLOOKUP(AA405, 'Agency List'!A$2:A$145, 'Agency List'!C$2:C$145, "Not Found")</f>
        <v>320, Sky Zone near Shyamdham Temple, Varachha Road, Surat - 395006</v>
      </c>
      <c r="AD405" s="8">
        <f>_xlfn.XLOOKUP(AA405, 'Agency List'!A$2:A$145, 'Agency List'!D$2:D$145, "Not Found")</f>
        <v>9904952806</v>
      </c>
      <c r="AE405" s="7">
        <v>45997</v>
      </c>
      <c r="AF405" s="5" t="s">
        <v>825</v>
      </c>
      <c r="AG405" s="5" t="str">
        <f t="shared" si="85"/>
        <v>Karobari</v>
      </c>
      <c r="AH405" s="55"/>
      <c r="AI405" s="49" t="s">
        <v>231</v>
      </c>
      <c r="AJ405" s="8" t="s">
        <v>931</v>
      </c>
      <c r="AK405" s="7">
        <v>46003</v>
      </c>
      <c r="AL405" s="16">
        <v>11</v>
      </c>
      <c r="AM405" s="12">
        <f t="shared" si="86"/>
        <v>1306000</v>
      </c>
      <c r="AN405" s="7">
        <f t="shared" si="87"/>
        <v>47523</v>
      </c>
      <c r="AO405" s="12">
        <f t="shared" si="88"/>
        <v>118700</v>
      </c>
      <c r="AP405" s="12">
        <f t="shared" si="89"/>
        <v>1116000</v>
      </c>
      <c r="AQ405" s="15">
        <f t="shared" si="90"/>
        <v>46388</v>
      </c>
      <c r="AR405" s="7">
        <f t="shared" si="91"/>
        <v>47463</v>
      </c>
      <c r="AS405" s="5">
        <v>1740</v>
      </c>
      <c r="AT405" s="7">
        <v>46003</v>
      </c>
      <c r="AU405" s="5"/>
      <c r="AV405" s="17"/>
      <c r="AW405" s="60"/>
      <c r="AX405" s="5"/>
      <c r="AY405" s="5"/>
      <c r="AZ405" s="13"/>
      <c r="BA405" s="12"/>
      <c r="BB405" s="7"/>
      <c r="BC405" s="14"/>
      <c r="BD405" s="14"/>
      <c r="BF405" s="12"/>
      <c r="BG405" s="14"/>
      <c r="BH405" s="19">
        <v>46023</v>
      </c>
      <c r="BI405" s="5"/>
      <c r="BM405" s="18"/>
      <c r="BN405" s="18"/>
      <c r="BO405" s="18"/>
      <c r="BP405" s="18"/>
      <c r="BQ405" s="5"/>
      <c r="BR405" s="18"/>
      <c r="BS405" s="18"/>
      <c r="BT405" s="35"/>
    </row>
    <row r="406" spans="1:72" ht="43.5" x14ac:dyDescent="0.35">
      <c r="A406" s="5">
        <v>405</v>
      </c>
      <c r="B406" s="5"/>
      <c r="C406" s="5" t="s">
        <v>78</v>
      </c>
      <c r="D406" s="5">
        <v>22</v>
      </c>
      <c r="E406" s="5">
        <v>4</v>
      </c>
      <c r="F406" s="8" t="s">
        <v>932</v>
      </c>
      <c r="G406" s="8"/>
      <c r="H406" s="5" t="s">
        <v>3</v>
      </c>
      <c r="I406" s="5" t="str" cm="1">
        <f t="array" ref="I406">_xlfn.IFS(
  H406="Mahuva", "Mahuva",
  H406="Jesar", "Mahuva",
  H406="Palitana", "Palitana",
  H406="Gariyadhar", "Palitana",
  H406="Talaja", "Talaja",
  H406="Vallabhipur", "Vallabhipur",
  H406="Umrala", "Vallabhipur",
  H406="Shihor", "Shihor",
  H406="Ghogha", "Bhavnagar",
  H406="Bhavnagar", "Bhavnagar"
)</f>
        <v>Palitana</v>
      </c>
      <c r="J406" s="5" t="s">
        <v>256</v>
      </c>
      <c r="K406" s="5" t="s">
        <v>708</v>
      </c>
      <c r="L406" s="5">
        <v>243393</v>
      </c>
      <c r="M406" s="5">
        <v>1</v>
      </c>
      <c r="N406" s="7">
        <v>45975</v>
      </c>
      <c r="O406" s="7">
        <v>45987</v>
      </c>
      <c r="P406" s="7">
        <v>45988</v>
      </c>
      <c r="Q406" s="7">
        <f t="shared" si="81"/>
        <v>46107</v>
      </c>
      <c r="R406" s="9">
        <v>32363184.190000001</v>
      </c>
      <c r="S406" s="33"/>
      <c r="T406" s="9">
        <v>24848452.82</v>
      </c>
      <c r="U406" s="10">
        <v>-23.22</v>
      </c>
      <c r="V406" s="10" t="str">
        <f t="shared" si="82"/>
        <v>Below</v>
      </c>
      <c r="W406" s="11" t="str" cm="1">
        <f t="array" ref="W406">NumberToWords(T406)</f>
        <v>Two Crore Forty Eight Lakh Forty Eight Thousand Four Hundred Fifty Two Rupees and Eighty Two Paise Only</v>
      </c>
      <c r="X406" s="10" t="str">
        <f t="shared" si="83"/>
        <v>Government</v>
      </c>
      <c r="Z406" s="9">
        <f t="shared" si="84"/>
        <v>24848452.82</v>
      </c>
      <c r="AA406" s="5" t="s">
        <v>930</v>
      </c>
      <c r="AB406" s="8">
        <f>_xlfn.XLOOKUP(AA406, 'Agency List'!A$2:A$145, 'Agency List'!B$2:B$145, "Not Found")</f>
        <v>0</v>
      </c>
      <c r="AC406" s="8" t="str">
        <f>_xlfn.XLOOKUP(AA406, 'Agency List'!A$2:A$145, 'Agency List'!C$2:C$145, "Not Found")</f>
        <v>320, Sky Zone near Shyamdham Temple, Varachha Road, Surat - 395006</v>
      </c>
      <c r="AD406" s="8">
        <f>_xlfn.XLOOKUP(AA406, 'Agency List'!A$2:A$145, 'Agency List'!D$2:D$145, "Not Found")</f>
        <v>9904952806</v>
      </c>
      <c r="AE406" s="7">
        <v>45997</v>
      </c>
      <c r="AF406" s="5" t="s">
        <v>825</v>
      </c>
      <c r="AG406" s="5" t="str">
        <f t="shared" si="85"/>
        <v>Karobari</v>
      </c>
      <c r="AH406" s="55"/>
      <c r="AI406" s="49" t="s">
        <v>231</v>
      </c>
      <c r="AJ406" s="8" t="s">
        <v>933</v>
      </c>
      <c r="AK406" s="7">
        <v>46003</v>
      </c>
      <c r="AL406" s="16">
        <v>11</v>
      </c>
      <c r="AM406" s="12">
        <f t="shared" si="86"/>
        <v>1243000</v>
      </c>
      <c r="AN406" s="7">
        <f t="shared" si="87"/>
        <v>47537</v>
      </c>
      <c r="AO406" s="12">
        <f t="shared" si="88"/>
        <v>123900</v>
      </c>
      <c r="AP406" s="12">
        <f t="shared" si="89"/>
        <v>1284000</v>
      </c>
      <c r="AQ406" s="15">
        <f t="shared" si="90"/>
        <v>46402</v>
      </c>
      <c r="AR406" s="7">
        <f t="shared" si="91"/>
        <v>47477</v>
      </c>
      <c r="AS406" s="5">
        <v>1741</v>
      </c>
      <c r="AT406" s="7">
        <v>46003</v>
      </c>
      <c r="AU406" s="5" t="s">
        <v>78</v>
      </c>
      <c r="AV406" s="17">
        <v>261</v>
      </c>
      <c r="AW406" s="37">
        <v>46037</v>
      </c>
      <c r="AX406" s="5" t="s">
        <v>355</v>
      </c>
      <c r="AY406" s="5" t="s">
        <v>1063</v>
      </c>
      <c r="AZ406" s="45" t="s">
        <v>1064</v>
      </c>
      <c r="BA406" s="12">
        <v>1243000</v>
      </c>
      <c r="BB406" s="7">
        <v>46020</v>
      </c>
      <c r="BC406" s="5" t="s">
        <v>355</v>
      </c>
      <c r="BD406" s="5" t="s">
        <v>1063</v>
      </c>
      <c r="BE406" s="45" t="s">
        <v>1065</v>
      </c>
      <c r="BF406" s="12">
        <v>1284000</v>
      </c>
      <c r="BG406" s="7">
        <v>46020</v>
      </c>
      <c r="BH406" s="19">
        <v>46037</v>
      </c>
      <c r="BI406" s="5">
        <v>45</v>
      </c>
      <c r="BJ406" s="19">
        <v>46037</v>
      </c>
      <c r="BM406" s="18"/>
      <c r="BN406" s="18"/>
      <c r="BO406" s="18"/>
      <c r="BP406" s="18"/>
      <c r="BQ406" s="5"/>
      <c r="BR406" s="18"/>
      <c r="BS406" s="18"/>
      <c r="BT406" s="35"/>
    </row>
    <row r="407" spans="1:72" ht="29" x14ac:dyDescent="0.35">
      <c r="A407" s="5">
        <v>406</v>
      </c>
      <c r="B407" s="5"/>
      <c r="C407" s="5" t="s">
        <v>78</v>
      </c>
      <c r="D407" s="5">
        <v>22</v>
      </c>
      <c r="E407" s="5">
        <v>5</v>
      </c>
      <c r="F407" s="8" t="s">
        <v>1098</v>
      </c>
      <c r="G407" s="8"/>
      <c r="H407" s="5"/>
      <c r="I407" s="5" t="e" cm="1">
        <f t="array" ref="I407">_xlfn.IFS(
  H407="Mahuva", "Mahuva",
  H407="Jesar", "Mahuva",
  H407="Palitana", "Palitana",
  H407="Gariyadhar", "Palitana",
  H407="Talaja", "Talaja",
  H407="Vallabhipur", "Vallabhipur",
  H407="Umrala", "Vallabhipur",
  H407="Shihor", "Shihor",
  H407="Ghogha", "Bhavnagar",
  H407="Bhavnagar", "Bhavnagar"
)</f>
        <v>#N/A</v>
      </c>
      <c r="J407" s="5"/>
      <c r="K407" s="5"/>
      <c r="M407" s="5"/>
      <c r="N407" s="7">
        <v>45975</v>
      </c>
      <c r="O407" s="7">
        <v>45987</v>
      </c>
      <c r="P407" s="7">
        <v>45988</v>
      </c>
      <c r="Q407" s="7">
        <f t="shared" si="81"/>
        <v>46107</v>
      </c>
      <c r="S407" s="33"/>
      <c r="U407" s="10"/>
      <c r="V407" s="10" t="str">
        <f t="shared" si="82"/>
        <v>Equals</v>
      </c>
      <c r="W407" s="11" t="str" cm="1">
        <f t="array" ref="W407">NumberToWords(T407)</f>
        <v>Zero Rupees Only</v>
      </c>
      <c r="X407" s="10" t="str">
        <f t="shared" si="83"/>
        <v>Division</v>
      </c>
      <c r="Z407" s="9">
        <f t="shared" si="84"/>
        <v>0</v>
      </c>
      <c r="AB407" s="8">
        <f>_xlfn.XLOOKUP(AA407, 'Agency List'!A$2:A$145, 'Agency List'!B$2:B$145, "Not Found")</f>
        <v>0</v>
      </c>
      <c r="AC407" s="8">
        <f>_xlfn.XLOOKUP(AA407, 'Agency List'!A$2:A$145, 'Agency List'!C$2:C$145, "Not Found")</f>
        <v>0</v>
      </c>
      <c r="AD407" s="8">
        <f>_xlfn.XLOOKUP(AA407, 'Agency List'!A$2:A$145, 'Agency List'!D$2:D$145, "Not Found")</f>
        <v>0</v>
      </c>
      <c r="AE407" s="7"/>
      <c r="AF407" s="5"/>
      <c r="AG407" s="5" t="str">
        <f t="shared" si="85"/>
        <v>Bandhkam</v>
      </c>
      <c r="AH407" s="55"/>
      <c r="AI407" s="49"/>
      <c r="AJ407" s="20"/>
      <c r="AL407" s="16"/>
      <c r="AM407" s="12">
        <f t="shared" si="86"/>
        <v>0</v>
      </c>
      <c r="AN407" s="7">
        <f t="shared" si="87"/>
        <v>450</v>
      </c>
      <c r="AO407" s="12">
        <f t="shared" si="88"/>
        <v>0</v>
      </c>
      <c r="AP407" s="12">
        <f t="shared" si="89"/>
        <v>0</v>
      </c>
      <c r="AQ407" s="15">
        <f t="shared" si="90"/>
        <v>35</v>
      </c>
      <c r="AR407" s="7">
        <f t="shared" si="91"/>
        <v>390</v>
      </c>
      <c r="AS407" s="5"/>
      <c r="AU407" s="5"/>
      <c r="AV407" s="17"/>
      <c r="AW407" s="17"/>
      <c r="AX407" s="5"/>
      <c r="AY407" s="5"/>
      <c r="AZ407" s="13"/>
      <c r="BA407" s="12"/>
      <c r="BB407" s="7"/>
      <c r="BC407" s="14"/>
      <c r="BD407" s="14"/>
      <c r="BF407" s="12"/>
      <c r="BG407" s="14"/>
      <c r="BH407" s="19"/>
      <c r="BI407" s="5"/>
      <c r="BM407" s="18"/>
      <c r="BN407" s="18"/>
      <c r="BO407" s="18"/>
      <c r="BP407" s="18"/>
      <c r="BQ407" s="5"/>
      <c r="BR407" s="18"/>
      <c r="BS407" s="18"/>
      <c r="BT407" s="35">
        <f>EDATE(BH407,AL407)-1</f>
        <v>-1</v>
      </c>
    </row>
    <row r="408" spans="1:72" ht="87" x14ac:dyDescent="0.35">
      <c r="A408" s="5">
        <v>407</v>
      </c>
      <c r="B408" s="5"/>
      <c r="C408" s="5" t="s">
        <v>78</v>
      </c>
      <c r="D408" s="5">
        <v>23</v>
      </c>
      <c r="E408" s="5">
        <v>1</v>
      </c>
      <c r="F408" s="8" t="s">
        <v>1100</v>
      </c>
      <c r="G408" s="8"/>
      <c r="H408" s="5" t="s">
        <v>1099</v>
      </c>
      <c r="I408" s="5" t="s">
        <v>1099</v>
      </c>
      <c r="J408" s="5" t="s">
        <v>631</v>
      </c>
      <c r="K408" s="5"/>
      <c r="L408" s="5">
        <v>243200</v>
      </c>
      <c r="M408" s="5"/>
      <c r="N408" s="7">
        <v>45975</v>
      </c>
      <c r="O408" s="7">
        <v>45987</v>
      </c>
      <c r="P408" s="7">
        <v>45988</v>
      </c>
      <c r="Q408" s="7">
        <f t="shared" si="81"/>
        <v>46107</v>
      </c>
      <c r="R408" s="9">
        <v>248929554.08000001</v>
      </c>
      <c r="S408" s="33"/>
      <c r="T408" s="9">
        <v>275241407.94999999</v>
      </c>
      <c r="U408" s="10">
        <v>10.57</v>
      </c>
      <c r="V408" s="10" t="str">
        <f t="shared" si="82"/>
        <v>Above</v>
      </c>
      <c r="W408" s="11" t="str" cm="1">
        <f t="array" ref="W408">NumberToWords(T408)</f>
        <v>Twenty Seven Crore Fifty Two Lakh Forty One Thousand Four Hundred Seven Rupees and Ninety Five Paise Only</v>
      </c>
      <c r="X408" s="10" t="str">
        <f t="shared" si="83"/>
        <v>Government</v>
      </c>
      <c r="Z408" s="9">
        <f t="shared" si="84"/>
        <v>275241407.94999999</v>
      </c>
      <c r="AA408" s="5" t="s">
        <v>1101</v>
      </c>
      <c r="AB408" s="8" t="str">
        <f>_xlfn.XLOOKUP(AA408, 'Agency List'!A$2:A$145, 'Agency List'!B$2:B$145, "Not Found")</f>
        <v>Not Found</v>
      </c>
      <c r="AC408" s="8" t="str">
        <f>_xlfn.XLOOKUP(AA408, 'Agency List'!A$2:A$145, 'Agency List'!C$2:C$145, "Not Found")</f>
        <v>Not Found</v>
      </c>
      <c r="AD408" s="8" t="str">
        <f>_xlfn.XLOOKUP(AA408, 'Agency List'!A$2:A$145, 'Agency List'!D$2:D$145, "Not Found")</f>
        <v>Not Found</v>
      </c>
      <c r="AE408" s="7">
        <v>46050</v>
      </c>
      <c r="AF408" s="5"/>
      <c r="AG408" s="5" t="str">
        <f t="shared" si="85"/>
        <v>Karobari</v>
      </c>
      <c r="AH408" s="55"/>
      <c r="AI408" s="49"/>
      <c r="AJ408" s="20"/>
      <c r="AL408" s="16"/>
      <c r="AM408" s="12">
        <f t="shared" si="86"/>
        <v>13763000</v>
      </c>
      <c r="AN408" s="7">
        <f t="shared" si="87"/>
        <v>1170</v>
      </c>
      <c r="AO408" s="12">
        <f t="shared" si="88"/>
        <v>674400</v>
      </c>
      <c r="AP408" s="12">
        <f t="shared" si="89"/>
        <v>0</v>
      </c>
      <c r="AQ408" s="15">
        <f t="shared" si="90"/>
        <v>35</v>
      </c>
      <c r="AR408" s="7">
        <f t="shared" si="91"/>
        <v>1110</v>
      </c>
      <c r="AS408" s="5"/>
      <c r="AU408" s="5"/>
      <c r="AV408" s="17"/>
      <c r="AW408" s="17"/>
      <c r="AX408" s="5"/>
      <c r="AY408" s="5"/>
      <c r="AZ408" s="13"/>
      <c r="BA408" s="12"/>
      <c r="BB408" s="7"/>
      <c r="BC408" s="14"/>
      <c r="BD408" s="14"/>
      <c r="BF408" s="12"/>
      <c r="BG408" s="14"/>
      <c r="BH408" s="19"/>
      <c r="BI408" s="5"/>
      <c r="BM408" s="18"/>
      <c r="BN408" s="18"/>
      <c r="BO408" s="18"/>
      <c r="BP408" s="18"/>
      <c r="BQ408" s="5"/>
      <c r="BR408" s="18"/>
      <c r="BS408" s="18"/>
      <c r="BT408" s="35">
        <f>EDATE(BH408,AL408)-1</f>
        <v>-1</v>
      </c>
    </row>
    <row r="409" spans="1:72" ht="43.5" x14ac:dyDescent="0.35">
      <c r="A409" s="5">
        <v>408</v>
      </c>
      <c r="B409" s="5"/>
      <c r="C409" s="5" t="s">
        <v>78</v>
      </c>
      <c r="D409" s="5">
        <v>24</v>
      </c>
      <c r="E409" s="5">
        <v>1</v>
      </c>
      <c r="F409" s="8" t="s">
        <v>967</v>
      </c>
      <c r="G409" s="8"/>
      <c r="H409" s="5" t="s">
        <v>4</v>
      </c>
      <c r="I409" s="5" t="str" cm="1">
        <f t="array" ref="I409">_xlfn.IFS(
  H409="Mahuva", "Mahuva",
  H409="Jesar", "Mahuva",
  H409="Palitana", "Palitana",
  H409="Gariyadhar", "Palitana",
  H409="Talaja", "Talaja",
  H409="Vallabhipur", "Vallabhipur",
  H409="Umrala", "Vallabhipur",
  H409="Shihor", "Shihor",
  H409="Ghogha", "Bhavnagar",
  H409="Bhavnagar", "Bhavnagar"
)</f>
        <v>Talaja</v>
      </c>
      <c r="J409" s="5" t="s">
        <v>256</v>
      </c>
      <c r="K409" s="5" t="s">
        <v>418</v>
      </c>
      <c r="L409" s="5">
        <v>253555</v>
      </c>
      <c r="M409" s="5">
        <v>1</v>
      </c>
      <c r="N409" s="7">
        <v>46004</v>
      </c>
      <c r="O409" s="7">
        <v>46013</v>
      </c>
      <c r="P409" s="7">
        <v>46014</v>
      </c>
      <c r="Q409" s="7">
        <f t="shared" si="81"/>
        <v>46133</v>
      </c>
      <c r="R409" s="9">
        <v>2079935.15</v>
      </c>
      <c r="S409" s="33"/>
      <c r="T409" s="9">
        <v>1766904.91</v>
      </c>
      <c r="U409" s="10">
        <v>-15.05</v>
      </c>
      <c r="V409" s="10" t="str">
        <f t="shared" si="82"/>
        <v>Below</v>
      </c>
      <c r="W409" s="11" t="str" cm="1">
        <f t="array" ref="W409">NumberToWords(T409)</f>
        <v>Seventeen Lakh Sixty Six Thousand Nine Hundred Four Rupees and Ninety One Paise Only</v>
      </c>
      <c r="X409" s="10" t="str">
        <f t="shared" si="83"/>
        <v>Division</v>
      </c>
      <c r="Z409" s="9">
        <f t="shared" si="84"/>
        <v>1766904.91</v>
      </c>
      <c r="AA409" s="5" t="s">
        <v>954</v>
      </c>
      <c r="AB409" s="8">
        <f>_xlfn.XLOOKUP(AA409, 'Agency List'!A$2:A$145, 'Agency List'!B$2:B$145, "Not Found")</f>
        <v>0</v>
      </c>
      <c r="AC409" s="8" t="str">
        <f>_xlfn.XLOOKUP(AA409, 'Agency List'!A$2:A$145, 'Agency List'!C$2:C$145, "Not Found")</f>
        <v>Shop No. 04, Madhuvan Complex, Gopnath Road, Talaja, Dist. Bhavnagar</v>
      </c>
      <c r="AD409" s="8">
        <f>_xlfn.XLOOKUP(AA409, 'Agency List'!A$2:A$145, 'Agency List'!D$2:D$145, "Not Found")</f>
        <v>8999898996</v>
      </c>
      <c r="AE409" s="7"/>
      <c r="AF409" s="5" t="s">
        <v>1031</v>
      </c>
      <c r="AG409" s="5" t="str">
        <f t="shared" si="85"/>
        <v>Bandhkam</v>
      </c>
      <c r="AH409" s="55"/>
      <c r="AI409" s="49"/>
      <c r="AJ409" s="20"/>
      <c r="AL409" s="16">
        <v>4</v>
      </c>
      <c r="AM409" s="12">
        <f t="shared" si="86"/>
        <v>89000</v>
      </c>
      <c r="AN409" s="7">
        <f t="shared" si="87"/>
        <v>46593</v>
      </c>
      <c r="AO409" s="12">
        <f t="shared" si="88"/>
        <v>5500</v>
      </c>
      <c r="AP409" s="12">
        <f t="shared" si="89"/>
        <v>22000</v>
      </c>
      <c r="AQ409" s="15">
        <f t="shared" si="90"/>
        <v>46178</v>
      </c>
      <c r="AR409" s="7">
        <f t="shared" si="91"/>
        <v>46533</v>
      </c>
      <c r="AS409" s="5">
        <v>1805</v>
      </c>
      <c r="AT409" s="7">
        <v>46020</v>
      </c>
      <c r="AU409" s="5"/>
      <c r="AV409" s="17"/>
      <c r="AW409" s="17"/>
      <c r="AX409" s="5"/>
      <c r="AY409" s="5"/>
      <c r="AZ409" s="13"/>
      <c r="BA409" s="12"/>
      <c r="BB409" s="7"/>
      <c r="BC409" s="14"/>
      <c r="BD409" s="14"/>
      <c r="BF409" s="12"/>
      <c r="BG409" s="14"/>
      <c r="BH409" s="19">
        <v>46023</v>
      </c>
      <c r="BI409" s="5"/>
      <c r="BM409" s="18"/>
      <c r="BN409" s="18"/>
      <c r="BO409" s="18"/>
      <c r="BP409" s="18"/>
      <c r="BQ409" s="5"/>
      <c r="BR409" s="18"/>
      <c r="BS409" s="18"/>
      <c r="BT409" s="35"/>
    </row>
    <row r="410" spans="1:72" ht="58" x14ac:dyDescent="0.35">
      <c r="A410" s="5">
        <v>409</v>
      </c>
      <c r="B410" s="5"/>
      <c r="C410" s="5" t="s">
        <v>78</v>
      </c>
      <c r="D410" s="5">
        <v>24</v>
      </c>
      <c r="E410" s="5">
        <v>2</v>
      </c>
      <c r="F410" s="8" t="s">
        <v>968</v>
      </c>
      <c r="G410" s="8"/>
      <c r="H410" s="5" t="s">
        <v>4</v>
      </c>
      <c r="I410" s="5" t="str" cm="1">
        <f t="array" ref="I410">_xlfn.IFS(
  H410="Mahuva", "Mahuva",
  H410="Jesar", "Mahuva",
  H410="Palitana", "Palitana",
  H410="Gariyadhar", "Palitana",
  H410="Talaja", "Talaja",
  H410="Vallabhipur", "Vallabhipur",
  H410="Umrala", "Vallabhipur",
  H410="Shihor", "Shihor",
  H410="Ghogha", "Bhavnagar",
  H410="Bhavnagar", "Bhavnagar"
)</f>
        <v>Talaja</v>
      </c>
      <c r="J410" s="5" t="s">
        <v>256</v>
      </c>
      <c r="K410" s="5" t="s">
        <v>418</v>
      </c>
      <c r="L410" s="5">
        <v>253571</v>
      </c>
      <c r="M410" s="5">
        <v>1</v>
      </c>
      <c r="N410" s="7">
        <v>46004</v>
      </c>
      <c r="O410" s="7">
        <v>46013</v>
      </c>
      <c r="P410" s="7">
        <v>46014</v>
      </c>
      <c r="Q410" s="7">
        <f t="shared" si="81"/>
        <v>46133</v>
      </c>
      <c r="R410" s="9">
        <v>2880152.67</v>
      </c>
      <c r="S410" s="33"/>
      <c r="T410" s="9">
        <v>2470594.96</v>
      </c>
      <c r="U410" s="10">
        <v>-14.22</v>
      </c>
      <c r="V410" s="10" t="str">
        <f t="shared" si="82"/>
        <v>Below</v>
      </c>
      <c r="W410" s="11" t="str" cm="1">
        <f t="array" ref="W410">NumberToWords(T410)</f>
        <v>Twenty Four Lakh Seventy Thousand Five Hundred Ninety Four Rupees and Ninety Six Paise Only</v>
      </c>
      <c r="X410" s="10" t="str">
        <f t="shared" si="83"/>
        <v>Division</v>
      </c>
      <c r="Z410" s="9">
        <f t="shared" si="84"/>
        <v>2470594.96</v>
      </c>
      <c r="AA410" s="5" t="s">
        <v>413</v>
      </c>
      <c r="AB410" s="8">
        <f>_xlfn.XLOOKUP(AA410, 'Agency List'!A$2:A$145, 'Agency List'!B$2:B$145, "Not Found")</f>
        <v>0</v>
      </c>
      <c r="AC410" s="8" t="str">
        <f>_xlfn.XLOOKUP(AA410, 'Agency List'!A$2:A$145, 'Agency List'!C$2:C$145, "Not Found")</f>
        <v xml:space="preserve">F-8, 1st Floor, Radhe City Center, Bapa Sitaram Chowk, Talaja, Dist. Bhavnagar
</v>
      </c>
      <c r="AD410" s="8">
        <f>_xlfn.XLOOKUP(AA410, 'Agency List'!A$2:A$145, 'Agency List'!D$2:D$145, "Not Found")</f>
        <v>7984290006</v>
      </c>
      <c r="AE410" s="7"/>
      <c r="AF410" s="5" t="s">
        <v>1031</v>
      </c>
      <c r="AG410" s="5" t="str">
        <f t="shared" si="85"/>
        <v>Bandhkam</v>
      </c>
      <c r="AH410" s="55"/>
      <c r="AI410" s="49"/>
      <c r="AJ410" s="20"/>
      <c r="AL410" s="16">
        <v>4</v>
      </c>
      <c r="AM410" s="12">
        <f t="shared" si="86"/>
        <v>124000</v>
      </c>
      <c r="AN410" s="7">
        <f t="shared" si="87"/>
        <v>46593</v>
      </c>
      <c r="AO410" s="12">
        <f t="shared" si="88"/>
        <v>7400</v>
      </c>
      <c r="AP410" s="12">
        <f t="shared" si="89"/>
        <v>25000</v>
      </c>
      <c r="AQ410" s="15">
        <f t="shared" si="90"/>
        <v>46178</v>
      </c>
      <c r="AR410" s="7">
        <f t="shared" si="91"/>
        <v>46533</v>
      </c>
      <c r="AS410" s="5">
        <v>1806</v>
      </c>
      <c r="AT410" s="7">
        <v>46020</v>
      </c>
      <c r="AU410" s="5"/>
      <c r="AV410" s="17"/>
      <c r="AW410" s="17"/>
      <c r="AX410" s="5"/>
      <c r="AY410" s="5"/>
      <c r="AZ410" s="13"/>
      <c r="BA410" s="12"/>
      <c r="BB410" s="7"/>
      <c r="BC410" s="14"/>
      <c r="BD410" s="14"/>
      <c r="BF410" s="12"/>
      <c r="BG410" s="14"/>
      <c r="BH410" s="19">
        <v>46023</v>
      </c>
      <c r="BI410" s="5"/>
      <c r="BM410" s="18"/>
      <c r="BN410" s="18"/>
      <c r="BO410" s="18"/>
      <c r="BP410" s="18"/>
      <c r="BQ410" s="5"/>
      <c r="BR410" s="18"/>
      <c r="BS410" s="18"/>
      <c r="BT410" s="35"/>
    </row>
    <row r="411" spans="1:72" ht="43.5" x14ac:dyDescent="0.35">
      <c r="A411" s="5">
        <v>410</v>
      </c>
      <c r="B411" s="5"/>
      <c r="C411" s="5" t="s">
        <v>78</v>
      </c>
      <c r="D411" s="5">
        <v>24</v>
      </c>
      <c r="E411" s="5">
        <v>3</v>
      </c>
      <c r="F411" s="8" t="s">
        <v>969</v>
      </c>
      <c r="G411" s="8"/>
      <c r="H411" s="5" t="s">
        <v>4</v>
      </c>
      <c r="I411" s="5" t="str" cm="1">
        <f t="array" ref="I411">_xlfn.IFS(
  H411="Mahuva", "Mahuva",
  H411="Jesar", "Mahuva",
  H411="Palitana", "Palitana",
  H411="Gariyadhar", "Palitana",
  H411="Talaja", "Talaja",
  H411="Vallabhipur", "Vallabhipur",
  H411="Umrala", "Vallabhipur",
  H411="Shihor", "Shihor",
  H411="Ghogha", "Bhavnagar",
  H411="Bhavnagar", "Bhavnagar"
)</f>
        <v>Talaja</v>
      </c>
      <c r="J411" s="5" t="s">
        <v>256</v>
      </c>
      <c r="K411" s="5" t="s">
        <v>418</v>
      </c>
      <c r="L411" s="5">
        <v>253556</v>
      </c>
      <c r="M411" s="5">
        <v>1</v>
      </c>
      <c r="N411" s="7">
        <v>46004</v>
      </c>
      <c r="O411" s="7">
        <v>46013</v>
      </c>
      <c r="P411" s="7">
        <v>46014</v>
      </c>
      <c r="Q411" s="7">
        <f t="shared" si="81"/>
        <v>46133</v>
      </c>
      <c r="R411" s="9">
        <v>2079935.15</v>
      </c>
      <c r="S411" s="33"/>
      <c r="T411" s="9">
        <v>1913540.34</v>
      </c>
      <c r="U411" s="10">
        <v>-8</v>
      </c>
      <c r="V411" s="10" t="str">
        <f t="shared" si="82"/>
        <v>Below</v>
      </c>
      <c r="W411" s="11" t="str" cm="1">
        <f t="array" ref="W411">NumberToWords(T411)</f>
        <v>Nineteen Lakh Thirteen Thousand Five Hundred Forty Rupees and Thirty Four Paise Only</v>
      </c>
      <c r="X411" s="10" t="str">
        <f t="shared" si="83"/>
        <v>Division</v>
      </c>
      <c r="Z411" s="9">
        <f t="shared" si="84"/>
        <v>1913540.34</v>
      </c>
      <c r="AA411" s="5" t="s">
        <v>955</v>
      </c>
      <c r="AB411" s="8">
        <f>_xlfn.XLOOKUP(AA411, 'Agency List'!A$2:A$145, 'Agency List'!B$2:B$145, "Not Found")</f>
        <v>0</v>
      </c>
      <c r="AC411" s="8" t="str">
        <f>_xlfn.XLOOKUP(AA411, 'Agency List'!A$2:A$145, 'Agency List'!C$2:C$145, "Not Found")</f>
        <v>FF-14-B, Pramukh Darshan Complex, Hadanagar Na Nake, Bhavnagar</v>
      </c>
      <c r="AD411" s="8">
        <f>_xlfn.XLOOKUP(AA411, 'Agency List'!A$2:A$145, 'Agency List'!D$2:D$145, "Not Found")</f>
        <v>9428454545</v>
      </c>
      <c r="AE411" s="7"/>
      <c r="AF411" s="5" t="s">
        <v>1031</v>
      </c>
      <c r="AG411" s="5" t="str">
        <f t="shared" si="85"/>
        <v>Bandhkam</v>
      </c>
      <c r="AH411" s="55"/>
      <c r="AI411" s="49"/>
      <c r="AJ411" s="20"/>
      <c r="AL411" s="16">
        <v>4</v>
      </c>
      <c r="AM411" s="12">
        <f t="shared" si="86"/>
        <v>96000</v>
      </c>
      <c r="AN411" s="7">
        <f t="shared" si="87"/>
        <v>46612</v>
      </c>
      <c r="AO411" s="12">
        <f t="shared" si="88"/>
        <v>4800</v>
      </c>
      <c r="AP411" s="12">
        <f t="shared" si="89"/>
        <v>0</v>
      </c>
      <c r="AQ411" s="15">
        <f t="shared" si="90"/>
        <v>46197</v>
      </c>
      <c r="AR411" s="7">
        <f t="shared" si="91"/>
        <v>46552</v>
      </c>
      <c r="AS411" s="5">
        <v>1807</v>
      </c>
      <c r="AT411" s="7">
        <v>46020</v>
      </c>
      <c r="AU411" s="5" t="s">
        <v>78</v>
      </c>
      <c r="AV411" s="17">
        <v>283</v>
      </c>
      <c r="AW411" s="37">
        <v>46042</v>
      </c>
      <c r="AX411" s="5" t="s">
        <v>355</v>
      </c>
      <c r="AY411" s="5" t="s">
        <v>369</v>
      </c>
      <c r="AZ411" s="13">
        <v>44824011769</v>
      </c>
      <c r="BA411" s="12">
        <v>96000</v>
      </c>
      <c r="BB411" s="7">
        <v>46034</v>
      </c>
      <c r="BC411" s="14"/>
      <c r="BD411" s="14"/>
      <c r="BF411" s="12"/>
      <c r="BG411" s="14"/>
      <c r="BH411" s="37">
        <v>46042</v>
      </c>
      <c r="BI411" s="5">
        <v>77</v>
      </c>
      <c r="BJ411" s="37">
        <v>46042</v>
      </c>
      <c r="BM411" s="18"/>
      <c r="BN411" s="18"/>
      <c r="BO411" s="18"/>
      <c r="BP411" s="18"/>
      <c r="BQ411" s="5"/>
      <c r="BR411" s="18"/>
      <c r="BS411" s="18"/>
      <c r="BT411" s="35"/>
    </row>
    <row r="412" spans="1:72" ht="43.5" x14ac:dyDescent="0.35">
      <c r="A412" s="5">
        <v>411</v>
      </c>
      <c r="B412" s="5"/>
      <c r="C412" s="5" t="s">
        <v>78</v>
      </c>
      <c r="D412" s="5">
        <v>24</v>
      </c>
      <c r="E412" s="5">
        <v>4</v>
      </c>
      <c r="F412" s="8" t="s">
        <v>970</v>
      </c>
      <c r="G412" s="8"/>
      <c r="H412" s="5" t="s">
        <v>4</v>
      </c>
      <c r="I412" s="5" t="str" cm="1">
        <f t="array" ref="I412">_xlfn.IFS(
  H412="Mahuva", "Mahuva",
  H412="Jesar", "Mahuva",
  H412="Palitana", "Palitana",
  H412="Gariyadhar", "Palitana",
  H412="Talaja", "Talaja",
  H412="Vallabhipur", "Vallabhipur",
  H412="Umrala", "Vallabhipur",
  H412="Shihor", "Shihor",
  H412="Ghogha", "Bhavnagar",
  H412="Bhavnagar", "Bhavnagar"
)</f>
        <v>Talaja</v>
      </c>
      <c r="J412" s="5" t="s">
        <v>256</v>
      </c>
      <c r="K412" s="5" t="s">
        <v>418</v>
      </c>
      <c r="L412" s="5">
        <v>253572</v>
      </c>
      <c r="M412" s="5">
        <v>1</v>
      </c>
      <c r="N412" s="7">
        <v>46004</v>
      </c>
      <c r="O412" s="7">
        <v>46013</v>
      </c>
      <c r="P412" s="7">
        <v>46014</v>
      </c>
      <c r="Q412" s="7">
        <f t="shared" si="81"/>
        <v>46133</v>
      </c>
      <c r="R412" s="9">
        <v>2880152.67</v>
      </c>
      <c r="S412" s="33"/>
      <c r="T412" s="9">
        <v>2573128.4</v>
      </c>
      <c r="U412" s="10">
        <v>-10.66</v>
      </c>
      <c r="V412" s="10" t="str">
        <f t="shared" si="82"/>
        <v>Below</v>
      </c>
      <c r="W412" s="11" t="str" cm="1">
        <f t="array" ref="W412">NumberToWords(T412)</f>
        <v>Twenty Five Lakh Seventy Three Thousand One Hundred Twenty Eight Rupees and Four Paise Only</v>
      </c>
      <c r="X412" s="10" t="str">
        <f t="shared" si="83"/>
        <v>Division</v>
      </c>
      <c r="Z412" s="9">
        <f t="shared" si="84"/>
        <v>2573128.4</v>
      </c>
      <c r="AA412" s="5" t="s">
        <v>399</v>
      </c>
      <c r="AB412" s="8" t="str">
        <f>_xlfn.XLOOKUP(AA412, 'Agency List'!A$2:A$145, 'Agency List'!B$2:B$145, "Not Found")</f>
        <v>Pratapbhai Lakhubhai Beparia</v>
      </c>
      <c r="AC412" s="8" t="str">
        <f>_xlfn.XLOOKUP(AA412, 'Agency List'!A$2:A$145, 'Agency List'!C$2:C$145, "Not Found")</f>
        <v>At Lothpur, Ta. Jafarabad, Dist. Amreli - 365540</v>
      </c>
      <c r="AD412" s="8">
        <f>_xlfn.XLOOKUP(AA412, 'Agency List'!A$2:A$145, 'Agency List'!D$2:D$145, "Not Found")</f>
        <v>9727987777</v>
      </c>
      <c r="AE412" s="7"/>
      <c r="AF412" s="5" t="s">
        <v>1031</v>
      </c>
      <c r="AG412" s="5" t="str">
        <f t="shared" si="85"/>
        <v>Karobari</v>
      </c>
      <c r="AH412" s="55"/>
      <c r="AI412" s="49"/>
      <c r="AJ412" s="20"/>
      <c r="AL412" s="16">
        <v>4</v>
      </c>
      <c r="AM412" s="12">
        <f t="shared" si="86"/>
        <v>129000</v>
      </c>
      <c r="AN412" s="7">
        <f t="shared" si="87"/>
        <v>46593</v>
      </c>
      <c r="AO412" s="12">
        <f t="shared" si="88"/>
        <v>6600</v>
      </c>
      <c r="AP412" s="12">
        <f t="shared" si="89"/>
        <v>4000</v>
      </c>
      <c r="AQ412" s="15">
        <f t="shared" si="90"/>
        <v>46178</v>
      </c>
      <c r="AR412" s="7">
        <f t="shared" si="91"/>
        <v>46533</v>
      </c>
      <c r="AS412" s="5">
        <v>1808</v>
      </c>
      <c r="AT412" s="7">
        <v>46020</v>
      </c>
      <c r="AU412" s="5"/>
      <c r="AV412" s="17"/>
      <c r="AW412" s="17"/>
      <c r="AX412" s="5"/>
      <c r="AY412" s="5"/>
      <c r="AZ412" s="13"/>
      <c r="BA412" s="12"/>
      <c r="BB412" s="7"/>
      <c r="BC412" s="14"/>
      <c r="BD412" s="14"/>
      <c r="BF412" s="12"/>
      <c r="BG412" s="14"/>
      <c r="BH412" s="19">
        <v>46023</v>
      </c>
      <c r="BI412" s="5"/>
      <c r="BM412" s="18"/>
      <c r="BN412" s="18"/>
      <c r="BO412" s="18"/>
      <c r="BP412" s="18"/>
      <c r="BQ412" s="5"/>
      <c r="BR412" s="18"/>
      <c r="BS412" s="18"/>
      <c r="BT412" s="35"/>
    </row>
    <row r="413" spans="1:72" ht="43.5" x14ac:dyDescent="0.35">
      <c r="A413" s="5">
        <v>412</v>
      </c>
      <c r="B413" s="5"/>
      <c r="C413" s="5" t="s">
        <v>78</v>
      </c>
      <c r="D413" s="5">
        <v>24</v>
      </c>
      <c r="E413" s="5">
        <v>5</v>
      </c>
      <c r="F413" s="8" t="s">
        <v>971</v>
      </c>
      <c r="G413" s="8"/>
      <c r="H413" s="5" t="s">
        <v>4</v>
      </c>
      <c r="I413" s="5" t="str" cm="1">
        <f t="array" ref="I413">_xlfn.IFS(
  H413="Mahuva", "Mahuva",
  H413="Jesar", "Mahuva",
  H413="Palitana", "Palitana",
  H413="Gariyadhar", "Palitana",
  H413="Talaja", "Talaja",
  H413="Vallabhipur", "Vallabhipur",
  H413="Umrala", "Vallabhipur",
  H413="Shihor", "Shihor",
  H413="Ghogha", "Bhavnagar",
  H413="Bhavnagar", "Bhavnagar"
)</f>
        <v>Talaja</v>
      </c>
      <c r="J413" s="5" t="s">
        <v>256</v>
      </c>
      <c r="K413" s="5" t="s">
        <v>418</v>
      </c>
      <c r="L413" s="5">
        <v>253557</v>
      </c>
      <c r="M413" s="5">
        <v>1</v>
      </c>
      <c r="N413" s="7">
        <v>46004</v>
      </c>
      <c r="O413" s="7">
        <v>46013</v>
      </c>
      <c r="P413" s="7">
        <v>46014</v>
      </c>
      <c r="Q413" s="7">
        <f t="shared" si="81"/>
        <v>46133</v>
      </c>
      <c r="R413" s="9">
        <v>2079935.15</v>
      </c>
      <c r="S413" s="33"/>
      <c r="T413" s="9">
        <v>1802679.79</v>
      </c>
      <c r="U413" s="10">
        <v>-13.33</v>
      </c>
      <c r="V413" s="10" t="str">
        <f t="shared" si="82"/>
        <v>Below</v>
      </c>
      <c r="W413" s="11" t="str" cm="1">
        <f t="array" ref="W413">NumberToWords(T413)</f>
        <v>Eighteen Lakh Two Thousand Six Hundred Seventy Nine Rupees and Seventy Nine Paise Only</v>
      </c>
      <c r="X413" s="10" t="str">
        <f t="shared" si="83"/>
        <v>Division</v>
      </c>
      <c r="Z413" s="9">
        <f t="shared" si="84"/>
        <v>1802679.79</v>
      </c>
      <c r="AA413" s="5" t="s">
        <v>414</v>
      </c>
      <c r="AB413" s="8">
        <f>_xlfn.XLOOKUP(AA413, 'Agency List'!A$2:A$145, 'Agency List'!B$2:B$145, "Not Found")</f>
        <v>0</v>
      </c>
      <c r="AC413" s="8" t="str">
        <f>_xlfn.XLOOKUP(AA413, 'Agency List'!A$2:A$145, 'Agency List'!C$2:C$145, "Not Found")</f>
        <v>185, Reliya Plot Vistar, Reliya, Tal. Talaja, Dist. Bhavnagar-364135</v>
      </c>
      <c r="AD413" s="8">
        <f>_xlfn.XLOOKUP(AA413, 'Agency List'!A$2:A$145, 'Agency List'!D$2:D$145, "Not Found")</f>
        <v>9737944545</v>
      </c>
      <c r="AE413" s="7"/>
      <c r="AF413" s="5" t="s">
        <v>1031</v>
      </c>
      <c r="AG413" s="5" t="str">
        <f t="shared" si="85"/>
        <v>Bandhkam</v>
      </c>
      <c r="AH413" s="55"/>
      <c r="AI413" s="49"/>
      <c r="AJ413" s="20"/>
      <c r="AL413" s="16">
        <v>4</v>
      </c>
      <c r="AM413" s="12">
        <f t="shared" si="86"/>
        <v>91000</v>
      </c>
      <c r="AN413" s="7">
        <f t="shared" si="87"/>
        <v>46593</v>
      </c>
      <c r="AO413" s="12">
        <f t="shared" si="88"/>
        <v>5200</v>
      </c>
      <c r="AP413" s="12">
        <f t="shared" si="89"/>
        <v>14000</v>
      </c>
      <c r="AQ413" s="15">
        <f t="shared" si="90"/>
        <v>46178</v>
      </c>
      <c r="AR413" s="7">
        <f t="shared" si="91"/>
        <v>46533</v>
      </c>
      <c r="AS413" s="5">
        <v>1809</v>
      </c>
      <c r="AT413" s="7">
        <v>46020</v>
      </c>
      <c r="AU413" s="5"/>
      <c r="AV413" s="17"/>
      <c r="AW413" s="17"/>
      <c r="AX413" s="5"/>
      <c r="AY413" s="5"/>
      <c r="AZ413" s="13"/>
      <c r="BA413" s="12"/>
      <c r="BB413" s="7"/>
      <c r="BC413" s="14"/>
      <c r="BD413" s="14"/>
      <c r="BF413" s="12"/>
      <c r="BG413" s="14"/>
      <c r="BH413" s="19">
        <v>46023</v>
      </c>
      <c r="BI413" s="5"/>
      <c r="BM413" s="18"/>
      <c r="BN413" s="18"/>
      <c r="BO413" s="18"/>
      <c r="BP413" s="18"/>
      <c r="BQ413" s="5"/>
      <c r="BR413" s="18"/>
      <c r="BS413" s="18"/>
      <c r="BT413" s="35"/>
    </row>
    <row r="414" spans="1:72" ht="43.5" x14ac:dyDescent="0.35">
      <c r="A414" s="5">
        <v>413</v>
      </c>
      <c r="B414" s="5"/>
      <c r="C414" s="5" t="s">
        <v>78</v>
      </c>
      <c r="D414" s="5">
        <v>24</v>
      </c>
      <c r="E414" s="5">
        <v>6</v>
      </c>
      <c r="F414" s="8" t="s">
        <v>1044</v>
      </c>
      <c r="G414" s="8"/>
      <c r="H414" s="5"/>
      <c r="I414" s="5" t="e" cm="1">
        <f t="array" ref="I414">_xlfn.IFS(
  H414="Mahuva", "Mahuva",
  H414="Jesar", "Mahuva",
  H414="Palitana", "Palitana",
  H414="Gariyadhar", "Palitana",
  H414="Talaja", "Talaja",
  H414="Vallabhipur", "Vallabhipur",
  H414="Umrala", "Vallabhipur",
  H414="Shihor", "Shihor",
  H414="Ghogha", "Bhavnagar",
  H414="Bhavnagar", "Bhavnagar"
)</f>
        <v>#N/A</v>
      </c>
      <c r="J414" s="5" t="s">
        <v>256</v>
      </c>
      <c r="K414" s="5" t="s">
        <v>418</v>
      </c>
      <c r="L414" s="5">
        <v>253577</v>
      </c>
      <c r="M414" s="5">
        <v>1</v>
      </c>
      <c r="N414" s="7">
        <v>46004</v>
      </c>
      <c r="O414" s="7">
        <v>46013</v>
      </c>
      <c r="P414" s="7">
        <v>46014</v>
      </c>
      <c r="Q414" s="7">
        <f t="shared" si="81"/>
        <v>46133</v>
      </c>
      <c r="S414" s="33" t="s">
        <v>233</v>
      </c>
      <c r="U414" s="10"/>
      <c r="V414" s="10" t="str">
        <f t="shared" si="82"/>
        <v>Equals</v>
      </c>
      <c r="W414" s="11" t="str" cm="1">
        <f t="array" ref="W414">NumberToWords(T414)</f>
        <v>Zero Rupees Only</v>
      </c>
      <c r="X414" s="10" t="str">
        <f t="shared" si="83"/>
        <v>Division</v>
      </c>
      <c r="Z414" s="9">
        <f t="shared" si="84"/>
        <v>0</v>
      </c>
      <c r="AB414" s="8">
        <f>_xlfn.XLOOKUP(AA414, 'Agency List'!A$2:A$145, 'Agency List'!B$2:B$145, "Not Found")</f>
        <v>0</v>
      </c>
      <c r="AC414" s="8">
        <f>_xlfn.XLOOKUP(AA414, 'Agency List'!A$2:A$145, 'Agency List'!C$2:C$145, "Not Found")</f>
        <v>0</v>
      </c>
      <c r="AD414" s="8">
        <f>_xlfn.XLOOKUP(AA414, 'Agency List'!A$2:A$145, 'Agency List'!D$2:D$145, "Not Found")</f>
        <v>0</v>
      </c>
      <c r="AE414" s="7"/>
      <c r="AF414" s="5"/>
      <c r="AG414" s="5" t="str">
        <f t="shared" si="85"/>
        <v>Bandhkam</v>
      </c>
      <c r="AH414" s="55"/>
      <c r="AI414" s="49"/>
      <c r="AJ414" s="20"/>
      <c r="AL414" s="16">
        <v>4</v>
      </c>
      <c r="AM414" s="12">
        <f t="shared" si="86"/>
        <v>0</v>
      </c>
      <c r="AN414" s="7">
        <f t="shared" si="87"/>
        <v>46593</v>
      </c>
      <c r="AO414" s="12">
        <f t="shared" si="88"/>
        <v>0</v>
      </c>
      <c r="AP414" s="12">
        <f t="shared" si="89"/>
        <v>0</v>
      </c>
      <c r="AQ414" s="15">
        <f t="shared" si="90"/>
        <v>46178</v>
      </c>
      <c r="AR414" s="7">
        <f t="shared" si="91"/>
        <v>46533</v>
      </c>
      <c r="AS414" s="5">
        <v>1810</v>
      </c>
      <c r="AT414" s="7">
        <v>46020</v>
      </c>
      <c r="AU414" s="5"/>
      <c r="AV414" s="17"/>
      <c r="AW414" s="17"/>
      <c r="AX414" s="5"/>
      <c r="AY414" s="5"/>
      <c r="AZ414" s="13"/>
      <c r="BA414" s="12"/>
      <c r="BB414" s="7"/>
      <c r="BC414" s="14"/>
      <c r="BD414" s="14"/>
      <c r="BF414" s="12"/>
      <c r="BG414" s="14"/>
      <c r="BH414" s="19">
        <v>46023</v>
      </c>
      <c r="BI414" s="5"/>
      <c r="BM414" s="18"/>
      <c r="BN414" s="18"/>
      <c r="BO414" s="18"/>
      <c r="BP414" s="18"/>
      <c r="BQ414" s="5"/>
      <c r="BR414" s="18"/>
      <c r="BS414" s="18"/>
      <c r="BT414" s="35"/>
    </row>
    <row r="415" spans="1:72" ht="43.5" x14ac:dyDescent="0.35">
      <c r="A415" s="5">
        <v>414</v>
      </c>
      <c r="B415" s="5"/>
      <c r="C415" s="5" t="s">
        <v>78</v>
      </c>
      <c r="D415" s="5">
        <v>24</v>
      </c>
      <c r="E415" s="5">
        <v>7</v>
      </c>
      <c r="F415" s="8" t="s">
        <v>1118</v>
      </c>
      <c r="G415" s="8"/>
      <c r="H415" s="5" t="s">
        <v>4</v>
      </c>
      <c r="I415" s="5" t="str" cm="1">
        <f t="array" ref="I415">_xlfn.IFS(
  H415="Mahuva", "Mahuva",
  H415="Jesar", "Mahuva",
  H415="Palitana", "Palitana",
  H415="Gariyadhar", "Palitana",
  H415="Talaja", "Talaja",
  H415="Vallabhipur", "Vallabhipur",
  H415="Umrala", "Vallabhipur",
  H415="Shihor", "Shihor",
  H415="Ghogha", "Bhavnagar",
  H415="Bhavnagar", "Bhavnagar"
)</f>
        <v>Talaja</v>
      </c>
      <c r="J415" s="5" t="s">
        <v>256</v>
      </c>
      <c r="K415" s="5" t="s">
        <v>418</v>
      </c>
      <c r="L415" s="5">
        <v>253580</v>
      </c>
      <c r="M415" s="5">
        <v>1</v>
      </c>
      <c r="N415" s="7">
        <v>46004</v>
      </c>
      <c r="O415" s="7">
        <v>46013</v>
      </c>
      <c r="P415" s="7">
        <v>46014</v>
      </c>
      <c r="Q415" s="7">
        <f t="shared" si="81"/>
        <v>46133</v>
      </c>
      <c r="R415" s="9">
        <v>2067497.06</v>
      </c>
      <c r="S415" s="33"/>
      <c r="T415" s="9">
        <v>1863021.6</v>
      </c>
      <c r="U415" s="10">
        <v>-9.89</v>
      </c>
      <c r="V415" s="10" t="str">
        <f t="shared" si="82"/>
        <v>Below</v>
      </c>
      <c r="W415" s="11" t="str" cm="1">
        <f t="array" ref="W415">NumberToWords(T415)</f>
        <v>Eighteen Lakh Sixty Three Thousand Twenty One Rupees and Six Paise Only</v>
      </c>
      <c r="X415" s="10" t="str">
        <f t="shared" si="83"/>
        <v>Division</v>
      </c>
      <c r="Z415" s="9">
        <f t="shared" si="84"/>
        <v>1863021.6</v>
      </c>
      <c r="AA415" s="5" t="s">
        <v>399</v>
      </c>
      <c r="AB415" s="8" t="str">
        <f>_xlfn.XLOOKUP(AA415, 'Agency List'!A$2:A$145, 'Agency List'!B$2:B$145, "Not Found")</f>
        <v>Pratapbhai Lakhubhai Beparia</v>
      </c>
      <c r="AC415" s="8" t="str">
        <f>_xlfn.XLOOKUP(AA415, 'Agency List'!A$2:A$145, 'Agency List'!C$2:C$145, "Not Found")</f>
        <v>At Lothpur, Ta. Jafarabad, Dist. Amreli - 365540</v>
      </c>
      <c r="AD415" s="8">
        <f>_xlfn.XLOOKUP(AA415, 'Agency List'!A$2:A$145, 'Agency List'!D$2:D$145, "Not Found")</f>
        <v>9727987777</v>
      </c>
      <c r="AE415" s="7"/>
      <c r="AF415" s="5" t="s">
        <v>357</v>
      </c>
      <c r="AG415" s="5" t="str">
        <f t="shared" si="85"/>
        <v>Bandhkam</v>
      </c>
      <c r="AH415" s="55"/>
      <c r="AI415" s="49"/>
      <c r="AJ415" s="20"/>
      <c r="AL415" s="16">
        <v>4</v>
      </c>
      <c r="AM415" s="12">
        <f t="shared" si="86"/>
        <v>94000</v>
      </c>
      <c r="AN415" s="7">
        <f t="shared" si="87"/>
        <v>46593</v>
      </c>
      <c r="AO415" s="12">
        <f t="shared" si="88"/>
        <v>4700</v>
      </c>
      <c r="AP415" s="12">
        <f t="shared" si="89"/>
        <v>0</v>
      </c>
      <c r="AQ415" s="15">
        <f t="shared" si="90"/>
        <v>46178</v>
      </c>
      <c r="AR415" s="7">
        <f t="shared" si="91"/>
        <v>46533</v>
      </c>
      <c r="AS415" s="5">
        <v>1811</v>
      </c>
      <c r="AT415" s="7">
        <v>46020</v>
      </c>
      <c r="AU415" s="5"/>
      <c r="AV415" s="17"/>
      <c r="AW415" s="17"/>
      <c r="AX415" s="5"/>
      <c r="AY415" s="5"/>
      <c r="AZ415" s="13"/>
      <c r="BA415" s="12"/>
      <c r="BB415" s="7"/>
      <c r="BC415" s="14"/>
      <c r="BD415" s="14"/>
      <c r="BF415" s="12"/>
      <c r="BG415" s="14"/>
      <c r="BH415" s="19">
        <v>46023</v>
      </c>
      <c r="BI415" s="5"/>
      <c r="BM415" s="18"/>
      <c r="BN415" s="18"/>
      <c r="BO415" s="18"/>
      <c r="BP415" s="18"/>
      <c r="BQ415" s="5"/>
      <c r="BR415" s="18"/>
      <c r="BS415" s="18"/>
      <c r="BT415" s="35"/>
    </row>
    <row r="416" spans="1:72" ht="58" x14ac:dyDescent="0.35">
      <c r="A416" s="5">
        <v>415</v>
      </c>
      <c r="B416" s="5"/>
      <c r="C416" s="5" t="s">
        <v>78</v>
      </c>
      <c r="D416" s="5">
        <v>24</v>
      </c>
      <c r="E416" s="5">
        <v>8</v>
      </c>
      <c r="F416" s="8" t="s">
        <v>972</v>
      </c>
      <c r="G416" s="8"/>
      <c r="H416" s="5" t="s">
        <v>4</v>
      </c>
      <c r="I416" s="5" t="str" cm="1">
        <f t="array" ref="I416">_xlfn.IFS(
  H416="Mahuva", "Mahuva",
  H416="Jesar", "Mahuva",
  H416="Palitana", "Palitana",
  H416="Gariyadhar", "Palitana",
  H416="Talaja", "Talaja",
  H416="Vallabhipur", "Vallabhipur",
  H416="Umrala", "Vallabhipur",
  H416="Shihor", "Shihor",
  H416="Ghogha", "Bhavnagar",
  H416="Bhavnagar", "Bhavnagar"
)</f>
        <v>Talaja</v>
      </c>
      <c r="J416" s="5" t="s">
        <v>256</v>
      </c>
      <c r="K416" s="5" t="s">
        <v>418</v>
      </c>
      <c r="L416" s="5">
        <v>253581</v>
      </c>
      <c r="M416" s="5">
        <v>1</v>
      </c>
      <c r="N416" s="7">
        <v>46004</v>
      </c>
      <c r="O416" s="7">
        <v>46013</v>
      </c>
      <c r="P416" s="7">
        <v>46014</v>
      </c>
      <c r="Q416" s="7">
        <f t="shared" si="81"/>
        <v>46133</v>
      </c>
      <c r="R416" s="9">
        <v>2067497.06</v>
      </c>
      <c r="S416" s="33"/>
      <c r="T416" s="9">
        <v>1814848.92</v>
      </c>
      <c r="U416" s="10">
        <v>-12.22</v>
      </c>
      <c r="V416" s="10" t="str">
        <f t="shared" si="82"/>
        <v>Below</v>
      </c>
      <c r="W416" s="11" t="str" cm="1">
        <f t="array" ref="W416">NumberToWords(T416)</f>
        <v>Eighteen Lakh Fourteen Thousand Eight Hundred Forty Eight Rupees and Ninety Two Paise Only</v>
      </c>
      <c r="X416" s="10" t="str">
        <f t="shared" si="83"/>
        <v>Division</v>
      </c>
      <c r="Z416" s="9">
        <f t="shared" si="84"/>
        <v>1814848.92</v>
      </c>
      <c r="AA416" s="5" t="s">
        <v>413</v>
      </c>
      <c r="AB416" s="8">
        <f>_xlfn.XLOOKUP(AA416, 'Agency List'!A$2:A$145, 'Agency List'!B$2:B$145, "Not Found")</f>
        <v>0</v>
      </c>
      <c r="AC416" s="8" t="str">
        <f>_xlfn.XLOOKUP(AA416, 'Agency List'!A$2:A$145, 'Agency List'!C$2:C$145, "Not Found")</f>
        <v xml:space="preserve">F-8, 1st Floor, Radhe City Center, Bapa Sitaram Chowk, Talaja, Dist. Bhavnagar
</v>
      </c>
      <c r="AD416" s="8">
        <f>_xlfn.XLOOKUP(AA416, 'Agency List'!A$2:A$145, 'Agency List'!D$2:D$145, "Not Found")</f>
        <v>7984290006</v>
      </c>
      <c r="AE416" s="7"/>
      <c r="AF416" s="5" t="s">
        <v>357</v>
      </c>
      <c r="AG416" s="5" t="str">
        <f t="shared" si="85"/>
        <v>Bandhkam</v>
      </c>
      <c r="AH416" s="55"/>
      <c r="AI416" s="49"/>
      <c r="AJ416" s="20"/>
      <c r="AL416" s="16">
        <v>4</v>
      </c>
      <c r="AM416" s="12">
        <f t="shared" si="86"/>
        <v>91000</v>
      </c>
      <c r="AN416" s="7">
        <f t="shared" si="87"/>
        <v>46593</v>
      </c>
      <c r="AO416" s="12">
        <f t="shared" si="88"/>
        <v>5000</v>
      </c>
      <c r="AP416" s="12">
        <f t="shared" si="89"/>
        <v>10000</v>
      </c>
      <c r="AQ416" s="15">
        <f t="shared" si="90"/>
        <v>46178</v>
      </c>
      <c r="AR416" s="7">
        <f t="shared" si="91"/>
        <v>46533</v>
      </c>
      <c r="AS416" s="5">
        <v>1812</v>
      </c>
      <c r="AT416" s="7">
        <v>46020</v>
      </c>
      <c r="AU416" s="5"/>
      <c r="AV416" s="17"/>
      <c r="AW416" s="17"/>
      <c r="AX416" s="5"/>
      <c r="AY416" s="5"/>
      <c r="AZ416" s="13"/>
      <c r="BA416" s="12"/>
      <c r="BB416" s="7"/>
      <c r="BC416" s="14"/>
      <c r="BD416" s="14"/>
      <c r="BF416" s="12"/>
      <c r="BG416" s="14"/>
      <c r="BH416" s="19">
        <v>46023</v>
      </c>
      <c r="BI416" s="5"/>
      <c r="BM416" s="18"/>
      <c r="BN416" s="18"/>
      <c r="BO416" s="18"/>
      <c r="BP416" s="18"/>
      <c r="BQ416" s="5"/>
      <c r="BR416" s="18"/>
      <c r="BS416" s="18"/>
      <c r="BT416" s="35"/>
    </row>
    <row r="417" spans="1:72" ht="29" x14ac:dyDescent="0.35">
      <c r="A417" s="5">
        <v>416</v>
      </c>
      <c r="B417" s="5"/>
      <c r="C417" s="5" t="s">
        <v>78</v>
      </c>
      <c r="D417" s="5">
        <v>24</v>
      </c>
      <c r="E417" s="5">
        <v>9</v>
      </c>
      <c r="F417" s="8"/>
      <c r="G417" s="8"/>
      <c r="H417" s="5"/>
      <c r="I417" s="5" t="e" cm="1">
        <f t="array" ref="I417">_xlfn.IFS(
  H417="Mahuva", "Mahuva",
  H417="Jesar", "Mahuva",
  H417="Palitana", "Palitana",
  H417="Gariyadhar", "Palitana",
  H417="Talaja", "Talaja",
  H417="Vallabhipur", "Vallabhipur",
  H417="Umrala", "Vallabhipur",
  H417="Shihor", "Shihor",
  H417="Ghogha", "Bhavnagar",
  H417="Bhavnagar", "Bhavnagar"
)</f>
        <v>#N/A</v>
      </c>
      <c r="J417" s="5" t="s">
        <v>256</v>
      </c>
      <c r="K417" s="5" t="s">
        <v>418</v>
      </c>
      <c r="M417" s="5">
        <v>1</v>
      </c>
      <c r="N417" s="7">
        <v>46004</v>
      </c>
      <c r="O417" s="7">
        <v>46013</v>
      </c>
      <c r="P417" s="7">
        <v>46014</v>
      </c>
      <c r="Q417" s="7">
        <f t="shared" si="81"/>
        <v>46133</v>
      </c>
      <c r="S417" s="33" t="s">
        <v>233</v>
      </c>
      <c r="U417" s="10"/>
      <c r="V417" s="10" t="str">
        <f t="shared" si="82"/>
        <v>Equals</v>
      </c>
      <c r="W417" s="11" t="str" cm="1">
        <f t="array" ref="W417">NumberToWords(T417)</f>
        <v>Zero Rupees Only</v>
      </c>
      <c r="X417" s="10" t="str">
        <f t="shared" si="83"/>
        <v>Division</v>
      </c>
      <c r="Z417" s="9">
        <f t="shared" si="84"/>
        <v>0</v>
      </c>
      <c r="AB417" s="8">
        <f>_xlfn.XLOOKUP(AA417, 'Agency List'!A$2:A$145, 'Agency List'!B$2:B$145, "Not Found")</f>
        <v>0</v>
      </c>
      <c r="AC417" s="8">
        <f>_xlfn.XLOOKUP(AA417, 'Agency List'!A$2:A$145, 'Agency List'!C$2:C$145, "Not Found")</f>
        <v>0</v>
      </c>
      <c r="AD417" s="8">
        <f>_xlfn.XLOOKUP(AA417, 'Agency List'!A$2:A$145, 'Agency List'!D$2:D$145, "Not Found")</f>
        <v>0</v>
      </c>
      <c r="AE417" s="7"/>
      <c r="AF417" s="5"/>
      <c r="AG417" s="5" t="str">
        <f t="shared" si="85"/>
        <v>Bandhkam</v>
      </c>
      <c r="AH417" s="55"/>
      <c r="AI417" s="49"/>
      <c r="AJ417" s="20"/>
      <c r="AL417" s="16">
        <v>4</v>
      </c>
      <c r="AM417" s="12">
        <f t="shared" si="86"/>
        <v>0</v>
      </c>
      <c r="AN417" s="7">
        <f t="shared" si="87"/>
        <v>46593</v>
      </c>
      <c r="AO417" s="12">
        <f t="shared" si="88"/>
        <v>0</v>
      </c>
      <c r="AP417" s="12">
        <f t="shared" si="89"/>
        <v>0</v>
      </c>
      <c r="AQ417" s="15">
        <f t="shared" si="90"/>
        <v>46178</v>
      </c>
      <c r="AR417" s="7">
        <f t="shared" si="91"/>
        <v>46533</v>
      </c>
      <c r="AS417" s="5">
        <v>1813</v>
      </c>
      <c r="AT417" s="7">
        <v>46020</v>
      </c>
      <c r="AU417" s="5"/>
      <c r="AV417" s="17"/>
      <c r="AW417" s="17"/>
      <c r="AX417" s="5"/>
      <c r="AY417" s="5"/>
      <c r="AZ417" s="13"/>
      <c r="BA417" s="12"/>
      <c r="BB417" s="7"/>
      <c r="BC417" s="14"/>
      <c r="BD417" s="14"/>
      <c r="BF417" s="12"/>
      <c r="BG417" s="14"/>
      <c r="BH417" s="19">
        <v>46023</v>
      </c>
      <c r="BI417" s="5"/>
      <c r="BM417" s="18"/>
      <c r="BN417" s="18"/>
      <c r="BO417" s="18"/>
      <c r="BP417" s="18"/>
      <c r="BQ417" s="5"/>
      <c r="BR417" s="18"/>
      <c r="BS417" s="18"/>
      <c r="BT417" s="35"/>
    </row>
    <row r="418" spans="1:72" ht="43.5" x14ac:dyDescent="0.35">
      <c r="A418" s="5">
        <v>417</v>
      </c>
      <c r="B418" s="5"/>
      <c r="C418" s="5" t="s">
        <v>78</v>
      </c>
      <c r="D418" s="5">
        <v>24</v>
      </c>
      <c r="E418" s="5">
        <v>10</v>
      </c>
      <c r="F418" s="8" t="s">
        <v>973</v>
      </c>
      <c r="G418" s="8"/>
      <c r="H418" s="5" t="s">
        <v>4</v>
      </c>
      <c r="I418" s="5" t="str" cm="1">
        <f t="array" ref="I418">_xlfn.IFS(
  H418="Mahuva", "Mahuva",
  H418="Jesar", "Mahuva",
  H418="Palitana", "Palitana",
  H418="Gariyadhar", "Palitana",
  H418="Talaja", "Talaja",
  H418="Vallabhipur", "Vallabhipur",
  H418="Umrala", "Vallabhipur",
  H418="Shihor", "Shihor",
  H418="Ghogha", "Bhavnagar",
  H418="Bhavnagar", "Bhavnagar"
)</f>
        <v>Talaja</v>
      </c>
      <c r="J418" s="5" t="s">
        <v>256</v>
      </c>
      <c r="K418" s="5" t="s">
        <v>418</v>
      </c>
      <c r="L418" s="5">
        <v>253583</v>
      </c>
      <c r="M418" s="5">
        <v>1</v>
      </c>
      <c r="N418" s="7">
        <v>46004</v>
      </c>
      <c r="O418" s="7">
        <v>46013</v>
      </c>
      <c r="P418" s="7">
        <v>46014</v>
      </c>
      <c r="Q418" s="7">
        <f t="shared" si="81"/>
        <v>46133</v>
      </c>
      <c r="R418" s="9">
        <v>2067497.06</v>
      </c>
      <c r="S418" s="33"/>
      <c r="T418" s="9">
        <v>1798515.69</v>
      </c>
      <c r="U418" s="10">
        <v>-13.01</v>
      </c>
      <c r="V418" s="10" t="str">
        <f t="shared" si="82"/>
        <v>Below</v>
      </c>
      <c r="W418" s="11" t="str" cm="1">
        <f t="array" ref="W418">NumberToWords(T418)</f>
        <v>Seventeen Lakh Ninety Eight Thousand Five Hundred Fifteen Rupees and Sixty Nine Paise Only</v>
      </c>
      <c r="X418" s="10" t="str">
        <f t="shared" si="83"/>
        <v>Division</v>
      </c>
      <c r="Z418" s="9">
        <f t="shared" si="84"/>
        <v>1798515.69</v>
      </c>
      <c r="AA418" s="5" t="s">
        <v>954</v>
      </c>
      <c r="AB418" s="8">
        <f>_xlfn.XLOOKUP(AA418, 'Agency List'!A$2:A$145, 'Agency List'!B$2:B$145, "Not Found")</f>
        <v>0</v>
      </c>
      <c r="AC418" s="8" t="str">
        <f>_xlfn.XLOOKUP(AA418, 'Agency List'!A$2:A$145, 'Agency List'!C$2:C$145, "Not Found")</f>
        <v>Shop No. 04, Madhuvan Complex, Gopnath Road, Talaja, Dist. Bhavnagar</v>
      </c>
      <c r="AD418" s="8">
        <f>_xlfn.XLOOKUP(AA418, 'Agency List'!A$2:A$145, 'Agency List'!D$2:D$145, "Not Found")</f>
        <v>8999898996</v>
      </c>
      <c r="AE418" s="7"/>
      <c r="AF418" s="5" t="s">
        <v>357</v>
      </c>
      <c r="AG418" s="5" t="str">
        <f t="shared" si="85"/>
        <v>Bandhkam</v>
      </c>
      <c r="AH418" s="55"/>
      <c r="AI418" s="49"/>
      <c r="AJ418" s="20"/>
      <c r="AL418" s="16">
        <v>4</v>
      </c>
      <c r="AM418" s="12">
        <f t="shared" si="86"/>
        <v>90000</v>
      </c>
      <c r="AN418" s="7">
        <f t="shared" si="87"/>
        <v>46593</v>
      </c>
      <c r="AO418" s="12">
        <f t="shared" si="88"/>
        <v>5100</v>
      </c>
      <c r="AP418" s="12">
        <f t="shared" si="89"/>
        <v>13000</v>
      </c>
      <c r="AQ418" s="15">
        <f t="shared" si="90"/>
        <v>46178</v>
      </c>
      <c r="AR418" s="7">
        <f t="shared" si="91"/>
        <v>46533</v>
      </c>
      <c r="AS418" s="5">
        <v>1814</v>
      </c>
      <c r="AT418" s="7">
        <v>46020</v>
      </c>
      <c r="AU418" s="5"/>
      <c r="AV418" s="17"/>
      <c r="AW418" s="17"/>
      <c r="AX418" s="5"/>
      <c r="AY418" s="5"/>
      <c r="AZ418" s="13"/>
      <c r="BA418" s="12"/>
      <c r="BB418" s="7"/>
      <c r="BC418" s="14"/>
      <c r="BD418" s="14"/>
      <c r="BF418" s="12"/>
      <c r="BG418" s="14"/>
      <c r="BH418" s="19">
        <v>46023</v>
      </c>
      <c r="BI418" s="5"/>
      <c r="BM418" s="18"/>
      <c r="BN418" s="18"/>
      <c r="BO418" s="18"/>
      <c r="BP418" s="18"/>
      <c r="BQ418" s="5"/>
      <c r="BR418" s="18"/>
      <c r="BS418" s="18"/>
      <c r="BT418" s="35"/>
    </row>
    <row r="419" spans="1:72" ht="43.5" x14ac:dyDescent="0.35">
      <c r="A419" s="5">
        <v>418</v>
      </c>
      <c r="B419" s="5"/>
      <c r="C419" s="5" t="s">
        <v>78</v>
      </c>
      <c r="D419" s="5">
        <v>24</v>
      </c>
      <c r="E419" s="5">
        <v>11</v>
      </c>
      <c r="F419" s="8" t="s">
        <v>974</v>
      </c>
      <c r="G419" s="8"/>
      <c r="H419" s="5" t="s">
        <v>4</v>
      </c>
      <c r="I419" s="5" t="str" cm="1">
        <f t="array" ref="I419">_xlfn.IFS(
  H419="Mahuva", "Mahuva",
  H419="Jesar", "Mahuva",
  H419="Palitana", "Palitana",
  H419="Gariyadhar", "Palitana",
  H419="Talaja", "Talaja",
  H419="Vallabhipur", "Vallabhipur",
  H419="Umrala", "Vallabhipur",
  H419="Shihor", "Shihor",
  H419="Ghogha", "Bhavnagar",
  H419="Bhavnagar", "Bhavnagar"
)</f>
        <v>Talaja</v>
      </c>
      <c r="J419" s="5" t="s">
        <v>256</v>
      </c>
      <c r="K419" s="5" t="s">
        <v>418</v>
      </c>
      <c r="L419" s="5">
        <v>253584</v>
      </c>
      <c r="M419" s="5">
        <v>1</v>
      </c>
      <c r="N419" s="7">
        <v>46004</v>
      </c>
      <c r="O419" s="7">
        <v>46013</v>
      </c>
      <c r="P419" s="7">
        <v>46014</v>
      </c>
      <c r="Q419" s="7">
        <f t="shared" si="81"/>
        <v>46133</v>
      </c>
      <c r="R419" s="9">
        <v>2067497.06</v>
      </c>
      <c r="S419" s="33"/>
      <c r="T419" s="9">
        <v>1812574.67</v>
      </c>
      <c r="U419" s="10">
        <v>-12.33</v>
      </c>
      <c r="V419" s="10" t="str">
        <f t="shared" si="82"/>
        <v>Below</v>
      </c>
      <c r="W419" s="11" t="str" cm="1">
        <f t="array" ref="W419">NumberToWords(T419)</f>
        <v>Eighteen Lakh Twelve Thousand Five Hundred Seventy Four Rupees and Sixty Seven Paise Only</v>
      </c>
      <c r="X419" s="10" t="str">
        <f t="shared" si="83"/>
        <v>Division</v>
      </c>
      <c r="Z419" s="9">
        <f t="shared" si="84"/>
        <v>1812574.67</v>
      </c>
      <c r="AA419" s="5" t="s">
        <v>414</v>
      </c>
      <c r="AB419" s="8">
        <f>_xlfn.XLOOKUP(AA419, 'Agency List'!A$2:A$145, 'Agency List'!B$2:B$145, "Not Found")</f>
        <v>0</v>
      </c>
      <c r="AC419" s="8" t="str">
        <f>_xlfn.XLOOKUP(AA419, 'Agency List'!A$2:A$145, 'Agency List'!C$2:C$145, "Not Found")</f>
        <v>185, Reliya Plot Vistar, Reliya, Tal. Talaja, Dist. Bhavnagar-364135</v>
      </c>
      <c r="AD419" s="8">
        <f>_xlfn.XLOOKUP(AA419, 'Agency List'!A$2:A$145, 'Agency List'!D$2:D$145, "Not Found")</f>
        <v>9737944545</v>
      </c>
      <c r="AE419" s="7"/>
      <c r="AF419" s="5" t="s">
        <v>357</v>
      </c>
      <c r="AG419" s="5" t="str">
        <f t="shared" si="85"/>
        <v>Bandhkam</v>
      </c>
      <c r="AH419" s="55"/>
      <c r="AI419" s="49"/>
      <c r="AJ419" s="20"/>
      <c r="AL419" s="16">
        <v>4</v>
      </c>
      <c r="AM419" s="12">
        <f t="shared" si="86"/>
        <v>91000</v>
      </c>
      <c r="AN419" s="7">
        <f t="shared" si="87"/>
        <v>46593</v>
      </c>
      <c r="AO419" s="12">
        <f t="shared" si="88"/>
        <v>5000</v>
      </c>
      <c r="AP419" s="12">
        <f t="shared" si="89"/>
        <v>10000</v>
      </c>
      <c r="AQ419" s="15">
        <f t="shared" si="90"/>
        <v>46178</v>
      </c>
      <c r="AR419" s="7">
        <f t="shared" si="91"/>
        <v>46533</v>
      </c>
      <c r="AS419" s="5">
        <v>1815</v>
      </c>
      <c r="AT419" s="7">
        <v>46020</v>
      </c>
      <c r="AU419" s="5"/>
      <c r="AV419" s="17"/>
      <c r="AW419" s="17"/>
      <c r="AX419" s="5"/>
      <c r="AY419" s="5"/>
      <c r="AZ419" s="13"/>
      <c r="BA419" s="12"/>
      <c r="BB419" s="7"/>
      <c r="BC419" s="14"/>
      <c r="BD419" s="14"/>
      <c r="BF419" s="12"/>
      <c r="BG419" s="14"/>
      <c r="BH419" s="19">
        <v>46023</v>
      </c>
      <c r="BI419" s="5"/>
      <c r="BM419" s="18"/>
      <c r="BN419" s="18"/>
      <c r="BO419" s="18"/>
      <c r="BP419" s="18"/>
      <c r="BQ419" s="5"/>
      <c r="BR419" s="18"/>
      <c r="BS419" s="18"/>
      <c r="BT419" s="35"/>
    </row>
    <row r="420" spans="1:72" ht="58" x14ac:dyDescent="0.35">
      <c r="A420" s="5">
        <v>419</v>
      </c>
      <c r="B420" s="5"/>
      <c r="C420" s="5" t="s">
        <v>78</v>
      </c>
      <c r="D420" s="5">
        <v>24</v>
      </c>
      <c r="E420" s="5">
        <v>12</v>
      </c>
      <c r="F420" s="8" t="s">
        <v>975</v>
      </c>
      <c r="G420" s="8"/>
      <c r="H420" s="5" t="s">
        <v>4</v>
      </c>
      <c r="I420" s="5" t="str" cm="1">
        <f t="array" ref="I420">_xlfn.IFS(
  H420="Mahuva", "Mahuva",
  H420="Jesar", "Mahuva",
  H420="Palitana", "Palitana",
  H420="Gariyadhar", "Palitana",
  H420="Talaja", "Talaja",
  H420="Vallabhipur", "Vallabhipur",
  H420="Umrala", "Vallabhipur",
  H420="Shihor", "Shihor",
  H420="Ghogha", "Bhavnagar",
  H420="Bhavnagar", "Bhavnagar"
)</f>
        <v>Talaja</v>
      </c>
      <c r="J420" s="5" t="s">
        <v>256</v>
      </c>
      <c r="K420" s="5" t="s">
        <v>418</v>
      </c>
      <c r="L420" s="5">
        <v>253585</v>
      </c>
      <c r="M420" s="5">
        <v>1</v>
      </c>
      <c r="N420" s="7">
        <v>46004</v>
      </c>
      <c r="O420" s="7">
        <v>46013</v>
      </c>
      <c r="P420" s="7">
        <v>46014</v>
      </c>
      <c r="Q420" s="7">
        <f t="shared" si="81"/>
        <v>46133</v>
      </c>
      <c r="R420" s="9">
        <v>2067497.06</v>
      </c>
      <c r="S420" s="33"/>
      <c r="T420" s="9">
        <v>1936624.5</v>
      </c>
      <c r="U420" s="10">
        <v>-6.33</v>
      </c>
      <c r="V420" s="10" t="str">
        <f t="shared" si="82"/>
        <v>Below</v>
      </c>
      <c r="W420" s="11" t="str" cm="1">
        <f t="array" ref="W420">NumberToWords(T420)</f>
        <v>Nineteen Lakh Thirty Six Thousand Six Hundred Twenty Four Rupees and Five Paise Only</v>
      </c>
      <c r="X420" s="10" t="str">
        <f t="shared" si="83"/>
        <v>Division</v>
      </c>
      <c r="Z420" s="9">
        <f t="shared" si="84"/>
        <v>1936624.5</v>
      </c>
      <c r="AA420" s="5" t="s">
        <v>281</v>
      </c>
      <c r="AB420" s="8" t="str">
        <f>_xlfn.XLOOKUP(AA420, 'Agency List'!A$2:A$145, 'Agency List'!B$2:B$145, "Not Found")</f>
        <v>UDAYBHAI RAMKUBHAI LUNSAR</v>
      </c>
      <c r="AC420" s="8" t="str">
        <f>_xlfn.XLOOKUP(AA420, 'Agency List'!A$2:A$145, 'Agency List'!C$2:C$145, "Not Found")</f>
        <v>Shop No. 5, First Floor, Nilkanth Arcade, Opp. Arjun Tokiz, Palitana Road, Gariyadhar- 364505</v>
      </c>
      <c r="AD420" s="8">
        <f>_xlfn.XLOOKUP(AA420, 'Agency List'!A$2:A$145, 'Agency List'!D$2:D$145, "Not Found")</f>
        <v>9824226646</v>
      </c>
      <c r="AE420" s="7"/>
      <c r="AF420" s="5" t="s">
        <v>357</v>
      </c>
      <c r="AG420" s="5" t="str">
        <f t="shared" si="85"/>
        <v>Bandhkam</v>
      </c>
      <c r="AH420" s="55"/>
      <c r="AI420" s="49"/>
      <c r="AJ420" s="20"/>
      <c r="AL420" s="16">
        <v>4</v>
      </c>
      <c r="AM420" s="12">
        <f t="shared" si="86"/>
        <v>97000</v>
      </c>
      <c r="AN420" s="7">
        <f t="shared" si="87"/>
        <v>46593</v>
      </c>
      <c r="AO420" s="12">
        <f t="shared" si="88"/>
        <v>4800</v>
      </c>
      <c r="AP420" s="12">
        <f t="shared" si="89"/>
        <v>0</v>
      </c>
      <c r="AQ420" s="15">
        <f t="shared" si="90"/>
        <v>46178</v>
      </c>
      <c r="AR420" s="7">
        <f t="shared" si="91"/>
        <v>46533</v>
      </c>
      <c r="AS420" s="5">
        <v>1816</v>
      </c>
      <c r="AT420" s="7">
        <v>46020</v>
      </c>
      <c r="AU420" s="5"/>
      <c r="AV420" s="17"/>
      <c r="AW420" s="17"/>
      <c r="AX420" s="5"/>
      <c r="AY420" s="5"/>
      <c r="AZ420" s="13"/>
      <c r="BA420" s="12"/>
      <c r="BB420" s="7"/>
      <c r="BC420" s="14"/>
      <c r="BD420" s="14"/>
      <c r="BF420" s="12"/>
      <c r="BG420" s="14"/>
      <c r="BH420" s="19">
        <v>46023</v>
      </c>
      <c r="BI420" s="5"/>
      <c r="BM420" s="18"/>
      <c r="BN420" s="18"/>
      <c r="BO420" s="18"/>
      <c r="BP420" s="18"/>
      <c r="BQ420" s="5"/>
      <c r="BR420" s="18"/>
      <c r="BS420" s="18"/>
      <c r="BT420" s="35"/>
    </row>
    <row r="421" spans="1:72" ht="43.5" x14ac:dyDescent="0.35">
      <c r="A421" s="5">
        <v>420</v>
      </c>
      <c r="B421" s="5"/>
      <c r="C421" s="5" t="s">
        <v>78</v>
      </c>
      <c r="D421" s="5">
        <v>24</v>
      </c>
      <c r="E421" s="5">
        <v>13</v>
      </c>
      <c r="F421" s="8" t="s">
        <v>976</v>
      </c>
      <c r="G421" s="8"/>
      <c r="H421" s="5" t="s">
        <v>4</v>
      </c>
      <c r="I421" s="5" t="str" cm="1">
        <f t="array" ref="I421">_xlfn.IFS(
  H421="Mahuva", "Mahuva",
  H421="Jesar", "Mahuva",
  H421="Palitana", "Palitana",
  H421="Gariyadhar", "Palitana",
  H421="Talaja", "Talaja",
  H421="Vallabhipur", "Vallabhipur",
  H421="Umrala", "Vallabhipur",
  H421="Shihor", "Shihor",
  H421="Ghogha", "Bhavnagar",
  H421="Bhavnagar", "Bhavnagar"
)</f>
        <v>Talaja</v>
      </c>
      <c r="J421" s="5" t="s">
        <v>256</v>
      </c>
      <c r="K421" s="5" t="s">
        <v>418</v>
      </c>
      <c r="L421" s="5">
        <v>253623</v>
      </c>
      <c r="M421" s="5">
        <v>1</v>
      </c>
      <c r="N421" s="7">
        <v>46004</v>
      </c>
      <c r="O421" s="7">
        <v>46013</v>
      </c>
      <c r="P421" s="7">
        <v>46014</v>
      </c>
      <c r="Q421" s="7">
        <f t="shared" si="81"/>
        <v>46133</v>
      </c>
      <c r="R421" s="9">
        <v>2880130.57</v>
      </c>
      <c r="S421" s="33"/>
      <c r="T421" s="9">
        <v>2654328.33</v>
      </c>
      <c r="U421" s="10">
        <v>-7.84</v>
      </c>
      <c r="V421" s="10" t="str">
        <f t="shared" si="82"/>
        <v>Below</v>
      </c>
      <c r="W421" s="11" t="str" cm="1">
        <f t="array" ref="W421">NumberToWords(T421)</f>
        <v>Twenty Six Lakh Fifty Four Thousand Three Hundred Twenty Eight Rupees and Thirty Three Paise Only</v>
      </c>
      <c r="X421" s="10" t="str">
        <f t="shared" si="83"/>
        <v>Division</v>
      </c>
      <c r="Z421" s="9">
        <f t="shared" si="84"/>
        <v>2654328.33</v>
      </c>
      <c r="AA421" s="5" t="s">
        <v>956</v>
      </c>
      <c r="AB421" s="8">
        <f>_xlfn.XLOOKUP(AA421, 'Agency List'!A$2:A$145, 'Agency List'!B$2:B$145, "Not Found")</f>
        <v>0</v>
      </c>
      <c r="AC421" s="8" t="str">
        <f>_xlfn.XLOOKUP(AA421, 'Agency List'!A$2:A$145, 'Agency List'!C$2:C$145, "Not Found")</f>
        <v>At. Mitiyala, Main Road, Near Bus Station, Tal. Jafrabad, Dist. Amreli - 365540</v>
      </c>
      <c r="AD421" s="8">
        <f>_xlfn.XLOOKUP(AA421, 'Agency List'!A$2:A$145, 'Agency List'!D$2:D$145, "Not Found")</f>
        <v>7600355044</v>
      </c>
      <c r="AE421" s="7"/>
      <c r="AF421" s="5" t="s">
        <v>357</v>
      </c>
      <c r="AG421" s="5" t="str">
        <f t="shared" si="85"/>
        <v>Karobari</v>
      </c>
      <c r="AH421" s="55"/>
      <c r="AI421" s="49"/>
      <c r="AJ421" s="20"/>
      <c r="AL421" s="16">
        <v>4</v>
      </c>
      <c r="AM421" s="12">
        <f t="shared" si="86"/>
        <v>133000</v>
      </c>
      <c r="AN421" s="7">
        <f t="shared" si="87"/>
        <v>46612</v>
      </c>
      <c r="AO421" s="12">
        <f t="shared" si="88"/>
        <v>6600</v>
      </c>
      <c r="AP421" s="12">
        <f t="shared" si="89"/>
        <v>0</v>
      </c>
      <c r="AQ421" s="15">
        <f t="shared" si="90"/>
        <v>46197</v>
      </c>
      <c r="AR421" s="7">
        <f t="shared" si="91"/>
        <v>46552</v>
      </c>
      <c r="AS421" s="5">
        <v>1817</v>
      </c>
      <c r="AT421" s="7">
        <v>46020</v>
      </c>
      <c r="AU421" s="5" t="s">
        <v>78</v>
      </c>
      <c r="AV421" s="17">
        <v>268</v>
      </c>
      <c r="AW421" s="37">
        <v>46042</v>
      </c>
      <c r="AX421" s="5" t="s">
        <v>355</v>
      </c>
      <c r="AY421" s="5" t="s">
        <v>369</v>
      </c>
      <c r="AZ421" s="13">
        <v>44803434235</v>
      </c>
      <c r="BA421" s="12">
        <v>133000</v>
      </c>
      <c r="BB421" s="7">
        <v>46027</v>
      </c>
      <c r="BC421" s="14"/>
      <c r="BD421" s="14"/>
      <c r="BF421" s="12"/>
      <c r="BG421" s="14"/>
      <c r="BH421" s="19">
        <v>46042</v>
      </c>
      <c r="BI421" s="5">
        <v>62</v>
      </c>
      <c r="BJ421" s="19">
        <v>46042</v>
      </c>
      <c r="BM421" s="18"/>
      <c r="BN421" s="18"/>
      <c r="BO421" s="18"/>
      <c r="BP421" s="18"/>
      <c r="BQ421" s="5"/>
      <c r="BR421" s="18"/>
      <c r="BS421" s="18"/>
      <c r="BT421" s="35"/>
    </row>
    <row r="422" spans="1:72" ht="43.5" x14ac:dyDescent="0.35">
      <c r="A422" s="5">
        <v>421</v>
      </c>
      <c r="B422" s="5"/>
      <c r="C422" s="5" t="s">
        <v>78</v>
      </c>
      <c r="D422" s="5">
        <v>24</v>
      </c>
      <c r="E422" s="5">
        <v>14</v>
      </c>
      <c r="F422" s="8" t="s">
        <v>1045</v>
      </c>
      <c r="G422" s="8"/>
      <c r="H422" s="5"/>
      <c r="I422" s="5" t="e" cm="1">
        <f t="array" ref="I422">_xlfn.IFS(
  H422="Mahuva", "Mahuva",
  H422="Jesar", "Mahuva",
  H422="Palitana", "Palitana",
  H422="Gariyadhar", "Palitana",
  H422="Talaja", "Talaja",
  H422="Vallabhipur", "Vallabhipur",
  H422="Umrala", "Vallabhipur",
  H422="Shihor", "Shihor",
  H422="Ghogha", "Bhavnagar",
  H422="Bhavnagar", "Bhavnagar"
)</f>
        <v>#N/A</v>
      </c>
      <c r="J422" s="5" t="s">
        <v>256</v>
      </c>
      <c r="K422" s="5" t="s">
        <v>418</v>
      </c>
      <c r="L422" s="5">
        <v>253586</v>
      </c>
      <c r="M422" s="5">
        <v>1</v>
      </c>
      <c r="N422" s="7">
        <v>46004</v>
      </c>
      <c r="O422" s="7">
        <v>46013</v>
      </c>
      <c r="P422" s="7">
        <v>46014</v>
      </c>
      <c r="Q422" s="7">
        <f t="shared" si="81"/>
        <v>46133</v>
      </c>
      <c r="S422" s="33" t="s">
        <v>233</v>
      </c>
      <c r="U422" s="10"/>
      <c r="V422" s="10" t="str">
        <f t="shared" si="82"/>
        <v>Equals</v>
      </c>
      <c r="W422" s="11" t="str" cm="1">
        <f t="array" ref="W422">NumberToWords(T422)</f>
        <v>Zero Rupees Only</v>
      </c>
      <c r="X422" s="10" t="str">
        <f t="shared" si="83"/>
        <v>Division</v>
      </c>
      <c r="Z422" s="9">
        <f t="shared" si="84"/>
        <v>0</v>
      </c>
      <c r="AB422" s="8">
        <f>_xlfn.XLOOKUP(AA422, 'Agency List'!A$2:A$145, 'Agency List'!B$2:B$145, "Not Found")</f>
        <v>0</v>
      </c>
      <c r="AC422" s="8">
        <f>_xlfn.XLOOKUP(AA422, 'Agency List'!A$2:A$145, 'Agency List'!C$2:C$145, "Not Found")</f>
        <v>0</v>
      </c>
      <c r="AD422" s="8">
        <f>_xlfn.XLOOKUP(AA422, 'Agency List'!A$2:A$145, 'Agency List'!D$2:D$145, "Not Found")</f>
        <v>0</v>
      </c>
      <c r="AE422" s="7"/>
      <c r="AF422" s="5"/>
      <c r="AG422" s="5" t="str">
        <f t="shared" si="85"/>
        <v>Bandhkam</v>
      </c>
      <c r="AH422" s="55"/>
      <c r="AI422" s="49"/>
      <c r="AJ422" s="20"/>
      <c r="AL422" s="16">
        <v>4</v>
      </c>
      <c r="AM422" s="12">
        <f t="shared" si="86"/>
        <v>0</v>
      </c>
      <c r="AN422" s="7">
        <f t="shared" si="87"/>
        <v>46593</v>
      </c>
      <c r="AO422" s="12">
        <f t="shared" si="88"/>
        <v>0</v>
      </c>
      <c r="AP422" s="12">
        <f t="shared" si="89"/>
        <v>0</v>
      </c>
      <c r="AQ422" s="15">
        <f t="shared" si="90"/>
        <v>46178</v>
      </c>
      <c r="AR422" s="7">
        <f t="shared" si="91"/>
        <v>46533</v>
      </c>
      <c r="AS422" s="5">
        <v>1818</v>
      </c>
      <c r="AT422" s="7">
        <v>46020</v>
      </c>
      <c r="AU422" s="5"/>
      <c r="AV422" s="17"/>
      <c r="AW422" s="17"/>
      <c r="AX422" s="5"/>
      <c r="AY422" s="5"/>
      <c r="AZ422" s="13"/>
      <c r="BA422" s="12"/>
      <c r="BB422" s="7"/>
      <c r="BC422" s="14"/>
      <c r="BD422" s="14"/>
      <c r="BF422" s="12"/>
      <c r="BG422" s="14"/>
      <c r="BH422" s="19">
        <v>46023</v>
      </c>
      <c r="BI422" s="5"/>
      <c r="BM422" s="18"/>
      <c r="BN422" s="18"/>
      <c r="BO422" s="18"/>
      <c r="BP422" s="18"/>
      <c r="BQ422" s="5"/>
      <c r="BR422" s="18"/>
      <c r="BS422" s="18"/>
      <c r="BT422" s="35"/>
    </row>
    <row r="423" spans="1:72" ht="43.5" x14ac:dyDescent="0.35">
      <c r="A423" s="5">
        <v>422</v>
      </c>
      <c r="B423" s="5"/>
      <c r="C423" s="5" t="s">
        <v>78</v>
      </c>
      <c r="D423" s="5">
        <v>24</v>
      </c>
      <c r="E423" s="5">
        <v>15</v>
      </c>
      <c r="F423" s="8" t="s">
        <v>977</v>
      </c>
      <c r="G423" s="8"/>
      <c r="H423" s="5" t="s">
        <v>4</v>
      </c>
      <c r="I423" s="5" t="str" cm="1">
        <f t="array" ref="I423">_xlfn.IFS(
  H423="Mahuva", "Mahuva",
  H423="Jesar", "Mahuva",
  H423="Palitana", "Palitana",
  H423="Gariyadhar", "Palitana",
  H423="Talaja", "Talaja",
  H423="Vallabhipur", "Vallabhipur",
  H423="Umrala", "Vallabhipur",
  H423="Shihor", "Shihor",
  H423="Ghogha", "Bhavnagar",
  H423="Bhavnagar", "Bhavnagar"
)</f>
        <v>Talaja</v>
      </c>
      <c r="J423" s="5" t="s">
        <v>256</v>
      </c>
      <c r="K423" s="5" t="s">
        <v>418</v>
      </c>
      <c r="L423" s="5">
        <v>253625</v>
      </c>
      <c r="M423" s="5">
        <v>1</v>
      </c>
      <c r="N423" s="7">
        <v>46004</v>
      </c>
      <c r="O423" s="7">
        <v>46013</v>
      </c>
      <c r="P423" s="7">
        <v>46014</v>
      </c>
      <c r="Q423" s="7">
        <f t="shared" si="81"/>
        <v>46133</v>
      </c>
      <c r="R423" s="9">
        <v>3343468.16</v>
      </c>
      <c r="S423" s="33"/>
      <c r="T423" s="9">
        <v>3009455.69</v>
      </c>
      <c r="U423" s="10">
        <v>-9.99</v>
      </c>
      <c r="V423" s="10" t="str">
        <f t="shared" si="82"/>
        <v>Below</v>
      </c>
      <c r="W423" s="11" t="str" cm="1">
        <f t="array" ref="W423">NumberToWords(T423)</f>
        <v>Thirty Lakh Nine Thousand Four Hundred Fifty Five Rupees and Sixty Nine Paise Only</v>
      </c>
      <c r="X423" s="10" t="str">
        <f t="shared" si="83"/>
        <v>Division</v>
      </c>
      <c r="Z423" s="9">
        <f t="shared" si="84"/>
        <v>3009455.69</v>
      </c>
      <c r="AA423" s="5" t="s">
        <v>954</v>
      </c>
      <c r="AB423" s="8">
        <f>_xlfn.XLOOKUP(AA423, 'Agency List'!A$2:A$145, 'Agency List'!B$2:B$145, "Not Found")</f>
        <v>0</v>
      </c>
      <c r="AC423" s="8" t="str">
        <f>_xlfn.XLOOKUP(AA423, 'Agency List'!A$2:A$145, 'Agency List'!C$2:C$145, "Not Found")</f>
        <v>Shop No. 04, Madhuvan Complex, Gopnath Road, Talaja, Dist. Bhavnagar</v>
      </c>
      <c r="AD423" s="8">
        <f>_xlfn.XLOOKUP(AA423, 'Agency List'!A$2:A$145, 'Agency List'!D$2:D$145, "Not Found")</f>
        <v>8999898996</v>
      </c>
      <c r="AE423" s="7"/>
      <c r="AF423" s="5" t="s">
        <v>357</v>
      </c>
      <c r="AG423" s="5" t="str">
        <f t="shared" si="85"/>
        <v>Karobari</v>
      </c>
      <c r="AH423" s="55"/>
      <c r="AI423" s="49"/>
      <c r="AJ423" s="20"/>
      <c r="AL423" s="16">
        <v>4</v>
      </c>
      <c r="AM423" s="12">
        <f t="shared" si="86"/>
        <v>151000</v>
      </c>
      <c r="AN423" s="7">
        <f t="shared" si="87"/>
        <v>46593</v>
      </c>
      <c r="AO423" s="12">
        <f t="shared" si="88"/>
        <v>7400</v>
      </c>
      <c r="AP423" s="12">
        <f t="shared" si="89"/>
        <v>0</v>
      </c>
      <c r="AQ423" s="15">
        <f t="shared" si="90"/>
        <v>46178</v>
      </c>
      <c r="AR423" s="7">
        <f t="shared" si="91"/>
        <v>46533</v>
      </c>
      <c r="AS423" s="5">
        <v>1819</v>
      </c>
      <c r="AT423" s="7">
        <v>46020</v>
      </c>
      <c r="AU423" s="5"/>
      <c r="AV423" s="17"/>
      <c r="AW423" s="17"/>
      <c r="AX423" s="5"/>
      <c r="AY423" s="5"/>
      <c r="AZ423" s="13"/>
      <c r="BA423" s="12"/>
      <c r="BB423" s="7"/>
      <c r="BC423" s="14"/>
      <c r="BD423" s="14"/>
      <c r="BF423" s="12"/>
      <c r="BG423" s="14"/>
      <c r="BH423" s="19">
        <v>46023</v>
      </c>
      <c r="BI423" s="5"/>
      <c r="BM423" s="18"/>
      <c r="BN423" s="18"/>
      <c r="BO423" s="18"/>
      <c r="BP423" s="18"/>
      <c r="BQ423" s="5"/>
      <c r="BR423" s="18"/>
      <c r="BS423" s="18"/>
      <c r="BT423" s="35"/>
    </row>
    <row r="424" spans="1:72" ht="43.5" x14ac:dyDescent="0.35">
      <c r="A424" s="5">
        <v>423</v>
      </c>
      <c r="B424" s="5"/>
      <c r="C424" s="5" t="s">
        <v>78</v>
      </c>
      <c r="D424" s="5">
        <v>24</v>
      </c>
      <c r="E424" s="5">
        <v>16</v>
      </c>
      <c r="F424" s="8" t="s">
        <v>978</v>
      </c>
      <c r="G424" s="8"/>
      <c r="H424" s="5" t="s">
        <v>4</v>
      </c>
      <c r="I424" s="5" t="str" cm="1">
        <f t="array" ref="I424">_xlfn.IFS(
  H424="Mahuva", "Mahuva",
  H424="Jesar", "Mahuva",
  H424="Palitana", "Palitana",
  H424="Gariyadhar", "Palitana",
  H424="Talaja", "Talaja",
  H424="Vallabhipur", "Vallabhipur",
  H424="Umrala", "Vallabhipur",
  H424="Shihor", "Shihor",
  H424="Ghogha", "Bhavnagar",
  H424="Bhavnagar", "Bhavnagar"
)</f>
        <v>Talaja</v>
      </c>
      <c r="J424" s="5" t="s">
        <v>256</v>
      </c>
      <c r="K424" s="5" t="s">
        <v>418</v>
      </c>
      <c r="L424" s="5">
        <v>253587</v>
      </c>
      <c r="M424" s="5">
        <v>1</v>
      </c>
      <c r="N424" s="7">
        <v>46004</v>
      </c>
      <c r="O424" s="7">
        <v>46013</v>
      </c>
      <c r="P424" s="7">
        <v>46014</v>
      </c>
      <c r="Q424" s="7">
        <f t="shared" si="81"/>
        <v>46133</v>
      </c>
      <c r="R424" s="9">
        <v>2067497.06</v>
      </c>
      <c r="S424" s="33"/>
      <c r="T424" s="9">
        <v>1791899.7</v>
      </c>
      <c r="U424" s="10">
        <v>-13.33</v>
      </c>
      <c r="V424" s="10" t="str">
        <f t="shared" si="82"/>
        <v>Below</v>
      </c>
      <c r="W424" s="11" t="str" cm="1">
        <f t="array" ref="W424">NumberToWords(T424)</f>
        <v>Seventeen Lakh Ninety One Thousand Eight Hundred Ninety Nine Rupees and Seven Paise Only</v>
      </c>
      <c r="X424" s="10" t="str">
        <f t="shared" si="83"/>
        <v>Division</v>
      </c>
      <c r="Z424" s="9">
        <f t="shared" si="84"/>
        <v>1791899.7</v>
      </c>
      <c r="AA424" s="5" t="s">
        <v>954</v>
      </c>
      <c r="AB424" s="8">
        <f>_xlfn.XLOOKUP(AA424, 'Agency List'!A$2:A$145, 'Agency List'!B$2:B$145, "Not Found")</f>
        <v>0</v>
      </c>
      <c r="AC424" s="8" t="str">
        <f>_xlfn.XLOOKUP(AA424, 'Agency List'!A$2:A$145, 'Agency List'!C$2:C$145, "Not Found")</f>
        <v>Shop No. 04, Madhuvan Complex, Gopnath Road, Talaja, Dist. Bhavnagar</v>
      </c>
      <c r="AD424" s="8">
        <f>_xlfn.XLOOKUP(AA424, 'Agency List'!A$2:A$145, 'Agency List'!D$2:D$145, "Not Found")</f>
        <v>8999898996</v>
      </c>
      <c r="AE424" s="7"/>
      <c r="AF424" s="5" t="s">
        <v>357</v>
      </c>
      <c r="AG424" s="5" t="str">
        <f t="shared" si="85"/>
        <v>Bandhkam</v>
      </c>
      <c r="AH424" s="55"/>
      <c r="AI424" s="49"/>
      <c r="AJ424" s="20"/>
      <c r="AL424" s="16">
        <v>4</v>
      </c>
      <c r="AM424" s="12">
        <f t="shared" si="86"/>
        <v>90000</v>
      </c>
      <c r="AN424" s="7">
        <f t="shared" si="87"/>
        <v>46593</v>
      </c>
      <c r="AO424" s="12">
        <f t="shared" si="88"/>
        <v>5100</v>
      </c>
      <c r="AP424" s="12">
        <f t="shared" si="89"/>
        <v>14000</v>
      </c>
      <c r="AQ424" s="15">
        <f t="shared" si="90"/>
        <v>46178</v>
      </c>
      <c r="AR424" s="7">
        <f t="shared" si="91"/>
        <v>46533</v>
      </c>
      <c r="AS424" s="5">
        <v>1820</v>
      </c>
      <c r="AT424" s="7">
        <v>46020</v>
      </c>
      <c r="AU424" s="5"/>
      <c r="AV424" s="17"/>
      <c r="AW424" s="17"/>
      <c r="AX424" s="5"/>
      <c r="AY424" s="5"/>
      <c r="AZ424" s="13"/>
      <c r="BA424" s="12"/>
      <c r="BB424" s="7"/>
      <c r="BC424" s="14"/>
      <c r="BD424" s="14"/>
      <c r="BF424" s="12"/>
      <c r="BG424" s="14"/>
      <c r="BH424" s="19">
        <v>46023</v>
      </c>
      <c r="BI424" s="5"/>
      <c r="BM424" s="18"/>
      <c r="BN424" s="18"/>
      <c r="BO424" s="18"/>
      <c r="BP424" s="18"/>
      <c r="BQ424" s="5"/>
      <c r="BR424" s="18"/>
      <c r="BS424" s="18"/>
      <c r="BT424" s="35"/>
    </row>
    <row r="425" spans="1:72" ht="43.5" x14ac:dyDescent="0.35">
      <c r="A425" s="5">
        <v>424</v>
      </c>
      <c r="B425" s="5"/>
      <c r="C425" s="5" t="s">
        <v>78</v>
      </c>
      <c r="D425" s="5">
        <v>24</v>
      </c>
      <c r="E425" s="5">
        <v>17</v>
      </c>
      <c r="F425" s="8" t="s">
        <v>979</v>
      </c>
      <c r="G425" s="8"/>
      <c r="H425" s="5" t="s">
        <v>4</v>
      </c>
      <c r="I425" s="5" t="str" cm="1">
        <f t="array" ref="I425">_xlfn.IFS(
  H425="Mahuva", "Mahuva",
  H425="Jesar", "Mahuva",
  H425="Palitana", "Palitana",
  H425="Gariyadhar", "Palitana",
  H425="Talaja", "Talaja",
  H425="Vallabhipur", "Vallabhipur",
  H425="Umrala", "Vallabhipur",
  H425="Shihor", "Shihor",
  H425="Ghogha", "Bhavnagar",
  H425="Bhavnagar", "Bhavnagar"
)</f>
        <v>Talaja</v>
      </c>
      <c r="J425" s="5" t="s">
        <v>256</v>
      </c>
      <c r="K425" s="5" t="s">
        <v>418</v>
      </c>
      <c r="L425" s="5">
        <v>253588</v>
      </c>
      <c r="M425" s="5">
        <v>1</v>
      </c>
      <c r="N425" s="7">
        <v>46004</v>
      </c>
      <c r="O425" s="7">
        <v>46013</v>
      </c>
      <c r="P425" s="7">
        <v>46014</v>
      </c>
      <c r="Q425" s="7">
        <f t="shared" si="81"/>
        <v>46133</v>
      </c>
      <c r="R425" s="9">
        <v>2067497.06</v>
      </c>
      <c r="S425" s="33"/>
      <c r="T425" s="9">
        <v>1798722.44</v>
      </c>
      <c r="U425" s="10">
        <v>-13</v>
      </c>
      <c r="V425" s="10" t="str">
        <f t="shared" si="82"/>
        <v>Below</v>
      </c>
      <c r="W425" s="11" t="str" cm="1">
        <f t="array" ref="W425">NumberToWords(T425)</f>
        <v>Seventeen Lakh Ninety Eight Thousand Seven Hundred Twenty Two Rupees and Forty Four Paise Only</v>
      </c>
      <c r="X425" s="10" t="str">
        <f t="shared" si="83"/>
        <v>Division</v>
      </c>
      <c r="Z425" s="9">
        <f t="shared" si="84"/>
        <v>1798722.44</v>
      </c>
      <c r="AA425" s="5" t="s">
        <v>954</v>
      </c>
      <c r="AB425" s="8">
        <f>_xlfn.XLOOKUP(AA425, 'Agency List'!A$2:A$145, 'Agency List'!B$2:B$145, "Not Found")</f>
        <v>0</v>
      </c>
      <c r="AC425" s="8" t="str">
        <f>_xlfn.XLOOKUP(AA425, 'Agency List'!A$2:A$145, 'Agency List'!C$2:C$145, "Not Found")</f>
        <v>Shop No. 04, Madhuvan Complex, Gopnath Road, Talaja, Dist. Bhavnagar</v>
      </c>
      <c r="AD425" s="8">
        <f>_xlfn.XLOOKUP(AA425, 'Agency List'!A$2:A$145, 'Agency List'!D$2:D$145, "Not Found")</f>
        <v>8999898996</v>
      </c>
      <c r="AE425" s="7"/>
      <c r="AF425" s="5" t="s">
        <v>357</v>
      </c>
      <c r="AG425" s="5" t="str">
        <f t="shared" si="85"/>
        <v>Bandhkam</v>
      </c>
      <c r="AH425" s="55"/>
      <c r="AI425" s="49"/>
      <c r="AJ425" s="20"/>
      <c r="AL425" s="16">
        <v>4</v>
      </c>
      <c r="AM425" s="12">
        <f t="shared" si="86"/>
        <v>90000</v>
      </c>
      <c r="AN425" s="7">
        <f t="shared" si="87"/>
        <v>46593</v>
      </c>
      <c r="AO425" s="12">
        <f t="shared" si="88"/>
        <v>5100</v>
      </c>
      <c r="AP425" s="12">
        <f t="shared" si="89"/>
        <v>13000</v>
      </c>
      <c r="AQ425" s="15">
        <f t="shared" si="90"/>
        <v>46178</v>
      </c>
      <c r="AR425" s="7">
        <f t="shared" si="91"/>
        <v>46533</v>
      </c>
      <c r="AS425" s="5">
        <v>1821</v>
      </c>
      <c r="AT425" s="7">
        <v>46020</v>
      </c>
      <c r="AU425" s="5"/>
      <c r="AV425" s="17"/>
      <c r="AW425" s="17"/>
      <c r="AX425" s="5"/>
      <c r="AY425" s="5"/>
      <c r="AZ425" s="13"/>
      <c r="BA425" s="12"/>
      <c r="BB425" s="7"/>
      <c r="BC425" s="14"/>
      <c r="BD425" s="14"/>
      <c r="BF425" s="12"/>
      <c r="BG425" s="14"/>
      <c r="BH425" s="19">
        <v>46023</v>
      </c>
      <c r="BI425" s="5"/>
      <c r="BM425" s="18"/>
      <c r="BN425" s="18"/>
      <c r="BO425" s="18"/>
      <c r="BP425" s="18"/>
      <c r="BQ425" s="5"/>
      <c r="BR425" s="18"/>
      <c r="BS425" s="18"/>
      <c r="BT425" s="35"/>
    </row>
    <row r="426" spans="1:72" ht="43.5" x14ac:dyDescent="0.35">
      <c r="A426" s="5">
        <v>425</v>
      </c>
      <c r="B426" s="5"/>
      <c r="C426" s="5" t="s">
        <v>78</v>
      </c>
      <c r="D426" s="5">
        <v>24</v>
      </c>
      <c r="E426" s="5">
        <v>18</v>
      </c>
      <c r="F426" s="8" t="s">
        <v>980</v>
      </c>
      <c r="G426" s="8"/>
      <c r="H426" s="5" t="s">
        <v>4</v>
      </c>
      <c r="I426" s="5" t="str" cm="1">
        <f t="array" ref="I426">_xlfn.IFS(
  H426="Mahuva", "Mahuva",
  H426="Jesar", "Mahuva",
  H426="Palitana", "Palitana",
  H426="Gariyadhar", "Palitana",
  H426="Talaja", "Talaja",
  H426="Vallabhipur", "Vallabhipur",
  H426="Umrala", "Vallabhipur",
  H426="Shihor", "Shihor",
  H426="Ghogha", "Bhavnagar",
  H426="Bhavnagar", "Bhavnagar"
)</f>
        <v>Talaja</v>
      </c>
      <c r="J426" s="5" t="s">
        <v>256</v>
      </c>
      <c r="K426" s="5" t="s">
        <v>418</v>
      </c>
      <c r="L426" s="5">
        <v>253589</v>
      </c>
      <c r="M426" s="5">
        <v>1</v>
      </c>
      <c r="N426" s="7">
        <v>46004</v>
      </c>
      <c r="O426" s="7">
        <v>46013</v>
      </c>
      <c r="P426" s="7">
        <v>46014</v>
      </c>
      <c r="Q426" s="7">
        <f t="shared" si="81"/>
        <v>46133</v>
      </c>
      <c r="R426" s="9">
        <v>2067497.06</v>
      </c>
      <c r="S426" s="33"/>
      <c r="T426" s="9">
        <v>1891553.06</v>
      </c>
      <c r="U426" s="10">
        <v>-8.51</v>
      </c>
      <c r="V426" s="10" t="str">
        <f t="shared" si="82"/>
        <v>Below</v>
      </c>
      <c r="W426" s="11" t="str" cm="1">
        <f t="array" ref="W426">NumberToWords(T426)</f>
        <v>Eighteen Lakh Ninety One Thousand Five Hundred Fifty Three Rupees and Six Paise Only</v>
      </c>
      <c r="X426" s="10" t="str">
        <f t="shared" si="83"/>
        <v>Division</v>
      </c>
      <c r="Z426" s="9">
        <f t="shared" si="84"/>
        <v>1891553.06</v>
      </c>
      <c r="AA426" s="5" t="s">
        <v>957</v>
      </c>
      <c r="AB426" s="8">
        <f>_xlfn.XLOOKUP(AA426, 'Agency List'!A$2:A$145, 'Agency List'!B$2:B$145, "Not Found")</f>
        <v>0</v>
      </c>
      <c r="AC426" s="8" t="str">
        <f>_xlfn.XLOOKUP(AA426, 'Agency List'!A$2:A$145, 'Agency List'!C$2:C$145, "Not Found")</f>
        <v>Plot No. 37, Street No. 5, Gautameshvar Nagar-2, Chitra, Bhavnagar - 364001</v>
      </c>
      <c r="AD426" s="8">
        <f>_xlfn.XLOOKUP(AA426, 'Agency List'!A$2:A$145, 'Agency List'!D$2:D$145, "Not Found")</f>
        <v>9427233858</v>
      </c>
      <c r="AE426" s="7"/>
      <c r="AF426" s="5" t="s">
        <v>357</v>
      </c>
      <c r="AG426" s="5" t="str">
        <f t="shared" si="85"/>
        <v>Bandhkam</v>
      </c>
      <c r="AH426" s="55"/>
      <c r="AI426" s="49"/>
      <c r="AJ426" s="20"/>
      <c r="AL426" s="16">
        <v>4</v>
      </c>
      <c r="AM426" s="12">
        <f t="shared" si="86"/>
        <v>95000</v>
      </c>
      <c r="AN426" s="7">
        <f t="shared" si="87"/>
        <v>46622</v>
      </c>
      <c r="AO426" s="12">
        <f t="shared" si="88"/>
        <v>4700</v>
      </c>
      <c r="AP426" s="12">
        <f t="shared" si="89"/>
        <v>0</v>
      </c>
      <c r="AQ426" s="15">
        <f t="shared" si="90"/>
        <v>46207</v>
      </c>
      <c r="AR426" s="7">
        <f t="shared" si="91"/>
        <v>46562</v>
      </c>
      <c r="AS426" s="5">
        <v>1822</v>
      </c>
      <c r="AT426" s="7">
        <v>46020</v>
      </c>
      <c r="AU426" s="5" t="s">
        <v>78</v>
      </c>
      <c r="AV426" s="17">
        <v>289</v>
      </c>
      <c r="AW426" s="37">
        <v>46052</v>
      </c>
      <c r="AX426" s="5" t="s">
        <v>355</v>
      </c>
      <c r="AY426" s="5" t="s">
        <v>369</v>
      </c>
      <c r="AZ426" s="13">
        <v>44824295149</v>
      </c>
      <c r="BA426" s="12">
        <v>95000</v>
      </c>
      <c r="BB426" s="7">
        <v>46034</v>
      </c>
      <c r="BC426" s="14"/>
      <c r="BD426" s="14"/>
      <c r="BF426" s="12"/>
      <c r="BG426" s="14"/>
      <c r="BH426" s="19">
        <v>46052</v>
      </c>
      <c r="BI426" s="5">
        <v>100</v>
      </c>
      <c r="BJ426" s="19">
        <v>46052</v>
      </c>
      <c r="BM426" s="18"/>
      <c r="BN426" s="18"/>
      <c r="BO426" s="18"/>
      <c r="BP426" s="18"/>
      <c r="BQ426" s="5"/>
      <c r="BR426" s="18"/>
      <c r="BS426" s="18"/>
      <c r="BT426" s="35"/>
    </row>
    <row r="427" spans="1:72" ht="43.5" x14ac:dyDescent="0.35">
      <c r="A427" s="5">
        <v>426</v>
      </c>
      <c r="B427" s="5"/>
      <c r="C427" s="5" t="s">
        <v>78</v>
      </c>
      <c r="D427" s="5">
        <v>24</v>
      </c>
      <c r="E427" s="5">
        <v>19</v>
      </c>
      <c r="F427" s="8" t="s">
        <v>981</v>
      </c>
      <c r="G427" s="8"/>
      <c r="H427" s="5" t="s">
        <v>4</v>
      </c>
      <c r="I427" s="5" t="str" cm="1">
        <f t="array" ref="I427">_xlfn.IFS(
  H427="Mahuva", "Mahuva",
  H427="Jesar", "Mahuva",
  H427="Palitana", "Palitana",
  H427="Gariyadhar", "Palitana",
  H427="Talaja", "Talaja",
  H427="Vallabhipur", "Vallabhipur",
  H427="Umrala", "Vallabhipur",
  H427="Shihor", "Shihor",
  H427="Ghogha", "Bhavnagar",
  H427="Bhavnagar", "Bhavnagar"
)</f>
        <v>Talaja</v>
      </c>
      <c r="J427" s="5" t="s">
        <v>256</v>
      </c>
      <c r="K427" s="5" t="s">
        <v>418</v>
      </c>
      <c r="L427" s="5">
        <v>253590</v>
      </c>
      <c r="M427" s="5">
        <v>1</v>
      </c>
      <c r="N427" s="7">
        <v>46004</v>
      </c>
      <c r="O427" s="7">
        <v>46013</v>
      </c>
      <c r="P427" s="7">
        <v>46014</v>
      </c>
      <c r="Q427" s="7">
        <f t="shared" si="81"/>
        <v>46133</v>
      </c>
      <c r="R427" s="9">
        <v>2067497.06</v>
      </c>
      <c r="S427" s="33"/>
      <c r="T427" s="9">
        <v>1756752.25</v>
      </c>
      <c r="U427" s="10">
        <v>-15.03</v>
      </c>
      <c r="V427" s="10" t="str">
        <f t="shared" si="82"/>
        <v>Below</v>
      </c>
      <c r="W427" s="11" t="str" cm="1">
        <f t="array" ref="W427">NumberToWords(T427)</f>
        <v>Seventeen Lakh Fifty Six Thousand Seven Hundred Fifty Two Rupees and Twenty Five Paise Only</v>
      </c>
      <c r="X427" s="10" t="str">
        <f t="shared" si="83"/>
        <v>Division</v>
      </c>
      <c r="Z427" s="9">
        <f t="shared" si="84"/>
        <v>1756752.25</v>
      </c>
      <c r="AA427" s="5" t="s">
        <v>958</v>
      </c>
      <c r="AB427" s="8">
        <f>_xlfn.XLOOKUP(AA427, 'Agency List'!A$2:A$145, 'Agency List'!B$2:B$145, "Not Found")</f>
        <v>0</v>
      </c>
      <c r="AC427" s="8" t="str">
        <f>_xlfn.XLOOKUP(AA427, 'Agency List'!A$2:A$145, 'Agency List'!C$2:C$145, "Not Found")</f>
        <v>Shop No. 4, Utsav Flat, Near Jewels Circle, Bhavnagar</v>
      </c>
      <c r="AD427" s="8">
        <f>_xlfn.XLOOKUP(AA427, 'Agency List'!A$2:A$145, 'Agency List'!D$2:D$145, "Not Found")</f>
        <v>9870021313</v>
      </c>
      <c r="AE427" s="7"/>
      <c r="AF427" s="5" t="s">
        <v>357</v>
      </c>
      <c r="AG427" s="5" t="str">
        <f t="shared" si="85"/>
        <v>Bandhkam</v>
      </c>
      <c r="AH427" s="55"/>
      <c r="AI427" s="49"/>
      <c r="AJ427" s="20"/>
      <c r="AL427" s="16">
        <v>4</v>
      </c>
      <c r="AM427" s="12">
        <f t="shared" si="86"/>
        <v>88000</v>
      </c>
      <c r="AN427" s="7">
        <f t="shared" si="87"/>
        <v>46593</v>
      </c>
      <c r="AO427" s="12">
        <f t="shared" si="88"/>
        <v>5400</v>
      </c>
      <c r="AP427" s="12">
        <f t="shared" si="89"/>
        <v>21000</v>
      </c>
      <c r="AQ427" s="15">
        <f t="shared" si="90"/>
        <v>46178</v>
      </c>
      <c r="AR427" s="7">
        <f t="shared" si="91"/>
        <v>46533</v>
      </c>
      <c r="AS427" s="5">
        <v>1823</v>
      </c>
      <c r="AT427" s="7">
        <v>46020</v>
      </c>
      <c r="AU427" s="5"/>
      <c r="AV427" s="17"/>
      <c r="AW427" s="17"/>
      <c r="AX427" s="5"/>
      <c r="AY427" s="5"/>
      <c r="AZ427" s="13"/>
      <c r="BA427" s="12"/>
      <c r="BB427" s="7"/>
      <c r="BC427" s="14"/>
      <c r="BD427" s="14"/>
      <c r="BF427" s="12"/>
      <c r="BG427" s="14"/>
      <c r="BH427" s="19">
        <v>46023</v>
      </c>
      <c r="BI427" s="5"/>
      <c r="BM427" s="18"/>
      <c r="BN427" s="18"/>
      <c r="BO427" s="18"/>
      <c r="BP427" s="18"/>
      <c r="BQ427" s="5"/>
      <c r="BR427" s="18"/>
      <c r="BS427" s="18"/>
      <c r="BT427" s="35"/>
    </row>
    <row r="428" spans="1:72" ht="43.5" x14ac:dyDescent="0.35">
      <c r="A428" s="5">
        <v>427</v>
      </c>
      <c r="B428" s="5"/>
      <c r="C428" s="5" t="s">
        <v>78</v>
      </c>
      <c r="D428" s="5">
        <v>24</v>
      </c>
      <c r="E428" s="5">
        <v>20</v>
      </c>
      <c r="F428" s="8" t="s">
        <v>982</v>
      </c>
      <c r="G428" s="8"/>
      <c r="H428" s="5" t="s">
        <v>4</v>
      </c>
      <c r="I428" s="5" t="str" cm="1">
        <f t="array" ref="I428">_xlfn.IFS(
  H428="Mahuva", "Mahuva",
  H428="Jesar", "Mahuva",
  H428="Palitana", "Palitana",
  H428="Gariyadhar", "Palitana",
  H428="Talaja", "Talaja",
  H428="Vallabhipur", "Vallabhipur",
  H428="Umrala", "Vallabhipur",
  H428="Shihor", "Shihor",
  H428="Ghogha", "Bhavnagar",
  H428="Bhavnagar", "Bhavnagar"
)</f>
        <v>Talaja</v>
      </c>
      <c r="J428" s="5" t="s">
        <v>256</v>
      </c>
      <c r="K428" s="5" t="s">
        <v>418</v>
      </c>
      <c r="L428" s="5">
        <v>253591</v>
      </c>
      <c r="M428" s="5">
        <v>1</v>
      </c>
      <c r="N428" s="7">
        <v>46004</v>
      </c>
      <c r="O428" s="7">
        <v>46013</v>
      </c>
      <c r="P428" s="7">
        <v>46014</v>
      </c>
      <c r="Q428" s="7">
        <f t="shared" si="81"/>
        <v>46133</v>
      </c>
      <c r="R428" s="9">
        <v>2067497.06</v>
      </c>
      <c r="S428" s="33"/>
      <c r="T428" s="9">
        <v>1812574.67</v>
      </c>
      <c r="U428" s="10">
        <v>-12.33</v>
      </c>
      <c r="V428" s="10" t="str">
        <f t="shared" si="82"/>
        <v>Below</v>
      </c>
      <c r="W428" s="11" t="str" cm="1">
        <f t="array" ref="W428">NumberToWords(T428)</f>
        <v>Eighteen Lakh Twelve Thousand Five Hundred Seventy Four Rupees and Sixty Seven Paise Only</v>
      </c>
      <c r="X428" s="10" t="str">
        <f t="shared" si="83"/>
        <v>Division</v>
      </c>
      <c r="Z428" s="9">
        <f t="shared" si="84"/>
        <v>1812574.67</v>
      </c>
      <c r="AA428" s="5" t="s">
        <v>954</v>
      </c>
      <c r="AB428" s="8">
        <f>_xlfn.XLOOKUP(AA428, 'Agency List'!A$2:A$145, 'Agency List'!B$2:B$145, "Not Found")</f>
        <v>0</v>
      </c>
      <c r="AC428" s="8" t="str">
        <f>_xlfn.XLOOKUP(AA428, 'Agency List'!A$2:A$145, 'Agency List'!C$2:C$145, "Not Found")</f>
        <v>Shop No. 04, Madhuvan Complex, Gopnath Road, Talaja, Dist. Bhavnagar</v>
      </c>
      <c r="AD428" s="8">
        <f>_xlfn.XLOOKUP(AA428, 'Agency List'!A$2:A$145, 'Agency List'!D$2:D$145, "Not Found")</f>
        <v>8999898996</v>
      </c>
      <c r="AE428" s="7"/>
      <c r="AF428" s="5" t="s">
        <v>357</v>
      </c>
      <c r="AG428" s="5" t="str">
        <f t="shared" si="85"/>
        <v>Bandhkam</v>
      </c>
      <c r="AH428" s="55"/>
      <c r="AI428" s="49"/>
      <c r="AJ428" s="20"/>
      <c r="AL428" s="16">
        <v>4</v>
      </c>
      <c r="AM428" s="12">
        <f t="shared" si="86"/>
        <v>91000</v>
      </c>
      <c r="AN428" s="7">
        <f t="shared" si="87"/>
        <v>46593</v>
      </c>
      <c r="AO428" s="12">
        <f t="shared" si="88"/>
        <v>5000</v>
      </c>
      <c r="AP428" s="12">
        <f t="shared" si="89"/>
        <v>10000</v>
      </c>
      <c r="AQ428" s="15">
        <f t="shared" si="90"/>
        <v>46178</v>
      </c>
      <c r="AR428" s="7">
        <f t="shared" si="91"/>
        <v>46533</v>
      </c>
      <c r="AS428" s="5">
        <v>1824</v>
      </c>
      <c r="AT428" s="7">
        <v>46020</v>
      </c>
      <c r="AU428" s="5"/>
      <c r="AV428" s="17"/>
      <c r="AW428" s="17"/>
      <c r="AX428" s="5"/>
      <c r="AY428" s="5"/>
      <c r="AZ428" s="13"/>
      <c r="BA428" s="12"/>
      <c r="BB428" s="7"/>
      <c r="BC428" s="14"/>
      <c r="BD428" s="14"/>
      <c r="BF428" s="12"/>
      <c r="BG428" s="14"/>
      <c r="BH428" s="19">
        <v>46023</v>
      </c>
      <c r="BI428" s="5"/>
      <c r="BM428" s="18"/>
      <c r="BN428" s="18"/>
      <c r="BO428" s="18"/>
      <c r="BP428" s="18"/>
      <c r="BQ428" s="5"/>
      <c r="BR428" s="18"/>
      <c r="BS428" s="18"/>
      <c r="BT428" s="35"/>
    </row>
    <row r="429" spans="1:72" ht="43.5" x14ac:dyDescent="0.35">
      <c r="A429" s="5">
        <v>428</v>
      </c>
      <c r="B429" s="5"/>
      <c r="C429" s="5" t="s">
        <v>78</v>
      </c>
      <c r="D429" s="5">
        <v>24</v>
      </c>
      <c r="E429" s="5">
        <v>21</v>
      </c>
      <c r="F429" s="8" t="s">
        <v>983</v>
      </c>
      <c r="G429" s="8"/>
      <c r="H429" s="5" t="s">
        <v>4</v>
      </c>
      <c r="I429" s="5" t="str" cm="1">
        <f t="array" ref="I429">_xlfn.IFS(
  H429="Mahuva", "Mahuva",
  H429="Jesar", "Mahuva",
  H429="Palitana", "Palitana",
  H429="Gariyadhar", "Palitana",
  H429="Talaja", "Talaja",
  H429="Vallabhipur", "Vallabhipur",
  H429="Umrala", "Vallabhipur",
  H429="Shihor", "Shihor",
  H429="Ghogha", "Bhavnagar",
  H429="Bhavnagar", "Bhavnagar"
)</f>
        <v>Talaja</v>
      </c>
      <c r="J429" s="5" t="s">
        <v>256</v>
      </c>
      <c r="K429" s="5" t="s">
        <v>418</v>
      </c>
      <c r="L429" s="5">
        <v>253592</v>
      </c>
      <c r="M429" s="5">
        <v>1</v>
      </c>
      <c r="N429" s="7">
        <v>46004</v>
      </c>
      <c r="O429" s="7">
        <v>46013</v>
      </c>
      <c r="P429" s="7">
        <v>46014</v>
      </c>
      <c r="Q429" s="7">
        <f t="shared" si="81"/>
        <v>46133</v>
      </c>
      <c r="R429" s="9">
        <v>2067497.06</v>
      </c>
      <c r="S429" s="33"/>
      <c r="T429" s="9">
        <v>1767709.99</v>
      </c>
      <c r="U429" s="10">
        <v>-14.5</v>
      </c>
      <c r="V429" s="10" t="str">
        <f t="shared" si="82"/>
        <v>Below</v>
      </c>
      <c r="W429" s="11" t="str" cm="1">
        <f t="array" ref="W429">NumberToWords(T429)</f>
        <v>Seventeen Lakh Sixty Seven Thousand Seven Hundred Nine Rupees and Ninety Nine Paise Only</v>
      </c>
      <c r="X429" s="10" t="str">
        <f t="shared" si="83"/>
        <v>Division</v>
      </c>
      <c r="Z429" s="9">
        <f t="shared" si="84"/>
        <v>1767709.99</v>
      </c>
      <c r="AA429" s="5" t="s">
        <v>393</v>
      </c>
      <c r="AB429" s="8" t="str">
        <f>_xlfn.XLOOKUP(AA429, 'Agency List'!A$2:A$145, 'Agency List'!B$2:B$145, "Not Found")</f>
        <v>Narendrasinh Parbatsinh Gohil</v>
      </c>
      <c r="AC429" s="8" t="str">
        <f>_xlfn.XLOOKUP(AA429, 'Agency List'!A$2:A$145, 'Agency List'!C$2:C$145, "Not Found")</f>
        <v>At Village Rajapara (Thadach), Ta. Palitana, Dist. Bhavnagar - 364270</v>
      </c>
      <c r="AD429" s="8">
        <f>_xlfn.XLOOKUP(AA429, 'Agency List'!A$2:A$145, 'Agency List'!D$2:D$145, "Not Found")</f>
        <v>9998577523</v>
      </c>
      <c r="AE429" s="7"/>
      <c r="AF429" s="5" t="s">
        <v>357</v>
      </c>
      <c r="AG429" s="5" t="str">
        <f t="shared" si="85"/>
        <v>Bandhkam</v>
      </c>
      <c r="AH429" s="55"/>
      <c r="AI429" s="49"/>
      <c r="AJ429" s="20"/>
      <c r="AL429" s="16">
        <v>4</v>
      </c>
      <c r="AM429" s="12">
        <f t="shared" si="86"/>
        <v>89000</v>
      </c>
      <c r="AN429" s="7">
        <f t="shared" si="87"/>
        <v>46612</v>
      </c>
      <c r="AO429" s="12">
        <f t="shared" si="88"/>
        <v>5300</v>
      </c>
      <c r="AP429" s="12">
        <f t="shared" si="89"/>
        <v>19000</v>
      </c>
      <c r="AQ429" s="15">
        <f t="shared" si="90"/>
        <v>46197</v>
      </c>
      <c r="AR429" s="7">
        <f t="shared" si="91"/>
        <v>46552</v>
      </c>
      <c r="AS429" s="5">
        <v>1825</v>
      </c>
      <c r="AT429" s="7">
        <v>46020</v>
      </c>
      <c r="AU429" s="5" t="s">
        <v>78</v>
      </c>
      <c r="AV429" s="17">
        <v>265</v>
      </c>
      <c r="AW429" s="37">
        <v>46042</v>
      </c>
      <c r="AX429" s="5" t="s">
        <v>355</v>
      </c>
      <c r="AY429" s="5" t="s">
        <v>803</v>
      </c>
      <c r="AZ429" s="45" t="s">
        <v>1072</v>
      </c>
      <c r="BA429" s="12">
        <v>89000</v>
      </c>
      <c r="BB429" s="7">
        <v>46023</v>
      </c>
      <c r="BC429" s="5" t="s">
        <v>355</v>
      </c>
      <c r="BD429" s="5" t="s">
        <v>803</v>
      </c>
      <c r="BE429" s="45" t="s">
        <v>1073</v>
      </c>
      <c r="BF429" s="12">
        <v>19000</v>
      </c>
      <c r="BG429" s="7">
        <v>46023</v>
      </c>
      <c r="BH429" s="19">
        <v>46042</v>
      </c>
      <c r="BI429" s="5">
        <v>59</v>
      </c>
      <c r="BJ429" s="19">
        <v>46042</v>
      </c>
      <c r="BM429" s="18"/>
      <c r="BN429" s="18"/>
      <c r="BO429" s="18"/>
      <c r="BP429" s="18"/>
      <c r="BQ429" s="5"/>
      <c r="BR429" s="18"/>
      <c r="BS429" s="18"/>
      <c r="BT429" s="35"/>
    </row>
    <row r="430" spans="1:72" ht="43.5" x14ac:dyDescent="0.35">
      <c r="A430" s="5">
        <v>429</v>
      </c>
      <c r="B430" s="5"/>
      <c r="C430" s="5" t="s">
        <v>78</v>
      </c>
      <c r="D430" s="5">
        <v>24</v>
      </c>
      <c r="E430" s="5">
        <v>22</v>
      </c>
      <c r="F430" s="8" t="s">
        <v>984</v>
      </c>
      <c r="G430" s="8"/>
      <c r="H430" s="5" t="s">
        <v>4</v>
      </c>
      <c r="I430" s="5" t="str" cm="1">
        <f t="array" ref="I430">_xlfn.IFS(
  H430="Mahuva", "Mahuva",
  H430="Jesar", "Mahuva",
  H430="Palitana", "Palitana",
  H430="Gariyadhar", "Palitana",
  H430="Talaja", "Talaja",
  H430="Vallabhipur", "Vallabhipur",
  H430="Umrala", "Vallabhipur",
  H430="Shihor", "Shihor",
  H430="Ghogha", "Bhavnagar",
  H430="Bhavnagar", "Bhavnagar"
)</f>
        <v>Talaja</v>
      </c>
      <c r="J430" s="5" t="s">
        <v>256</v>
      </c>
      <c r="K430" s="5" t="s">
        <v>418</v>
      </c>
      <c r="L430" s="5">
        <v>253593</v>
      </c>
      <c r="M430" s="5">
        <v>1</v>
      </c>
      <c r="N430" s="7">
        <v>46004</v>
      </c>
      <c r="O430" s="7">
        <v>46013</v>
      </c>
      <c r="P430" s="7">
        <v>46014</v>
      </c>
      <c r="Q430" s="7">
        <f t="shared" si="81"/>
        <v>46133</v>
      </c>
      <c r="R430" s="9">
        <v>2067497.06</v>
      </c>
      <c r="S430" s="33"/>
      <c r="T430" s="9">
        <v>1769777.48</v>
      </c>
      <c r="U430" s="10">
        <v>-14.4</v>
      </c>
      <c r="V430" s="10" t="str">
        <f t="shared" si="82"/>
        <v>Below</v>
      </c>
      <c r="W430" s="11" t="str" cm="1">
        <f t="array" ref="W430">NumberToWords(T430)</f>
        <v>Seventeen Lakh Sixty Nine Thousand Seven Hundred Seventy Seven Rupees and Forty Eight Paise Only</v>
      </c>
      <c r="X430" s="10" t="str">
        <f t="shared" si="83"/>
        <v>Division</v>
      </c>
      <c r="Z430" s="9">
        <f t="shared" si="84"/>
        <v>1769777.48</v>
      </c>
      <c r="AA430" s="5" t="s">
        <v>958</v>
      </c>
      <c r="AB430" s="8">
        <f>_xlfn.XLOOKUP(AA430, 'Agency List'!A$2:A$145, 'Agency List'!B$2:B$145, "Not Found")</f>
        <v>0</v>
      </c>
      <c r="AC430" s="8" t="str">
        <f>_xlfn.XLOOKUP(AA430, 'Agency List'!A$2:A$145, 'Agency List'!C$2:C$145, "Not Found")</f>
        <v>Shop No. 4, Utsav Flat, Near Jewels Circle, Bhavnagar</v>
      </c>
      <c r="AD430" s="8">
        <f>_xlfn.XLOOKUP(AA430, 'Agency List'!A$2:A$145, 'Agency List'!D$2:D$145, "Not Found")</f>
        <v>9870021313</v>
      </c>
      <c r="AE430" s="7"/>
      <c r="AF430" s="5" t="s">
        <v>357</v>
      </c>
      <c r="AG430" s="5" t="str">
        <f t="shared" si="85"/>
        <v>Bandhkam</v>
      </c>
      <c r="AH430" s="55"/>
      <c r="AI430" s="49"/>
      <c r="AJ430" s="20"/>
      <c r="AL430" s="16">
        <v>4</v>
      </c>
      <c r="AM430" s="12">
        <f t="shared" si="86"/>
        <v>89000</v>
      </c>
      <c r="AN430" s="7">
        <f t="shared" si="87"/>
        <v>46622</v>
      </c>
      <c r="AO430" s="12">
        <f t="shared" si="88"/>
        <v>5300</v>
      </c>
      <c r="AP430" s="12">
        <f t="shared" si="89"/>
        <v>19000</v>
      </c>
      <c r="AQ430" s="15">
        <f t="shared" si="90"/>
        <v>46207</v>
      </c>
      <c r="AR430" s="7">
        <f t="shared" si="91"/>
        <v>46562</v>
      </c>
      <c r="AS430" s="5">
        <v>1826</v>
      </c>
      <c r="AT430" s="7">
        <v>46020</v>
      </c>
      <c r="AU430" s="5" t="s">
        <v>78</v>
      </c>
      <c r="AV430" s="17">
        <v>291</v>
      </c>
      <c r="AW430" s="37">
        <v>46052</v>
      </c>
      <c r="AX430" s="5" t="s">
        <v>355</v>
      </c>
      <c r="AY430" s="5" t="s">
        <v>1063</v>
      </c>
      <c r="AZ430" s="45" t="s">
        <v>1091</v>
      </c>
      <c r="BA430" s="12">
        <v>89000</v>
      </c>
      <c r="BB430" s="7">
        <v>46031</v>
      </c>
      <c r="BC430" s="5" t="s">
        <v>355</v>
      </c>
      <c r="BD430" s="5" t="s">
        <v>1063</v>
      </c>
      <c r="BE430" s="45" t="s">
        <v>1092</v>
      </c>
      <c r="BF430" s="12">
        <v>19000</v>
      </c>
      <c r="BG430" s="7">
        <v>46031</v>
      </c>
      <c r="BH430" s="19">
        <v>46052</v>
      </c>
      <c r="BI430" s="5">
        <v>102</v>
      </c>
      <c r="BJ430" s="19">
        <v>46052</v>
      </c>
      <c r="BM430" s="18"/>
      <c r="BN430" s="18"/>
      <c r="BO430" s="18"/>
      <c r="BP430" s="18"/>
      <c r="BQ430" s="5"/>
      <c r="BR430" s="18"/>
      <c r="BS430" s="18"/>
      <c r="BT430" s="35"/>
    </row>
    <row r="431" spans="1:72" ht="43.5" x14ac:dyDescent="0.35">
      <c r="A431" s="5">
        <v>430</v>
      </c>
      <c r="B431" s="5"/>
      <c r="C431" s="5" t="s">
        <v>78</v>
      </c>
      <c r="D431" s="5">
        <v>24</v>
      </c>
      <c r="E431" s="5">
        <v>23</v>
      </c>
      <c r="F431" s="8" t="s">
        <v>985</v>
      </c>
      <c r="G431" s="8"/>
      <c r="H431" s="5" t="s">
        <v>4</v>
      </c>
      <c r="I431" s="5" t="str" cm="1">
        <f t="array" ref="I431">_xlfn.IFS(
  H431="Mahuva", "Mahuva",
  H431="Jesar", "Mahuva",
  H431="Palitana", "Palitana",
  H431="Gariyadhar", "Palitana",
  H431="Talaja", "Talaja",
  H431="Vallabhipur", "Vallabhipur",
  H431="Umrala", "Vallabhipur",
  H431="Shihor", "Shihor",
  H431="Ghogha", "Bhavnagar",
  H431="Bhavnagar", "Bhavnagar"
)</f>
        <v>Talaja</v>
      </c>
      <c r="J431" s="5" t="s">
        <v>256</v>
      </c>
      <c r="K431" s="5" t="s">
        <v>418</v>
      </c>
      <c r="L431" s="5">
        <v>253594</v>
      </c>
      <c r="M431" s="5">
        <v>1</v>
      </c>
      <c r="N431" s="7">
        <v>46004</v>
      </c>
      <c r="O431" s="7">
        <v>46013</v>
      </c>
      <c r="P431" s="7">
        <v>46014</v>
      </c>
      <c r="Q431" s="7">
        <f t="shared" si="81"/>
        <v>46133</v>
      </c>
      <c r="R431" s="9">
        <v>2067497.06</v>
      </c>
      <c r="S431" s="33"/>
      <c r="T431" s="9">
        <v>1796034.7</v>
      </c>
      <c r="U431" s="10">
        <v>-13.13</v>
      </c>
      <c r="V431" s="10" t="str">
        <f t="shared" si="82"/>
        <v>Below</v>
      </c>
      <c r="W431" s="11" t="str" cm="1">
        <f t="array" ref="W431">NumberToWords(T431)</f>
        <v>Seventeen Lakh Ninety Six Thousand Thirty Four Rupees and Seven Paise Only</v>
      </c>
      <c r="X431" s="10" t="str">
        <f t="shared" si="83"/>
        <v>Division</v>
      </c>
      <c r="Z431" s="9">
        <f t="shared" si="84"/>
        <v>1796034.7</v>
      </c>
      <c r="AA431" s="5" t="s">
        <v>959</v>
      </c>
      <c r="AB431" s="8">
        <f>_xlfn.XLOOKUP(AA431, 'Agency List'!A$2:A$145, 'Agency List'!B$2:B$145, "Not Found")</f>
        <v>0</v>
      </c>
      <c r="AC431" s="8" t="str">
        <f>_xlfn.XLOOKUP(AA431, 'Agency List'!A$2:A$145, 'Agency List'!C$2:C$145, "Not Found")</f>
        <v>At Maidhar, Tal. Palitana, Dist. Bhavnagar - 364260</v>
      </c>
      <c r="AD431" s="8">
        <f>_xlfn.XLOOKUP(AA431, 'Agency List'!A$2:A$145, 'Agency List'!D$2:D$145, "Not Found")</f>
        <v>9099444525</v>
      </c>
      <c r="AE431" s="7"/>
      <c r="AF431" s="5" t="s">
        <v>357</v>
      </c>
      <c r="AG431" s="5" t="str">
        <f t="shared" si="85"/>
        <v>Bandhkam</v>
      </c>
      <c r="AH431" s="55"/>
      <c r="AI431" s="49"/>
      <c r="AJ431" s="20"/>
      <c r="AL431" s="16">
        <v>4</v>
      </c>
      <c r="AM431" s="12">
        <f t="shared" si="86"/>
        <v>90000</v>
      </c>
      <c r="AN431" s="7">
        <f t="shared" si="87"/>
        <v>46615</v>
      </c>
      <c r="AO431" s="12">
        <f t="shared" si="88"/>
        <v>5100</v>
      </c>
      <c r="AP431" s="12">
        <f t="shared" si="89"/>
        <v>13000</v>
      </c>
      <c r="AQ431" s="15">
        <f t="shared" si="90"/>
        <v>46200</v>
      </c>
      <c r="AR431" s="7">
        <f t="shared" si="91"/>
        <v>46555</v>
      </c>
      <c r="AS431" s="5">
        <v>1827</v>
      </c>
      <c r="AT431" s="7">
        <v>46020</v>
      </c>
      <c r="AU431" s="5" t="s">
        <v>78</v>
      </c>
      <c r="AV431" s="17">
        <v>284</v>
      </c>
      <c r="AW431" s="37">
        <v>46045</v>
      </c>
      <c r="AX431" s="5" t="s">
        <v>355</v>
      </c>
      <c r="AY431" s="5" t="s">
        <v>609</v>
      </c>
      <c r="AZ431" s="45" t="s">
        <v>1085</v>
      </c>
      <c r="BA431" s="12">
        <v>90000</v>
      </c>
      <c r="BB431" s="7">
        <v>46025</v>
      </c>
      <c r="BC431" s="5" t="s">
        <v>355</v>
      </c>
      <c r="BD431" s="5" t="s">
        <v>609</v>
      </c>
      <c r="BE431" s="45" t="s">
        <v>1086</v>
      </c>
      <c r="BF431" s="12">
        <v>12000</v>
      </c>
      <c r="BG431" s="7">
        <v>46038</v>
      </c>
      <c r="BH431" s="19">
        <v>46045</v>
      </c>
      <c r="BI431" s="5">
        <v>82</v>
      </c>
      <c r="BJ431" s="19">
        <v>46045</v>
      </c>
      <c r="BM431" s="18"/>
      <c r="BN431" s="18"/>
      <c r="BO431" s="18"/>
      <c r="BP431" s="18"/>
      <c r="BQ431" s="5"/>
      <c r="BR431" s="18"/>
      <c r="BS431" s="18"/>
      <c r="BT431" s="35"/>
    </row>
    <row r="432" spans="1:72" ht="43.5" x14ac:dyDescent="0.35">
      <c r="A432" s="5">
        <v>431</v>
      </c>
      <c r="B432" s="5"/>
      <c r="C432" s="5" t="s">
        <v>78</v>
      </c>
      <c r="D432" s="5">
        <v>24</v>
      </c>
      <c r="E432" s="5">
        <v>24</v>
      </c>
      <c r="F432" s="8" t="s">
        <v>986</v>
      </c>
      <c r="G432" s="8"/>
      <c r="H432" s="5" t="s">
        <v>4</v>
      </c>
      <c r="I432" s="5" t="str" cm="1">
        <f t="array" ref="I432">_xlfn.IFS(
  H432="Mahuva", "Mahuva",
  H432="Jesar", "Mahuva",
  H432="Palitana", "Palitana",
  H432="Gariyadhar", "Palitana",
  H432="Talaja", "Talaja",
  H432="Vallabhipur", "Vallabhipur",
  H432="Umrala", "Vallabhipur",
  H432="Shihor", "Shihor",
  H432="Ghogha", "Bhavnagar",
  H432="Bhavnagar", "Bhavnagar"
)</f>
        <v>Talaja</v>
      </c>
      <c r="J432" s="5" t="s">
        <v>256</v>
      </c>
      <c r="K432" s="5" t="s">
        <v>418</v>
      </c>
      <c r="L432" s="5">
        <v>253595</v>
      </c>
      <c r="M432" s="5">
        <v>1</v>
      </c>
      <c r="N432" s="7">
        <v>46004</v>
      </c>
      <c r="O432" s="7">
        <v>46013</v>
      </c>
      <c r="P432" s="7">
        <v>46014</v>
      </c>
      <c r="Q432" s="7">
        <f t="shared" si="81"/>
        <v>46133</v>
      </c>
      <c r="R432" s="9">
        <v>2067497.06</v>
      </c>
      <c r="S432" s="33"/>
      <c r="T432" s="9">
        <v>1746001.27</v>
      </c>
      <c r="U432" s="10">
        <v>-15.55</v>
      </c>
      <c r="V432" s="10" t="str">
        <f t="shared" si="82"/>
        <v>Below</v>
      </c>
      <c r="W432" s="11" t="str" cm="1">
        <f t="array" ref="W432">NumberToWords(T432)</f>
        <v>Seventeen Lakh Forty Six Thousand One Rupees and Twenty Seven Paise Only</v>
      </c>
      <c r="X432" s="10" t="str">
        <f t="shared" si="83"/>
        <v>Division</v>
      </c>
      <c r="Z432" s="9">
        <f t="shared" si="84"/>
        <v>1746001.27</v>
      </c>
      <c r="AA432" s="5" t="s">
        <v>954</v>
      </c>
      <c r="AB432" s="8">
        <f>_xlfn.XLOOKUP(AA432, 'Agency List'!A$2:A$145, 'Agency List'!B$2:B$145, "Not Found")</f>
        <v>0</v>
      </c>
      <c r="AC432" s="8" t="str">
        <f>_xlfn.XLOOKUP(AA432, 'Agency List'!A$2:A$145, 'Agency List'!C$2:C$145, "Not Found")</f>
        <v>Shop No. 04, Madhuvan Complex, Gopnath Road, Talaja, Dist. Bhavnagar</v>
      </c>
      <c r="AD432" s="8">
        <f>_xlfn.XLOOKUP(AA432, 'Agency List'!A$2:A$145, 'Agency List'!D$2:D$145, "Not Found")</f>
        <v>8999898996</v>
      </c>
      <c r="AE432" s="7"/>
      <c r="AF432" s="5" t="s">
        <v>357</v>
      </c>
      <c r="AG432" s="5" t="str">
        <f t="shared" si="85"/>
        <v>Bandhkam</v>
      </c>
      <c r="AH432" s="55"/>
      <c r="AI432" s="49"/>
      <c r="AJ432" s="20"/>
      <c r="AL432" s="16">
        <v>4</v>
      </c>
      <c r="AM432" s="12">
        <f t="shared" si="86"/>
        <v>88000</v>
      </c>
      <c r="AN432" s="7">
        <f t="shared" si="87"/>
        <v>46593</v>
      </c>
      <c r="AO432" s="12">
        <f t="shared" si="88"/>
        <v>5500</v>
      </c>
      <c r="AP432" s="12">
        <f t="shared" si="89"/>
        <v>23000</v>
      </c>
      <c r="AQ432" s="15">
        <f t="shared" si="90"/>
        <v>46178</v>
      </c>
      <c r="AR432" s="7">
        <f t="shared" si="91"/>
        <v>46533</v>
      </c>
      <c r="AS432" s="5">
        <v>1828</v>
      </c>
      <c r="AT432" s="7">
        <v>46020</v>
      </c>
      <c r="AU432" s="5"/>
      <c r="AV432" s="17"/>
      <c r="AW432" s="17"/>
      <c r="AX432" s="5"/>
      <c r="AY432" s="5"/>
      <c r="AZ432" s="13"/>
      <c r="BA432" s="12"/>
      <c r="BB432" s="7"/>
      <c r="BC432" s="14"/>
      <c r="BD432" s="14"/>
      <c r="BF432" s="12"/>
      <c r="BG432" s="14"/>
      <c r="BH432" s="19">
        <v>46023</v>
      </c>
      <c r="BI432" s="5"/>
      <c r="BM432" s="18"/>
      <c r="BN432" s="18"/>
      <c r="BO432" s="18"/>
      <c r="BP432" s="18"/>
      <c r="BQ432" s="5"/>
      <c r="BR432" s="18"/>
      <c r="BS432" s="18"/>
      <c r="BT432" s="35"/>
    </row>
    <row r="433" spans="1:72" ht="43.5" x14ac:dyDescent="0.35">
      <c r="A433" s="5">
        <v>432</v>
      </c>
      <c r="B433" s="5"/>
      <c r="C433" s="5" t="s">
        <v>78</v>
      </c>
      <c r="D433" s="5">
        <v>24</v>
      </c>
      <c r="E433" s="5">
        <v>25</v>
      </c>
      <c r="F433" s="8" t="s">
        <v>987</v>
      </c>
      <c r="G433" s="8"/>
      <c r="H433" s="5" t="s">
        <v>4</v>
      </c>
      <c r="I433" s="5" t="str" cm="1">
        <f t="array" ref="I433">_xlfn.IFS(
  H433="Mahuva", "Mahuva",
  H433="Jesar", "Mahuva",
  H433="Palitana", "Palitana",
  H433="Gariyadhar", "Palitana",
  H433="Talaja", "Talaja",
  H433="Vallabhipur", "Vallabhipur",
  H433="Umrala", "Vallabhipur",
  H433="Shihor", "Shihor",
  H433="Ghogha", "Bhavnagar",
  H433="Bhavnagar", "Bhavnagar"
)</f>
        <v>Talaja</v>
      </c>
      <c r="J433" s="5" t="s">
        <v>256</v>
      </c>
      <c r="K433" s="5" t="s">
        <v>418</v>
      </c>
      <c r="L433" s="5">
        <v>253596</v>
      </c>
      <c r="M433" s="5">
        <v>1</v>
      </c>
      <c r="N433" s="7">
        <v>46004</v>
      </c>
      <c r="O433" s="7">
        <v>46013</v>
      </c>
      <c r="P433" s="7">
        <v>46014</v>
      </c>
      <c r="Q433" s="7">
        <f t="shared" si="81"/>
        <v>46133</v>
      </c>
      <c r="R433" s="9">
        <v>2067497.06</v>
      </c>
      <c r="S433" s="33"/>
      <c r="T433" s="9">
        <v>1798722.44</v>
      </c>
      <c r="U433" s="10">
        <v>-13</v>
      </c>
      <c r="V433" s="10" t="str">
        <f t="shared" si="82"/>
        <v>Below</v>
      </c>
      <c r="W433" s="11" t="str" cm="1">
        <f t="array" ref="W433">NumberToWords(T433)</f>
        <v>Seventeen Lakh Ninety Eight Thousand Seven Hundred Twenty Two Rupees and Forty Four Paise Only</v>
      </c>
      <c r="X433" s="10" t="str">
        <f t="shared" si="83"/>
        <v>Division</v>
      </c>
      <c r="Z433" s="9">
        <f t="shared" si="84"/>
        <v>1798722.44</v>
      </c>
      <c r="AA433" s="5" t="s">
        <v>954</v>
      </c>
      <c r="AB433" s="8">
        <f>_xlfn.XLOOKUP(AA433, 'Agency List'!A$2:A$145, 'Agency List'!B$2:B$145, "Not Found")</f>
        <v>0</v>
      </c>
      <c r="AC433" s="8" t="str">
        <f>_xlfn.XLOOKUP(AA433, 'Agency List'!A$2:A$145, 'Agency List'!C$2:C$145, "Not Found")</f>
        <v>Shop No. 04, Madhuvan Complex, Gopnath Road, Talaja, Dist. Bhavnagar</v>
      </c>
      <c r="AD433" s="8">
        <f>_xlfn.XLOOKUP(AA433, 'Agency List'!A$2:A$145, 'Agency List'!D$2:D$145, "Not Found")</f>
        <v>8999898996</v>
      </c>
      <c r="AE433" s="7"/>
      <c r="AF433" s="5" t="s">
        <v>357</v>
      </c>
      <c r="AG433" s="5" t="str">
        <f t="shared" si="85"/>
        <v>Bandhkam</v>
      </c>
      <c r="AH433" s="55"/>
      <c r="AI433" s="49"/>
      <c r="AJ433" s="20"/>
      <c r="AL433" s="16">
        <v>4</v>
      </c>
      <c r="AM433" s="12">
        <f t="shared" si="86"/>
        <v>90000</v>
      </c>
      <c r="AN433" s="7">
        <f t="shared" si="87"/>
        <v>46593</v>
      </c>
      <c r="AO433" s="12">
        <f t="shared" si="88"/>
        <v>5100</v>
      </c>
      <c r="AP433" s="12">
        <f t="shared" si="89"/>
        <v>13000</v>
      </c>
      <c r="AQ433" s="15">
        <f t="shared" si="90"/>
        <v>46178</v>
      </c>
      <c r="AR433" s="7">
        <f t="shared" si="91"/>
        <v>46533</v>
      </c>
      <c r="AS433" s="5">
        <v>1829</v>
      </c>
      <c r="AT433" s="7">
        <v>46020</v>
      </c>
      <c r="AU433" s="5"/>
      <c r="AV433" s="17"/>
      <c r="AW433" s="17"/>
      <c r="AX433" s="5"/>
      <c r="AY433" s="5"/>
      <c r="AZ433" s="13"/>
      <c r="BA433" s="12"/>
      <c r="BB433" s="7"/>
      <c r="BC433" s="14"/>
      <c r="BD433" s="14"/>
      <c r="BF433" s="12"/>
      <c r="BG433" s="14"/>
      <c r="BH433" s="19">
        <v>46023</v>
      </c>
      <c r="BI433" s="5"/>
      <c r="BM433" s="18"/>
      <c r="BN433" s="18"/>
      <c r="BO433" s="18"/>
      <c r="BP433" s="18"/>
      <c r="BQ433" s="5"/>
      <c r="BR433" s="18"/>
      <c r="BS433" s="18"/>
      <c r="BT433" s="35"/>
    </row>
    <row r="434" spans="1:72" ht="43.5" x14ac:dyDescent="0.35">
      <c r="A434" s="5">
        <v>433</v>
      </c>
      <c r="B434" s="5"/>
      <c r="C434" s="5" t="s">
        <v>78</v>
      </c>
      <c r="D434" s="5">
        <v>24</v>
      </c>
      <c r="E434" s="5">
        <v>26</v>
      </c>
      <c r="F434" s="8" t="s">
        <v>988</v>
      </c>
      <c r="G434" s="8"/>
      <c r="H434" s="5" t="s">
        <v>332</v>
      </c>
      <c r="I434" s="5" t="str" cm="1">
        <f t="array" ref="I434">_xlfn.IFS(
  H434="Mahuva", "Mahuva",
  H434="Jesar", "Mahuva",
  H434="Palitana", "Palitana",
  H434="Gariyadhar", "Palitana",
  H434="Talaja", "Talaja",
  H434="Vallabhipur", "Vallabhipur",
  H434="Umrala", "Vallabhipur",
  H434="Shihor", "Shihor",
  H434="Ghogha", "Bhavnagar",
  H434="Bhavnagar", "Bhavnagar"
)</f>
        <v>Bhavnagar</v>
      </c>
      <c r="J434" s="5" t="s">
        <v>256</v>
      </c>
      <c r="K434" s="5" t="s">
        <v>418</v>
      </c>
      <c r="L434" s="5">
        <v>253558</v>
      </c>
      <c r="M434" s="5">
        <v>1</v>
      </c>
      <c r="N434" s="7">
        <v>46004</v>
      </c>
      <c r="O434" s="7">
        <v>46013</v>
      </c>
      <c r="P434" s="7">
        <v>46014</v>
      </c>
      <c r="Q434" s="7">
        <f t="shared" si="81"/>
        <v>46133</v>
      </c>
      <c r="R434" s="9">
        <v>2079935.15</v>
      </c>
      <c r="S434" s="33"/>
      <c r="T434" s="9">
        <v>1844278.5</v>
      </c>
      <c r="U434" s="10">
        <v>-11.33</v>
      </c>
      <c r="V434" s="10" t="str">
        <f t="shared" si="82"/>
        <v>Below</v>
      </c>
      <c r="W434" s="11" t="str" cm="1">
        <f t="array" ref="W434">NumberToWords(T434)</f>
        <v>Eighteen Lakh Forty Four Thousand Two Hundred Seventy Eight Rupees and Five Paise Only</v>
      </c>
      <c r="X434" s="10" t="str">
        <f t="shared" si="83"/>
        <v>Division</v>
      </c>
      <c r="Z434" s="9">
        <f t="shared" si="84"/>
        <v>1844278.5</v>
      </c>
      <c r="AA434" s="5" t="s">
        <v>173</v>
      </c>
      <c r="AB434" s="8" t="str">
        <f>_xlfn.XLOOKUP(AA434, 'Agency List'!A$2:A$145, 'Agency List'!B$2:B$145, "Not Found")</f>
        <v>Majithiya Dhruvin Nareshbhai</v>
      </c>
      <c r="AC434" s="8" t="str">
        <f>_xlfn.XLOOKUP(AA434, 'Agency List'!A$2:A$145, 'Agency List'!C$2:C$145, "Not Found")</f>
        <v>82/1, Bajaran Society, Near Gayatri Temple, Chitra, Bhavnagar-364004</v>
      </c>
      <c r="AD434" s="8">
        <f>_xlfn.XLOOKUP(AA434, 'Agency List'!A$2:A$145, 'Agency List'!D$2:D$145, "Not Found")</f>
        <v>8200557028</v>
      </c>
      <c r="AE434" s="7"/>
      <c r="AF434" s="5" t="s">
        <v>1031</v>
      </c>
      <c r="AG434" s="5" t="str">
        <f t="shared" si="85"/>
        <v>Bandhkam</v>
      </c>
      <c r="AH434" s="55"/>
      <c r="AI434" s="49"/>
      <c r="AJ434" s="20"/>
      <c r="AL434" s="16">
        <v>4</v>
      </c>
      <c r="AM434" s="12">
        <f t="shared" si="86"/>
        <v>93000</v>
      </c>
      <c r="AN434" s="7">
        <f t="shared" si="87"/>
        <v>46593</v>
      </c>
      <c r="AO434" s="12">
        <f t="shared" si="88"/>
        <v>4900</v>
      </c>
      <c r="AP434" s="12">
        <f t="shared" si="89"/>
        <v>6000</v>
      </c>
      <c r="AQ434" s="15">
        <f t="shared" si="90"/>
        <v>46178</v>
      </c>
      <c r="AR434" s="7">
        <f t="shared" si="91"/>
        <v>46533</v>
      </c>
      <c r="AS434" s="5">
        <v>1830</v>
      </c>
      <c r="AT434" s="7">
        <v>46020</v>
      </c>
      <c r="AU434" s="5"/>
      <c r="AV434" s="17"/>
      <c r="AW434" s="17"/>
      <c r="AX434" s="5"/>
      <c r="AY434" s="5"/>
      <c r="AZ434" s="13"/>
      <c r="BA434" s="12"/>
      <c r="BB434" s="7"/>
      <c r="BC434" s="14"/>
      <c r="BD434" s="14"/>
      <c r="BF434" s="12"/>
      <c r="BG434" s="14"/>
      <c r="BH434" s="19">
        <v>46023</v>
      </c>
      <c r="BI434" s="5"/>
      <c r="BM434" s="18"/>
      <c r="BN434" s="18"/>
      <c r="BO434" s="18"/>
      <c r="BP434" s="18"/>
      <c r="BQ434" s="5"/>
      <c r="BR434" s="18"/>
      <c r="BS434" s="18"/>
      <c r="BT434" s="35"/>
    </row>
    <row r="435" spans="1:72" ht="43.5" x14ac:dyDescent="0.35">
      <c r="A435" s="5">
        <v>434</v>
      </c>
      <c r="B435" s="5"/>
      <c r="C435" s="5" t="s">
        <v>78</v>
      </c>
      <c r="D435" s="5">
        <v>24</v>
      </c>
      <c r="E435" s="5">
        <v>27</v>
      </c>
      <c r="F435" s="8" t="s">
        <v>989</v>
      </c>
      <c r="G435" s="8"/>
      <c r="H435" s="5" t="s">
        <v>332</v>
      </c>
      <c r="I435" s="5" t="str" cm="1">
        <f t="array" ref="I435">_xlfn.IFS(
  H435="Mahuva", "Mahuva",
  H435="Jesar", "Mahuva",
  H435="Palitana", "Palitana",
  H435="Gariyadhar", "Palitana",
  H435="Talaja", "Talaja",
  H435="Vallabhipur", "Vallabhipur",
  H435="Umrala", "Vallabhipur",
  H435="Shihor", "Shihor",
  H435="Ghogha", "Bhavnagar",
  H435="Bhavnagar", "Bhavnagar"
)</f>
        <v>Bhavnagar</v>
      </c>
      <c r="J435" s="5" t="s">
        <v>256</v>
      </c>
      <c r="K435" s="5" t="s">
        <v>418</v>
      </c>
      <c r="L435" s="5">
        <v>253559</v>
      </c>
      <c r="M435" s="5">
        <v>1</v>
      </c>
      <c r="N435" s="7">
        <v>46004</v>
      </c>
      <c r="O435" s="7">
        <v>46013</v>
      </c>
      <c r="P435" s="7">
        <v>46014</v>
      </c>
      <c r="Q435" s="7">
        <f t="shared" si="81"/>
        <v>46133</v>
      </c>
      <c r="R435" s="9">
        <v>2079935.15</v>
      </c>
      <c r="S435" s="33"/>
      <c r="T435" s="9">
        <v>1768776.85</v>
      </c>
      <c r="U435" s="10">
        <v>-14.96</v>
      </c>
      <c r="V435" s="10" t="str">
        <f t="shared" si="82"/>
        <v>Below</v>
      </c>
      <c r="W435" s="11" t="str" cm="1">
        <f t="array" ref="W435">NumberToWords(T435)</f>
        <v>Seventeen Lakh Sixty Eight Thousand Seven Hundred Seventy Six Rupees and Eighty Five Paise Only</v>
      </c>
      <c r="X435" s="10" t="str">
        <f t="shared" si="83"/>
        <v>Division</v>
      </c>
      <c r="Z435" s="9">
        <f t="shared" si="84"/>
        <v>1768776.85</v>
      </c>
      <c r="AA435" s="5" t="s">
        <v>960</v>
      </c>
      <c r="AB435" s="8">
        <f>_xlfn.XLOOKUP(AA435, 'Agency List'!A$2:A$145, 'Agency List'!B$2:B$145, "Not Found")</f>
        <v>0</v>
      </c>
      <c r="AC435" s="8" t="str">
        <f>_xlfn.XLOOKUP(AA435, 'Agency List'!A$2:A$145, 'Agency List'!C$2:C$145, "Not Found")</f>
        <v xml:space="preserve"> Shop No. 101, Chitrakut Complex, Near Gayatridham Society, Jamnagar Road, Rajkot</v>
      </c>
      <c r="AD435" s="8">
        <f>_xlfn.XLOOKUP(AA435, 'Agency List'!A$2:A$145, 'Agency List'!D$2:D$145, "Not Found")</f>
        <v>7069881399</v>
      </c>
      <c r="AE435" s="7"/>
      <c r="AF435" s="5" t="s">
        <v>1031</v>
      </c>
      <c r="AG435" s="5" t="str">
        <f t="shared" si="85"/>
        <v>Bandhkam</v>
      </c>
      <c r="AH435" s="55"/>
      <c r="AI435" s="49"/>
      <c r="AJ435" s="20"/>
      <c r="AL435" s="16">
        <v>4</v>
      </c>
      <c r="AM435" s="12">
        <f t="shared" si="86"/>
        <v>89000</v>
      </c>
      <c r="AN435" s="7">
        <f t="shared" si="87"/>
        <v>46593</v>
      </c>
      <c r="AO435" s="12">
        <f t="shared" si="88"/>
        <v>5400</v>
      </c>
      <c r="AP435" s="12">
        <f t="shared" si="89"/>
        <v>21000</v>
      </c>
      <c r="AQ435" s="15">
        <f t="shared" si="90"/>
        <v>46178</v>
      </c>
      <c r="AR435" s="7">
        <f t="shared" si="91"/>
        <v>46533</v>
      </c>
      <c r="AS435" s="5">
        <v>1831</v>
      </c>
      <c r="AT435" s="7">
        <v>46020</v>
      </c>
      <c r="AU435" s="5"/>
      <c r="AV435" s="17"/>
      <c r="AW435" s="17"/>
      <c r="AX435" s="5"/>
      <c r="AY435" s="5"/>
      <c r="AZ435" s="13"/>
      <c r="BA435" s="12"/>
      <c r="BB435" s="7"/>
      <c r="BC435" s="14"/>
      <c r="BD435" s="14"/>
      <c r="BF435" s="12"/>
      <c r="BG435" s="14"/>
      <c r="BH435" s="19">
        <v>46023</v>
      </c>
      <c r="BI435" s="5"/>
      <c r="BM435" s="18"/>
      <c r="BN435" s="18"/>
      <c r="BO435" s="18"/>
      <c r="BP435" s="18"/>
      <c r="BQ435" s="5"/>
      <c r="BR435" s="18"/>
      <c r="BS435" s="18"/>
      <c r="BT435" s="35"/>
    </row>
    <row r="436" spans="1:72" ht="58" x14ac:dyDescent="0.35">
      <c r="A436" s="5">
        <v>435</v>
      </c>
      <c r="B436" s="5"/>
      <c r="C436" s="5" t="s">
        <v>78</v>
      </c>
      <c r="D436" s="5">
        <v>24</v>
      </c>
      <c r="E436" s="5">
        <v>28</v>
      </c>
      <c r="F436" s="8" t="s">
        <v>990</v>
      </c>
      <c r="G436" s="8"/>
      <c r="H436" s="5" t="s">
        <v>332</v>
      </c>
      <c r="I436" s="5" t="str" cm="1">
        <f t="array" ref="I436">_xlfn.IFS(
  H436="Mahuva", "Mahuva",
  H436="Jesar", "Mahuva",
  H436="Palitana", "Palitana",
  H436="Gariyadhar", "Palitana",
  H436="Talaja", "Talaja",
  H436="Vallabhipur", "Vallabhipur",
  H436="Umrala", "Vallabhipur",
  H436="Shihor", "Shihor",
  H436="Ghogha", "Bhavnagar",
  H436="Bhavnagar", "Bhavnagar"
)</f>
        <v>Bhavnagar</v>
      </c>
      <c r="J436" s="5" t="s">
        <v>256</v>
      </c>
      <c r="K436" s="5" t="s">
        <v>418</v>
      </c>
      <c r="L436" s="5">
        <v>253626</v>
      </c>
      <c r="M436" s="5">
        <v>1</v>
      </c>
      <c r="N436" s="7">
        <v>46004</v>
      </c>
      <c r="O436" s="7">
        <v>46013</v>
      </c>
      <c r="P436" s="7">
        <v>46014</v>
      </c>
      <c r="Q436" s="7">
        <f t="shared" si="81"/>
        <v>46133</v>
      </c>
      <c r="R436" s="9">
        <v>3343468.16</v>
      </c>
      <c r="S436" s="33"/>
      <c r="T436" s="9">
        <v>3085686.76</v>
      </c>
      <c r="U436" s="10">
        <v>-7.71</v>
      </c>
      <c r="V436" s="10" t="str">
        <f t="shared" si="82"/>
        <v>Below</v>
      </c>
      <c r="W436" s="11" t="str" cm="1">
        <f t="array" ref="W436">NumberToWords(T436)</f>
        <v>Thirty Lakh Eighty Five Thousand Six Hundred Eighty Six Rupees and Seventy Six Paise Only</v>
      </c>
      <c r="X436" s="10" t="str">
        <f t="shared" si="83"/>
        <v>Division</v>
      </c>
      <c r="Z436" s="9">
        <f t="shared" si="84"/>
        <v>3085686.76</v>
      </c>
      <c r="AA436" s="5" t="s">
        <v>638</v>
      </c>
      <c r="AB436" s="8">
        <f>_xlfn.XLOOKUP(AA436, 'Agency List'!A$2:A$145, 'Agency List'!B$2:B$145, "Not Found")</f>
        <v>0</v>
      </c>
      <c r="AC436" s="8" t="str">
        <f>_xlfn.XLOOKUP(AA436, 'Agency List'!A$2:A$145, 'Agency List'!C$2:C$145, "Not Found")</f>
        <v>F/107, Eva Surabhi Complex, Opp. Aksharvadi Temple, Waghavadi Road, Bhavnagar - 364001</v>
      </c>
      <c r="AD436" s="8">
        <f>_xlfn.XLOOKUP(AA436, 'Agency List'!A$2:A$145, 'Agency List'!D$2:D$145, "Not Found")</f>
        <v>7984929295</v>
      </c>
      <c r="AE436" s="7"/>
      <c r="AF436" s="5" t="s">
        <v>357</v>
      </c>
      <c r="AG436" s="5" t="str">
        <f t="shared" si="85"/>
        <v>Karobari</v>
      </c>
      <c r="AH436" s="55"/>
      <c r="AI436" s="49"/>
      <c r="AJ436" s="20"/>
      <c r="AL436" s="16">
        <v>4</v>
      </c>
      <c r="AM436" s="12">
        <f t="shared" si="86"/>
        <v>155000</v>
      </c>
      <c r="AN436" s="7">
        <f t="shared" si="87"/>
        <v>46612</v>
      </c>
      <c r="AO436" s="12">
        <f t="shared" si="88"/>
        <v>7600</v>
      </c>
      <c r="AP436" s="12">
        <f t="shared" si="89"/>
        <v>0</v>
      </c>
      <c r="AQ436" s="15">
        <f t="shared" si="90"/>
        <v>46197</v>
      </c>
      <c r="AR436" s="7">
        <f t="shared" si="91"/>
        <v>46552</v>
      </c>
      <c r="AS436" s="5">
        <v>1832</v>
      </c>
      <c r="AT436" s="7">
        <v>46020</v>
      </c>
      <c r="AU436" s="5" t="s">
        <v>78</v>
      </c>
      <c r="AV436" s="17">
        <v>279</v>
      </c>
      <c r="AW436" s="37">
        <v>46042</v>
      </c>
      <c r="AX436" s="5" t="s">
        <v>355</v>
      </c>
      <c r="AY436" s="5" t="s">
        <v>369</v>
      </c>
      <c r="AZ436" s="13">
        <v>44832664628</v>
      </c>
      <c r="BA436" s="12">
        <v>155000</v>
      </c>
      <c r="BB436" s="7">
        <v>46037</v>
      </c>
      <c r="BC436" s="14"/>
      <c r="BD436" s="14"/>
      <c r="BF436" s="12"/>
      <c r="BG436" s="14"/>
      <c r="BH436" s="19">
        <v>46042</v>
      </c>
      <c r="BI436" s="5">
        <v>73</v>
      </c>
      <c r="BJ436" s="19">
        <v>46042</v>
      </c>
      <c r="BM436" s="18"/>
      <c r="BN436" s="18"/>
      <c r="BO436" s="18"/>
      <c r="BP436" s="18"/>
      <c r="BQ436" s="5"/>
      <c r="BR436" s="18"/>
      <c r="BS436" s="18"/>
      <c r="BT436" s="35"/>
    </row>
    <row r="437" spans="1:72" ht="43.5" x14ac:dyDescent="0.35">
      <c r="A437" s="5">
        <v>436</v>
      </c>
      <c r="B437" s="5"/>
      <c r="C437" s="5" t="s">
        <v>78</v>
      </c>
      <c r="D437" s="5">
        <v>24</v>
      </c>
      <c r="E437" s="5">
        <v>29</v>
      </c>
      <c r="F437" s="8" t="s">
        <v>991</v>
      </c>
      <c r="G437" s="8"/>
      <c r="H437" s="5" t="s">
        <v>332</v>
      </c>
      <c r="I437" s="5" t="str" cm="1">
        <f t="array" ref="I437">_xlfn.IFS(
  H437="Mahuva", "Mahuva",
  H437="Jesar", "Mahuva",
  H437="Palitana", "Palitana",
  H437="Gariyadhar", "Palitana",
  H437="Talaja", "Talaja",
  H437="Vallabhipur", "Vallabhipur",
  H437="Umrala", "Vallabhipur",
  H437="Shihor", "Shihor",
  H437="Ghogha", "Bhavnagar",
  H437="Bhavnagar", "Bhavnagar"
)</f>
        <v>Bhavnagar</v>
      </c>
      <c r="J437" s="5" t="s">
        <v>256</v>
      </c>
      <c r="K437" s="5" t="s">
        <v>418</v>
      </c>
      <c r="L437" s="5">
        <v>253615</v>
      </c>
      <c r="M437" s="5">
        <v>1</v>
      </c>
      <c r="N437" s="7">
        <v>46004</v>
      </c>
      <c r="O437" s="7">
        <v>46013</v>
      </c>
      <c r="P437" s="7">
        <v>46014</v>
      </c>
      <c r="Q437" s="7">
        <f t="shared" si="81"/>
        <v>46133</v>
      </c>
      <c r="R437" s="9">
        <v>2067497.06</v>
      </c>
      <c r="S437" s="33"/>
      <c r="T437" s="9">
        <v>1961847.96</v>
      </c>
      <c r="U437" s="10">
        <v>-5.1100000000000003</v>
      </c>
      <c r="V437" s="10" t="str">
        <f t="shared" si="82"/>
        <v>Below</v>
      </c>
      <c r="W437" s="11" t="str" cm="1">
        <f t="array" ref="W437">NumberToWords(T437)</f>
        <v>Nineteen Lakh Sixty One Thousand Eight Hundred Forty Seven Rupees and Ninety Six Paise Only</v>
      </c>
      <c r="X437" s="10" t="str">
        <f t="shared" si="83"/>
        <v>Division</v>
      </c>
      <c r="Z437" s="9">
        <f t="shared" si="84"/>
        <v>1961847.96</v>
      </c>
      <c r="AA437" s="5" t="s">
        <v>961</v>
      </c>
      <c r="AB437" s="8">
        <f>_xlfn.XLOOKUP(AA437, 'Agency List'!A$2:A$145, 'Agency List'!B$2:B$145, "Not Found")</f>
        <v>0</v>
      </c>
      <c r="AC437" s="8" t="str">
        <f>_xlfn.XLOOKUP(AA437, 'Agency List'!A$2:A$145, 'Agency List'!C$2:C$145, "Not Found")</f>
        <v>Shop No. 44, Madhav Complex, Shastrinagar, Bhavnagar</v>
      </c>
      <c r="AD437" s="8">
        <f>_xlfn.XLOOKUP(AA437, 'Agency List'!A$2:A$145, 'Agency List'!D$2:D$145, "Not Found")</f>
        <v>9824559999</v>
      </c>
      <c r="AE437" s="7"/>
      <c r="AF437" s="5" t="s">
        <v>357</v>
      </c>
      <c r="AG437" s="5" t="str">
        <f t="shared" si="85"/>
        <v>Bandhkam</v>
      </c>
      <c r="AH437" s="55"/>
      <c r="AI437" s="49"/>
      <c r="AJ437" s="20"/>
      <c r="AL437" s="16">
        <v>4</v>
      </c>
      <c r="AM437" s="12">
        <f t="shared" si="86"/>
        <v>99000</v>
      </c>
      <c r="AN437" s="7">
        <f t="shared" si="87"/>
        <v>46593</v>
      </c>
      <c r="AO437" s="12">
        <f t="shared" si="88"/>
        <v>4900</v>
      </c>
      <c r="AP437" s="12">
        <f t="shared" si="89"/>
        <v>0</v>
      </c>
      <c r="AQ437" s="15">
        <f t="shared" si="90"/>
        <v>46178</v>
      </c>
      <c r="AR437" s="7">
        <f t="shared" si="91"/>
        <v>46533</v>
      </c>
      <c r="AS437" s="5">
        <v>1833</v>
      </c>
      <c r="AT437" s="7">
        <v>46020</v>
      </c>
      <c r="AU437" s="5"/>
      <c r="AV437" s="17"/>
      <c r="AW437" s="17"/>
      <c r="AX437" s="5"/>
      <c r="AY437" s="5"/>
      <c r="AZ437" s="13"/>
      <c r="BA437" s="12"/>
      <c r="BB437" s="7"/>
      <c r="BC437" s="14"/>
      <c r="BD437" s="14"/>
      <c r="BF437" s="12"/>
      <c r="BG437" s="14"/>
      <c r="BH437" s="19">
        <v>46023</v>
      </c>
      <c r="BI437" s="5"/>
      <c r="BM437" s="18"/>
      <c r="BN437" s="18"/>
      <c r="BO437" s="18"/>
      <c r="BP437" s="18"/>
      <c r="BQ437" s="5"/>
      <c r="BR437" s="18"/>
      <c r="BS437" s="18"/>
      <c r="BT437" s="35"/>
    </row>
    <row r="438" spans="1:72" ht="43.5" x14ac:dyDescent="0.35">
      <c r="A438" s="5">
        <v>437</v>
      </c>
      <c r="B438" s="5"/>
      <c r="C438" s="5" t="s">
        <v>78</v>
      </c>
      <c r="D438" s="5">
        <v>24</v>
      </c>
      <c r="E438" s="5">
        <v>30</v>
      </c>
      <c r="F438" s="8" t="s">
        <v>992</v>
      </c>
      <c r="G438" s="8"/>
      <c r="H438" s="5" t="s">
        <v>332</v>
      </c>
      <c r="I438" s="5" t="str" cm="1">
        <f t="array" ref="I438">_xlfn.IFS(
  H438="Mahuva", "Mahuva",
  H438="Jesar", "Mahuva",
  H438="Palitana", "Palitana",
  H438="Gariyadhar", "Palitana",
  H438="Talaja", "Talaja",
  H438="Vallabhipur", "Vallabhipur",
  H438="Umrala", "Vallabhipur",
  H438="Shihor", "Shihor",
  H438="Ghogha", "Bhavnagar",
  H438="Bhavnagar", "Bhavnagar"
)</f>
        <v>Bhavnagar</v>
      </c>
      <c r="J438" s="5" t="s">
        <v>256</v>
      </c>
      <c r="K438" s="5" t="s">
        <v>418</v>
      </c>
      <c r="L438" s="5">
        <v>253616</v>
      </c>
      <c r="M438" s="5">
        <v>1</v>
      </c>
      <c r="N438" s="7">
        <v>46004</v>
      </c>
      <c r="O438" s="7">
        <v>46013</v>
      </c>
      <c r="P438" s="7">
        <v>46014</v>
      </c>
      <c r="Q438" s="7">
        <f t="shared" si="81"/>
        <v>46133</v>
      </c>
      <c r="R438" s="9">
        <v>2067497.06</v>
      </c>
      <c r="S438" s="33"/>
      <c r="T438" s="9">
        <v>1877700.83</v>
      </c>
      <c r="U438" s="10">
        <v>-9.18</v>
      </c>
      <c r="V438" s="10" t="str">
        <f t="shared" si="82"/>
        <v>Below</v>
      </c>
      <c r="W438" s="11" t="str" cm="1">
        <f t="array" ref="W438">NumberToWords(T438)</f>
        <v>Eighteen Lakh Seventy Seven Thousand Seven Hundred Rupees and Eighty Three Paise Only</v>
      </c>
      <c r="X438" s="10" t="str">
        <f t="shared" si="83"/>
        <v>Division</v>
      </c>
      <c r="Z438" s="9">
        <f t="shared" si="84"/>
        <v>1877700.83</v>
      </c>
      <c r="AA438" s="5" t="s">
        <v>173</v>
      </c>
      <c r="AB438" s="8" t="str">
        <f>_xlfn.XLOOKUP(AA438, 'Agency List'!A$2:A$145, 'Agency List'!B$2:B$145, "Not Found")</f>
        <v>Majithiya Dhruvin Nareshbhai</v>
      </c>
      <c r="AC438" s="8" t="str">
        <f>_xlfn.XLOOKUP(AA438, 'Agency List'!A$2:A$145, 'Agency List'!C$2:C$145, "Not Found")</f>
        <v>82/1, Bajaran Society, Near Gayatri Temple, Chitra, Bhavnagar-364004</v>
      </c>
      <c r="AD438" s="8">
        <f>_xlfn.XLOOKUP(AA438, 'Agency List'!A$2:A$145, 'Agency List'!D$2:D$145, "Not Found")</f>
        <v>8200557028</v>
      </c>
      <c r="AE438" s="7"/>
      <c r="AF438" s="5" t="s">
        <v>357</v>
      </c>
      <c r="AG438" s="5" t="str">
        <f t="shared" si="85"/>
        <v>Bandhkam</v>
      </c>
      <c r="AH438" s="55"/>
      <c r="AI438" s="49"/>
      <c r="AJ438" s="20"/>
      <c r="AL438" s="16">
        <v>4</v>
      </c>
      <c r="AM438" s="12">
        <f t="shared" si="86"/>
        <v>94000</v>
      </c>
      <c r="AN438" s="7">
        <f t="shared" si="87"/>
        <v>46593</v>
      </c>
      <c r="AO438" s="12">
        <f t="shared" si="88"/>
        <v>4700</v>
      </c>
      <c r="AP438" s="12">
        <f t="shared" si="89"/>
        <v>0</v>
      </c>
      <c r="AQ438" s="15">
        <f t="shared" si="90"/>
        <v>46178</v>
      </c>
      <c r="AR438" s="7">
        <f t="shared" si="91"/>
        <v>46533</v>
      </c>
      <c r="AS438" s="5">
        <v>1834</v>
      </c>
      <c r="AT438" s="7">
        <v>46020</v>
      </c>
      <c r="AU438" s="5"/>
      <c r="AV438" s="17"/>
      <c r="AW438" s="17"/>
      <c r="AX438" s="5"/>
      <c r="AY438" s="5"/>
      <c r="AZ438" s="13"/>
      <c r="BA438" s="12"/>
      <c r="BB438" s="7"/>
      <c r="BC438" s="14"/>
      <c r="BD438" s="14"/>
      <c r="BF438" s="12"/>
      <c r="BG438" s="14"/>
      <c r="BH438" s="19">
        <v>46023</v>
      </c>
      <c r="BI438" s="5"/>
      <c r="BM438" s="18"/>
      <c r="BN438" s="18"/>
      <c r="BO438" s="18"/>
      <c r="BP438" s="18"/>
      <c r="BQ438" s="5"/>
      <c r="BR438" s="18"/>
      <c r="BS438" s="18"/>
      <c r="BT438" s="35"/>
    </row>
    <row r="439" spans="1:72" ht="43.5" x14ac:dyDescent="0.35">
      <c r="A439" s="5">
        <v>438</v>
      </c>
      <c r="B439" s="5"/>
      <c r="C439" s="5" t="s">
        <v>78</v>
      </c>
      <c r="D439" s="5">
        <v>24</v>
      </c>
      <c r="E439" s="5">
        <v>31</v>
      </c>
      <c r="F439" s="8" t="s">
        <v>993</v>
      </c>
      <c r="G439" s="8"/>
      <c r="H439" s="5" t="s">
        <v>332</v>
      </c>
      <c r="I439" s="5" t="str" cm="1">
        <f t="array" ref="I439">_xlfn.IFS(
  H439="Mahuva", "Mahuva",
  H439="Jesar", "Mahuva",
  H439="Palitana", "Palitana",
  H439="Gariyadhar", "Palitana",
  H439="Talaja", "Talaja",
  H439="Vallabhipur", "Vallabhipur",
  H439="Umrala", "Vallabhipur",
  H439="Shihor", "Shihor",
  H439="Ghogha", "Bhavnagar",
  H439="Bhavnagar", "Bhavnagar"
)</f>
        <v>Bhavnagar</v>
      </c>
      <c r="J439" s="5" t="s">
        <v>256</v>
      </c>
      <c r="K439" s="5" t="s">
        <v>418</v>
      </c>
      <c r="L439" s="5">
        <v>253617</v>
      </c>
      <c r="M439" s="5">
        <v>1</v>
      </c>
      <c r="N439" s="7">
        <v>46004</v>
      </c>
      <c r="O439" s="7">
        <v>46013</v>
      </c>
      <c r="P439" s="7">
        <v>46014</v>
      </c>
      <c r="Q439" s="7">
        <f t="shared" si="81"/>
        <v>46133</v>
      </c>
      <c r="R439" s="9">
        <v>2067497.06</v>
      </c>
      <c r="S439" s="33"/>
      <c r="T439" s="9">
        <v>1947375.48</v>
      </c>
      <c r="U439" s="10">
        <v>-5.81</v>
      </c>
      <c r="V439" s="10" t="str">
        <f t="shared" si="82"/>
        <v>Below</v>
      </c>
      <c r="W439" s="11" t="str" cm="1">
        <f t="array" ref="W439">NumberToWords(T439)</f>
        <v>Nineteen Lakh Forty Seven Thousand Three Hundred Seventy Five Rupees and Forty Eight Paise Only</v>
      </c>
      <c r="X439" s="10" t="str">
        <f t="shared" si="83"/>
        <v>Division</v>
      </c>
      <c r="Z439" s="9">
        <f t="shared" si="84"/>
        <v>1947375.48</v>
      </c>
      <c r="AA439" s="5" t="s">
        <v>870</v>
      </c>
      <c r="AB439" s="8" t="str">
        <f>_xlfn.XLOOKUP(AA439, 'Agency List'!A$2:A$145, 'Agency List'!B$2:B$145, "Not Found")</f>
        <v>Alpeshkumar Ranabhai Kalotara</v>
      </c>
      <c r="AC439" s="8" t="str">
        <f>_xlfn.XLOOKUP(AA439, 'Agency List'!A$2:A$145, 'Agency List'!C$2:C$145, "Not Found")</f>
        <v>At. Chhapariyali, Bagdana Road, Tal. Jesar, Dist. Bhavnagar - 364510</v>
      </c>
      <c r="AD439" s="8">
        <f>_xlfn.XLOOKUP(AA439, 'Agency List'!A$2:A$145, 'Agency List'!D$2:D$145, "Not Found")</f>
        <v>9773408044</v>
      </c>
      <c r="AE439" s="7"/>
      <c r="AF439" s="5" t="s">
        <v>357</v>
      </c>
      <c r="AG439" s="5" t="str">
        <f t="shared" si="85"/>
        <v>Bandhkam</v>
      </c>
      <c r="AH439" s="55"/>
      <c r="AI439" s="49"/>
      <c r="AJ439" s="20"/>
      <c r="AL439" s="16">
        <v>4</v>
      </c>
      <c r="AM439" s="12">
        <f t="shared" si="86"/>
        <v>98000</v>
      </c>
      <c r="AN439" s="7">
        <f t="shared" si="87"/>
        <v>46612</v>
      </c>
      <c r="AO439" s="12">
        <f t="shared" si="88"/>
        <v>4900</v>
      </c>
      <c r="AP439" s="12">
        <f t="shared" si="89"/>
        <v>0</v>
      </c>
      <c r="AQ439" s="15">
        <f t="shared" si="90"/>
        <v>46197</v>
      </c>
      <c r="AR439" s="7">
        <f t="shared" si="91"/>
        <v>46552</v>
      </c>
      <c r="AS439" s="5">
        <v>1835</v>
      </c>
      <c r="AT439" s="7">
        <v>46020</v>
      </c>
      <c r="AU439" s="5" t="s">
        <v>78</v>
      </c>
      <c r="AV439" s="17">
        <v>270</v>
      </c>
      <c r="AW439" s="37">
        <v>46042</v>
      </c>
      <c r="AX439" s="5" t="s">
        <v>355</v>
      </c>
      <c r="AY439" s="5" t="s">
        <v>369</v>
      </c>
      <c r="AZ439" s="13">
        <v>44818371185</v>
      </c>
      <c r="BA439" s="12">
        <v>98000</v>
      </c>
      <c r="BB439" s="7">
        <v>46031</v>
      </c>
      <c r="BC439" s="14"/>
      <c r="BD439" s="14"/>
      <c r="BF439" s="12"/>
      <c r="BG439" s="14"/>
      <c r="BH439" s="19">
        <v>46042</v>
      </c>
      <c r="BI439" s="5">
        <v>64</v>
      </c>
      <c r="BJ439" s="19">
        <v>46042</v>
      </c>
      <c r="BM439" s="18"/>
      <c r="BN439" s="18"/>
      <c r="BO439" s="18"/>
      <c r="BP439" s="18"/>
      <c r="BQ439" s="5"/>
      <c r="BR439" s="18"/>
      <c r="BS439" s="18"/>
      <c r="BT439" s="35"/>
    </row>
    <row r="440" spans="1:72" ht="43.5" x14ac:dyDescent="0.35">
      <c r="A440" s="5">
        <v>439</v>
      </c>
      <c r="B440" s="5"/>
      <c r="C440" s="5" t="s">
        <v>78</v>
      </c>
      <c r="D440" s="5">
        <v>24</v>
      </c>
      <c r="E440" s="5">
        <v>32</v>
      </c>
      <c r="F440" s="8" t="s">
        <v>994</v>
      </c>
      <c r="G440" s="8"/>
      <c r="H440" s="5" t="s">
        <v>12</v>
      </c>
      <c r="I440" s="5" t="str" cm="1">
        <f t="array" ref="I440">_xlfn.IFS(
  H440="Mahuva", "Mahuva",
  H440="Jesar", "Mahuva",
  H440="Palitana", "Palitana",
  H440="Gariyadhar", "Palitana",
  H440="Talaja", "Talaja",
  H440="Vallabhipur", "Vallabhipur",
  H440="Umrala", "Vallabhipur",
  H440="Shihor", "Shihor",
  H440="Ghogha", "Bhavnagar",
  H440="Bhavnagar", "Bhavnagar"
)</f>
        <v>Mahuva</v>
      </c>
      <c r="J440" s="5" t="s">
        <v>256</v>
      </c>
      <c r="K440" s="5" t="s">
        <v>418</v>
      </c>
      <c r="L440" s="5">
        <v>253560</v>
      </c>
      <c r="M440" s="5">
        <v>1</v>
      </c>
      <c r="N440" s="7">
        <v>46004</v>
      </c>
      <c r="O440" s="7">
        <v>46013</v>
      </c>
      <c r="P440" s="7">
        <v>46014</v>
      </c>
      <c r="Q440" s="7">
        <f t="shared" si="81"/>
        <v>46133</v>
      </c>
      <c r="R440" s="9">
        <v>2079935.15</v>
      </c>
      <c r="S440" s="33"/>
      <c r="T440" s="9">
        <v>1932883.73</v>
      </c>
      <c r="U440" s="10">
        <v>-7.07</v>
      </c>
      <c r="V440" s="10" t="str">
        <f t="shared" si="82"/>
        <v>Below</v>
      </c>
      <c r="W440" s="11" t="str" cm="1">
        <f t="array" ref="W440">NumberToWords(T440)</f>
        <v>Nineteen Lakh Thirty Two Thousand Eight Hundred Eighty Three Rupees and Seventy Three Paise Only</v>
      </c>
      <c r="X440" s="10" t="str">
        <f t="shared" si="83"/>
        <v>Division</v>
      </c>
      <c r="Z440" s="9">
        <f t="shared" si="84"/>
        <v>1932883.73</v>
      </c>
      <c r="AA440" s="5" t="s">
        <v>412</v>
      </c>
      <c r="AB440" s="8">
        <f>_xlfn.XLOOKUP(AA440, 'Agency List'!A$2:A$145, 'Agency List'!B$2:B$145, "Not Found")</f>
        <v>0</v>
      </c>
      <c r="AC440" s="8" t="str">
        <f>_xlfn.XLOOKUP(AA440, 'Agency List'!A$2:A$145, 'Agency List'!C$2:C$145, "Not Found")</f>
        <v xml:space="preserve">At Village Chardika, Ta. Mahuva, Dist. Bhavnagar - </v>
      </c>
      <c r="AD440" s="8">
        <f>_xlfn.XLOOKUP(AA440, 'Agency List'!A$2:A$145, 'Agency List'!D$2:D$145, "Not Found")</f>
        <v>9537101694</v>
      </c>
      <c r="AE440" s="7"/>
      <c r="AF440" s="5" t="s">
        <v>1031</v>
      </c>
      <c r="AG440" s="5" t="str">
        <f t="shared" si="85"/>
        <v>Bandhkam</v>
      </c>
      <c r="AH440" s="55"/>
      <c r="AI440" s="49"/>
      <c r="AJ440" s="20"/>
      <c r="AL440" s="16">
        <v>4</v>
      </c>
      <c r="AM440" s="12">
        <f t="shared" si="86"/>
        <v>97000</v>
      </c>
      <c r="AN440" s="7">
        <f t="shared" si="87"/>
        <v>46593</v>
      </c>
      <c r="AO440" s="12">
        <f t="shared" si="88"/>
        <v>4800</v>
      </c>
      <c r="AP440" s="12">
        <f t="shared" si="89"/>
        <v>0</v>
      </c>
      <c r="AQ440" s="15">
        <f t="shared" si="90"/>
        <v>46178</v>
      </c>
      <c r="AR440" s="7">
        <f t="shared" si="91"/>
        <v>46533</v>
      </c>
      <c r="AS440" s="5">
        <v>1836</v>
      </c>
      <c r="AT440" s="7">
        <v>46020</v>
      </c>
      <c r="AU440" s="5"/>
      <c r="AV440" s="17"/>
      <c r="AW440" s="17"/>
      <c r="AX440" s="5"/>
      <c r="AY440" s="5"/>
      <c r="AZ440" s="13"/>
      <c r="BA440" s="12"/>
      <c r="BB440" s="7"/>
      <c r="BC440" s="14"/>
      <c r="BD440" s="14"/>
      <c r="BF440" s="12"/>
      <c r="BG440" s="14"/>
      <c r="BH440" s="19">
        <v>46023</v>
      </c>
      <c r="BI440" s="5"/>
      <c r="BM440" s="18"/>
      <c r="BN440" s="18"/>
      <c r="BO440" s="18"/>
      <c r="BP440" s="18"/>
      <c r="BQ440" s="5"/>
      <c r="BR440" s="18"/>
      <c r="BS440" s="18"/>
      <c r="BT440" s="35"/>
    </row>
    <row r="441" spans="1:72" ht="43.5" x14ac:dyDescent="0.35">
      <c r="A441" s="5">
        <v>440</v>
      </c>
      <c r="B441" s="5"/>
      <c r="C441" s="5" t="s">
        <v>78</v>
      </c>
      <c r="D441" s="5">
        <v>24</v>
      </c>
      <c r="E441" s="5">
        <v>33</v>
      </c>
      <c r="F441" s="8" t="s">
        <v>995</v>
      </c>
      <c r="G441" s="8"/>
      <c r="H441" s="5" t="s">
        <v>12</v>
      </c>
      <c r="I441" s="5" t="str" cm="1">
        <f t="array" ref="I441">_xlfn.IFS(
  H441="Mahuva", "Mahuva",
  H441="Jesar", "Mahuva",
  H441="Palitana", "Palitana",
  H441="Gariyadhar", "Palitana",
  H441="Talaja", "Talaja",
  H441="Vallabhipur", "Vallabhipur",
  H441="Umrala", "Vallabhipur",
  H441="Shihor", "Shihor",
  H441="Ghogha", "Bhavnagar",
  H441="Bhavnagar", "Bhavnagar"
)</f>
        <v>Mahuva</v>
      </c>
      <c r="J441" s="5" t="s">
        <v>256</v>
      </c>
      <c r="K441" s="5" t="s">
        <v>418</v>
      </c>
      <c r="L441" s="5">
        <v>253573</v>
      </c>
      <c r="M441" s="5">
        <v>1</v>
      </c>
      <c r="N441" s="7">
        <v>46004</v>
      </c>
      <c r="O441" s="7">
        <v>46013</v>
      </c>
      <c r="P441" s="7">
        <v>46014</v>
      </c>
      <c r="Q441" s="7">
        <f t="shared" si="81"/>
        <v>46133</v>
      </c>
      <c r="R441" s="9">
        <v>2880152.67</v>
      </c>
      <c r="S441" s="33"/>
      <c r="T441" s="9">
        <v>2749393.74</v>
      </c>
      <c r="U441" s="10">
        <v>-4.54</v>
      </c>
      <c r="V441" s="10" t="str">
        <f t="shared" si="82"/>
        <v>Below</v>
      </c>
      <c r="W441" s="11" t="str" cm="1">
        <f t="array" ref="W441">NumberToWords(T441)</f>
        <v>Twenty Seven Lakh Forty Nine Thousand Three Hundred Ninety Three Rupees and Seventy Four Paise Only</v>
      </c>
      <c r="X441" s="10" t="str">
        <f t="shared" si="83"/>
        <v>Division</v>
      </c>
      <c r="Z441" s="9">
        <f t="shared" si="84"/>
        <v>2749393.74</v>
      </c>
      <c r="AA441" s="5" t="s">
        <v>168</v>
      </c>
      <c r="AB441" s="8" t="str">
        <f>_xlfn.XLOOKUP(AA441, 'Agency List'!A$2:A$145, 'Agency List'!B$2:B$145, "Not Found")</f>
        <v>JAY DHIRUBHAI BHALIYA</v>
      </c>
      <c r="AC441" s="8" t="str">
        <f>_xlfn.XLOOKUP(AA441, 'Agency List'!A$2:A$145, 'Agency List'!C$2:C$145, "Not Found")</f>
        <v>Moti Jagdhar, Ta. Mahuva, Bhavnagar-364295</v>
      </c>
      <c r="AD441" s="8">
        <v>9909270951</v>
      </c>
      <c r="AE441" s="7"/>
      <c r="AF441" s="5" t="s">
        <v>1031</v>
      </c>
      <c r="AG441" s="5" t="str">
        <f t="shared" si="85"/>
        <v>Karobari</v>
      </c>
      <c r="AH441" s="55"/>
      <c r="AI441" s="49"/>
      <c r="AJ441" s="20"/>
      <c r="AL441" s="16">
        <v>4</v>
      </c>
      <c r="AM441" s="12">
        <f t="shared" si="86"/>
        <v>138000</v>
      </c>
      <c r="AN441" s="7">
        <f t="shared" si="87"/>
        <v>46593</v>
      </c>
      <c r="AO441" s="12">
        <f t="shared" si="88"/>
        <v>6800</v>
      </c>
      <c r="AP441" s="12">
        <f t="shared" si="89"/>
        <v>0</v>
      </c>
      <c r="AQ441" s="15">
        <f t="shared" si="90"/>
        <v>46178</v>
      </c>
      <c r="AR441" s="7">
        <f t="shared" si="91"/>
        <v>46533</v>
      </c>
      <c r="AS441" s="5">
        <v>1837</v>
      </c>
      <c r="AT441" s="7">
        <v>46020</v>
      </c>
      <c r="AU441" s="5"/>
      <c r="AV441" s="17"/>
      <c r="AW441" s="17"/>
      <c r="AX441" s="5"/>
      <c r="AY441" s="5"/>
      <c r="AZ441" s="13"/>
      <c r="BA441" s="12"/>
      <c r="BB441" s="7"/>
      <c r="BC441" s="14"/>
      <c r="BD441" s="14"/>
      <c r="BF441" s="12"/>
      <c r="BG441" s="14"/>
      <c r="BH441" s="19">
        <v>46023</v>
      </c>
      <c r="BI441" s="5"/>
      <c r="BM441" s="18"/>
      <c r="BN441" s="18"/>
      <c r="BO441" s="18"/>
      <c r="BP441" s="18"/>
      <c r="BQ441" s="5"/>
      <c r="BR441" s="18"/>
      <c r="BS441" s="18"/>
      <c r="BT441" s="35"/>
    </row>
    <row r="442" spans="1:72" ht="43.5" x14ac:dyDescent="0.35">
      <c r="A442" s="5">
        <v>441</v>
      </c>
      <c r="B442" s="5"/>
      <c r="C442" s="5" t="s">
        <v>78</v>
      </c>
      <c r="D442" s="5">
        <v>24</v>
      </c>
      <c r="E442" s="5">
        <v>34</v>
      </c>
      <c r="F442" s="8" t="s">
        <v>996</v>
      </c>
      <c r="G442" s="8"/>
      <c r="H442" s="5" t="s">
        <v>12</v>
      </c>
      <c r="I442" s="5" t="str" cm="1">
        <f t="array" ref="I442">_xlfn.IFS(
  H442="Mahuva", "Mahuva",
  H442="Jesar", "Mahuva",
  H442="Palitana", "Palitana",
  H442="Gariyadhar", "Palitana",
  H442="Talaja", "Talaja",
  H442="Vallabhipur", "Vallabhipur",
  H442="Umrala", "Vallabhipur",
  H442="Shihor", "Shihor",
  H442="Ghogha", "Bhavnagar",
  H442="Bhavnagar", "Bhavnagar"
)</f>
        <v>Mahuva</v>
      </c>
      <c r="J442" s="5" t="s">
        <v>256</v>
      </c>
      <c r="K442" s="5" t="s">
        <v>418</v>
      </c>
      <c r="L442" s="5">
        <v>253561</v>
      </c>
      <c r="M442" s="5">
        <v>1</v>
      </c>
      <c r="N442" s="7">
        <v>46004</v>
      </c>
      <c r="O442" s="7">
        <v>46013</v>
      </c>
      <c r="P442" s="7">
        <v>46014</v>
      </c>
      <c r="Q442" s="7">
        <f t="shared" si="81"/>
        <v>46133</v>
      </c>
      <c r="R442" s="9">
        <v>2079935.15</v>
      </c>
      <c r="S442" s="33"/>
      <c r="T442" s="9">
        <v>1928931.86</v>
      </c>
      <c r="U442" s="10">
        <v>-7.26</v>
      </c>
      <c r="V442" s="10" t="str">
        <f t="shared" si="82"/>
        <v>Below</v>
      </c>
      <c r="W442" s="11" t="str" cm="1">
        <f t="array" ref="W442">NumberToWords(T442)</f>
        <v>Nineteen Lakh Twenty Eight Thousand Nine Hundred Thirty One Rupees and Eighty Six Paise Only</v>
      </c>
      <c r="X442" s="10" t="str">
        <f t="shared" si="83"/>
        <v>Division</v>
      </c>
      <c r="Z442" s="9">
        <f t="shared" si="84"/>
        <v>1928931.86</v>
      </c>
      <c r="AA442" s="5" t="s">
        <v>956</v>
      </c>
      <c r="AB442" s="8">
        <f>_xlfn.XLOOKUP(AA442, 'Agency List'!A$2:A$145, 'Agency List'!B$2:B$145, "Not Found")</f>
        <v>0</v>
      </c>
      <c r="AC442" s="8" t="str">
        <f>_xlfn.XLOOKUP(AA442, 'Agency List'!A$2:A$145, 'Agency List'!C$2:C$145, "Not Found")</f>
        <v>At. Mitiyala, Main Road, Near Bus Station, Tal. Jafrabad, Dist. Amreli - 365540</v>
      </c>
      <c r="AD442" s="8">
        <f>_xlfn.XLOOKUP(AA442, 'Agency List'!A$2:A$145, 'Agency List'!D$2:D$145, "Not Found")</f>
        <v>7600355044</v>
      </c>
      <c r="AE442" s="7"/>
      <c r="AF442" s="5" t="s">
        <v>1031</v>
      </c>
      <c r="AG442" s="5" t="str">
        <f t="shared" si="85"/>
        <v>Bandhkam</v>
      </c>
      <c r="AH442" s="55"/>
      <c r="AI442" s="49"/>
      <c r="AJ442" s="20"/>
      <c r="AL442" s="16">
        <v>4</v>
      </c>
      <c r="AM442" s="12">
        <f t="shared" si="86"/>
        <v>97000</v>
      </c>
      <c r="AN442" s="7">
        <f t="shared" si="87"/>
        <v>46612</v>
      </c>
      <c r="AO442" s="12">
        <f t="shared" si="88"/>
        <v>4800</v>
      </c>
      <c r="AP442" s="12">
        <f t="shared" si="89"/>
        <v>0</v>
      </c>
      <c r="AQ442" s="15">
        <f t="shared" si="90"/>
        <v>46197</v>
      </c>
      <c r="AR442" s="7">
        <f t="shared" si="91"/>
        <v>46552</v>
      </c>
      <c r="AS442" s="5">
        <v>1838</v>
      </c>
      <c r="AT442" s="7">
        <v>46020</v>
      </c>
      <c r="AU442" s="5" t="s">
        <v>78</v>
      </c>
      <c r="AV442" s="17">
        <v>269</v>
      </c>
      <c r="AW442" s="37">
        <v>46042</v>
      </c>
      <c r="AX442" s="5" t="s">
        <v>355</v>
      </c>
      <c r="AY442" s="5" t="s">
        <v>369</v>
      </c>
      <c r="AZ442" s="13">
        <v>44803464850</v>
      </c>
      <c r="BA442" s="12">
        <v>97000</v>
      </c>
      <c r="BB442" s="7">
        <v>46027</v>
      </c>
      <c r="BC442" s="14"/>
      <c r="BD442" s="14"/>
      <c r="BF442" s="12"/>
      <c r="BG442" s="14"/>
      <c r="BH442" s="19">
        <v>46042</v>
      </c>
      <c r="BI442" s="5">
        <v>63</v>
      </c>
      <c r="BJ442" s="19">
        <v>46042</v>
      </c>
      <c r="BM442" s="18"/>
      <c r="BN442" s="18"/>
      <c r="BO442" s="18"/>
      <c r="BP442" s="18"/>
      <c r="BQ442" s="5"/>
      <c r="BR442" s="18"/>
      <c r="BS442" s="18"/>
      <c r="BT442" s="35"/>
    </row>
    <row r="443" spans="1:72" ht="43.5" x14ac:dyDescent="0.35">
      <c r="A443" s="5">
        <v>442</v>
      </c>
      <c r="B443" s="5"/>
      <c r="C443" s="5" t="s">
        <v>78</v>
      </c>
      <c r="D443" s="5">
        <v>24</v>
      </c>
      <c r="E443" s="5">
        <v>35</v>
      </c>
      <c r="F443" s="8" t="s">
        <v>1032</v>
      </c>
      <c r="G443" s="8"/>
      <c r="H443" s="5" t="s">
        <v>12</v>
      </c>
      <c r="I443" s="5" t="str" cm="1">
        <f t="array" ref="I443">_xlfn.IFS(
  H443="Mahuva", "Mahuva",
  H443="Jesar", "Mahuva",
  H443="Palitana", "Palitana",
  H443="Gariyadhar", "Palitana",
  H443="Talaja", "Talaja",
  H443="Vallabhipur", "Vallabhipur",
  H443="Umrala", "Vallabhipur",
  H443="Shihor", "Shihor",
  H443="Ghogha", "Bhavnagar",
  H443="Bhavnagar", "Bhavnagar"
)</f>
        <v>Mahuva</v>
      </c>
      <c r="J443" s="5" t="s">
        <v>256</v>
      </c>
      <c r="K443" s="5" t="s">
        <v>418</v>
      </c>
      <c r="L443" s="5">
        <v>253578</v>
      </c>
      <c r="M443" s="5">
        <v>1</v>
      </c>
      <c r="N443" s="7">
        <v>46004</v>
      </c>
      <c r="O443" s="7">
        <v>46013</v>
      </c>
      <c r="P443" s="7">
        <v>46014</v>
      </c>
      <c r="Q443" s="7">
        <f t="shared" si="81"/>
        <v>46133</v>
      </c>
      <c r="R443" s="9">
        <v>3343492.09</v>
      </c>
      <c r="S443" s="33"/>
      <c r="T443" s="9">
        <v>2979051.45</v>
      </c>
      <c r="U443" s="10">
        <v>-10.9</v>
      </c>
      <c r="V443" s="10" t="str">
        <f t="shared" si="82"/>
        <v>Below</v>
      </c>
      <c r="W443" s="11" t="str" cm="1">
        <f t="array" ref="W443">NumberToWords(T443)</f>
        <v>Twenty Nine Lakh Seventy Nine Thousand Fifty One Rupees and Forty Five Paise Only</v>
      </c>
      <c r="X443" s="10" t="str">
        <f t="shared" si="83"/>
        <v>Division</v>
      </c>
      <c r="Z443" s="9">
        <f t="shared" si="84"/>
        <v>2979051.45</v>
      </c>
      <c r="AA443" s="5" t="s">
        <v>962</v>
      </c>
      <c r="AB443" s="8">
        <f>_xlfn.XLOOKUP(AA443, 'Agency List'!A$2:A$145, 'Agency List'!B$2:B$145, "Not Found")</f>
        <v>0</v>
      </c>
      <c r="AC443" s="8" t="str">
        <f>_xlfn.XLOOKUP(AA443, 'Agency List'!A$2:A$145, 'Agency List'!C$2:C$145, "Not Found")</f>
        <v>Swaminarayan Temple, Ward No. 1, 658/1, Bherai Road, Rajula, Distt. Amreli - 365560</v>
      </c>
      <c r="AD443" s="8">
        <f>_xlfn.XLOOKUP(AA443, 'Agency List'!A$2:A$145, 'Agency List'!D$2:D$145, "Not Found")</f>
        <v>9879668243</v>
      </c>
      <c r="AE443" s="7"/>
      <c r="AF443" s="5" t="s">
        <v>1031</v>
      </c>
      <c r="AG443" s="5" t="str">
        <f t="shared" si="85"/>
        <v>Karobari</v>
      </c>
      <c r="AH443" s="55"/>
      <c r="AI443" s="49"/>
      <c r="AJ443" s="20"/>
      <c r="AL443" s="16">
        <v>4</v>
      </c>
      <c r="AM443" s="12">
        <f t="shared" si="86"/>
        <v>149000</v>
      </c>
      <c r="AN443" s="7">
        <f t="shared" si="87"/>
        <v>46593</v>
      </c>
      <c r="AO443" s="12">
        <f t="shared" si="88"/>
        <v>7700</v>
      </c>
      <c r="AP443" s="12">
        <f t="shared" si="89"/>
        <v>7000</v>
      </c>
      <c r="AQ443" s="15">
        <f t="shared" si="90"/>
        <v>46178</v>
      </c>
      <c r="AR443" s="7">
        <f t="shared" si="91"/>
        <v>46533</v>
      </c>
      <c r="AS443" s="5">
        <v>1839</v>
      </c>
      <c r="AT443" s="7">
        <v>46020</v>
      </c>
      <c r="AU443" s="5"/>
      <c r="AV443" s="17"/>
      <c r="AW443" s="17"/>
      <c r="AX443" s="5"/>
      <c r="AY443" s="5"/>
      <c r="AZ443" s="13"/>
      <c r="BA443" s="12"/>
      <c r="BB443" s="7"/>
      <c r="BC443" s="14"/>
      <c r="BD443" s="14"/>
      <c r="BF443" s="12"/>
      <c r="BG443" s="14"/>
      <c r="BH443" s="19">
        <v>46023</v>
      </c>
      <c r="BI443" s="5"/>
      <c r="BM443" s="18"/>
      <c r="BN443" s="18"/>
      <c r="BO443" s="18"/>
      <c r="BP443" s="18"/>
      <c r="BQ443" s="5"/>
      <c r="BR443" s="18"/>
      <c r="BS443" s="18"/>
      <c r="BT443" s="35"/>
    </row>
    <row r="444" spans="1:72" ht="43.5" x14ac:dyDescent="0.35">
      <c r="A444" s="5">
        <v>443</v>
      </c>
      <c r="B444" s="5"/>
      <c r="C444" s="5" t="s">
        <v>78</v>
      </c>
      <c r="D444" s="5">
        <v>24</v>
      </c>
      <c r="E444" s="5">
        <v>36</v>
      </c>
      <c r="F444" s="8" t="s">
        <v>997</v>
      </c>
      <c r="G444" s="8"/>
      <c r="H444" s="5" t="s">
        <v>12</v>
      </c>
      <c r="I444" s="5" t="str" cm="1">
        <f t="array" ref="I444">_xlfn.IFS(
  H444="Mahuva", "Mahuva",
  H444="Jesar", "Mahuva",
  H444="Palitana", "Palitana",
  H444="Gariyadhar", "Palitana",
  H444="Talaja", "Talaja",
  H444="Vallabhipur", "Vallabhipur",
  H444="Umrala", "Vallabhipur",
  H444="Shihor", "Shihor",
  H444="Ghogha", "Bhavnagar",
  H444="Bhavnagar", "Bhavnagar"
)</f>
        <v>Mahuva</v>
      </c>
      <c r="J444" s="5" t="s">
        <v>256</v>
      </c>
      <c r="K444" s="5" t="s">
        <v>418</v>
      </c>
      <c r="L444" s="5">
        <v>253562</v>
      </c>
      <c r="M444" s="5">
        <v>1</v>
      </c>
      <c r="N444" s="7">
        <v>46004</v>
      </c>
      <c r="O444" s="7">
        <v>46013</v>
      </c>
      <c r="P444" s="7">
        <v>46014</v>
      </c>
      <c r="Q444" s="7">
        <f t="shared" si="81"/>
        <v>46133</v>
      </c>
      <c r="R444" s="9">
        <v>2079935.15</v>
      </c>
      <c r="S444" s="33"/>
      <c r="T444" s="9">
        <v>1896276.88</v>
      </c>
      <c r="U444" s="10">
        <v>-8.83</v>
      </c>
      <c r="V444" s="10" t="str">
        <f t="shared" si="82"/>
        <v>Below</v>
      </c>
      <c r="W444" s="11" t="str" cm="1">
        <f t="array" ref="W444">NumberToWords(T444)</f>
        <v>Eighteen Lakh Ninety Six Thousand Two Hundred Seventy Six Rupees and Eighty Eight Paise Only</v>
      </c>
      <c r="X444" s="10" t="str">
        <f t="shared" si="83"/>
        <v>Division</v>
      </c>
      <c r="Z444" s="9">
        <f t="shared" si="84"/>
        <v>1896276.88</v>
      </c>
      <c r="AA444" s="5" t="s">
        <v>870</v>
      </c>
      <c r="AB444" s="8" t="str">
        <f>_xlfn.XLOOKUP(AA444, 'Agency List'!A$2:A$145, 'Agency List'!B$2:B$145, "Not Found")</f>
        <v>Alpeshkumar Ranabhai Kalotara</v>
      </c>
      <c r="AC444" s="8" t="str">
        <f>_xlfn.XLOOKUP(AA444, 'Agency List'!A$2:A$145, 'Agency List'!C$2:C$145, "Not Found")</f>
        <v>At. Chhapariyali, Bagdana Road, Tal. Jesar, Dist. Bhavnagar - 364510</v>
      </c>
      <c r="AD444" s="8">
        <f>_xlfn.XLOOKUP(AA444, 'Agency List'!A$2:A$145, 'Agency List'!D$2:D$145, "Not Found")</f>
        <v>9773408044</v>
      </c>
      <c r="AE444" s="7"/>
      <c r="AF444" s="5" t="s">
        <v>1031</v>
      </c>
      <c r="AG444" s="5" t="str">
        <f t="shared" si="85"/>
        <v>Bandhkam</v>
      </c>
      <c r="AH444" s="55"/>
      <c r="AI444" s="49"/>
      <c r="AJ444" s="20"/>
      <c r="AL444" s="16">
        <v>4</v>
      </c>
      <c r="AM444" s="12">
        <f t="shared" si="86"/>
        <v>95000</v>
      </c>
      <c r="AN444" s="7">
        <f t="shared" si="87"/>
        <v>46593</v>
      </c>
      <c r="AO444" s="12">
        <f t="shared" si="88"/>
        <v>4700</v>
      </c>
      <c r="AP444" s="12">
        <f t="shared" si="89"/>
        <v>0</v>
      </c>
      <c r="AQ444" s="15">
        <f t="shared" si="90"/>
        <v>46178</v>
      </c>
      <c r="AR444" s="7">
        <f t="shared" si="91"/>
        <v>46533</v>
      </c>
      <c r="AS444" s="5">
        <v>1840</v>
      </c>
      <c r="AT444" s="7">
        <v>46020</v>
      </c>
      <c r="AU444" s="5"/>
      <c r="AV444" s="17"/>
      <c r="AW444" s="17"/>
      <c r="AX444" s="5"/>
      <c r="AY444" s="5"/>
      <c r="AZ444" s="13"/>
      <c r="BA444" s="12"/>
      <c r="BB444" s="7"/>
      <c r="BC444" s="14"/>
      <c r="BD444" s="14"/>
      <c r="BF444" s="12"/>
      <c r="BG444" s="14"/>
      <c r="BH444" s="19">
        <v>46023</v>
      </c>
      <c r="BI444" s="5"/>
      <c r="BM444" s="18"/>
      <c r="BN444" s="18"/>
      <c r="BO444" s="18"/>
      <c r="BP444" s="18"/>
      <c r="BQ444" s="5"/>
      <c r="BR444" s="18"/>
      <c r="BS444" s="18"/>
      <c r="BT444" s="35"/>
    </row>
    <row r="445" spans="1:72" ht="43.5" x14ac:dyDescent="0.35">
      <c r="A445" s="5">
        <v>444</v>
      </c>
      <c r="B445" s="5"/>
      <c r="C445" s="5" t="s">
        <v>78</v>
      </c>
      <c r="D445" s="5">
        <v>24</v>
      </c>
      <c r="E445" s="5">
        <v>37</v>
      </c>
      <c r="F445" s="8" t="s">
        <v>998</v>
      </c>
      <c r="G445" s="8"/>
      <c r="H445" s="5" t="s">
        <v>12</v>
      </c>
      <c r="I445" s="5" t="str" cm="1">
        <f t="array" ref="I445">_xlfn.IFS(
  H445="Mahuva", "Mahuva",
  H445="Jesar", "Mahuva",
  H445="Palitana", "Palitana",
  H445="Gariyadhar", "Palitana",
  H445="Talaja", "Talaja",
  H445="Vallabhipur", "Vallabhipur",
  H445="Umrala", "Vallabhipur",
  H445="Shihor", "Shihor",
  H445="Ghogha", "Bhavnagar",
  H445="Bhavnagar", "Bhavnagar"
)</f>
        <v>Mahuva</v>
      </c>
      <c r="J445" s="5" t="s">
        <v>256</v>
      </c>
      <c r="K445" s="5" t="s">
        <v>418</v>
      </c>
      <c r="L445" s="5">
        <v>253574</v>
      </c>
      <c r="M445" s="5">
        <v>1</v>
      </c>
      <c r="N445" s="7">
        <v>46004</v>
      </c>
      <c r="O445" s="7">
        <v>46013</v>
      </c>
      <c r="P445" s="7">
        <v>46014</v>
      </c>
      <c r="Q445" s="7">
        <f t="shared" si="81"/>
        <v>46133</v>
      </c>
      <c r="R445" s="9">
        <v>2880152.67</v>
      </c>
      <c r="S445" s="33"/>
      <c r="T445" s="9">
        <v>2718288.09</v>
      </c>
      <c r="U445" s="10">
        <v>-5.62</v>
      </c>
      <c r="V445" s="10" t="str">
        <f t="shared" si="82"/>
        <v>Below</v>
      </c>
      <c r="W445" s="11" t="str" cm="1">
        <f t="array" ref="W445">NumberToWords(T445)</f>
        <v>Twenty Seven Lakh Eighteen Thousand Two Hundred Eighty Eight Rupees and Nine Paise Only</v>
      </c>
      <c r="X445" s="10" t="str">
        <f t="shared" si="83"/>
        <v>Division</v>
      </c>
      <c r="Z445" s="9">
        <f t="shared" si="84"/>
        <v>2718288.09</v>
      </c>
      <c r="AA445" s="5" t="s">
        <v>399</v>
      </c>
      <c r="AB445" s="8" t="str">
        <f>_xlfn.XLOOKUP(AA445, 'Agency List'!A$2:A$145, 'Agency List'!B$2:B$145, "Not Found")</f>
        <v>Pratapbhai Lakhubhai Beparia</v>
      </c>
      <c r="AC445" s="8" t="str">
        <f>_xlfn.XLOOKUP(AA445, 'Agency List'!A$2:A$145, 'Agency List'!C$2:C$145, "Not Found")</f>
        <v>At Lothpur, Ta. Jafarabad, Dist. Amreli - 365540</v>
      </c>
      <c r="AD445" s="8">
        <f>_xlfn.XLOOKUP(AA445, 'Agency List'!A$2:A$145, 'Agency List'!D$2:D$145, "Not Found")</f>
        <v>9727987777</v>
      </c>
      <c r="AE445" s="7"/>
      <c r="AF445" s="5" t="s">
        <v>1031</v>
      </c>
      <c r="AG445" s="5" t="str">
        <f t="shared" si="85"/>
        <v>Karobari</v>
      </c>
      <c r="AH445" s="55"/>
      <c r="AI445" s="49"/>
      <c r="AJ445" s="20"/>
      <c r="AL445" s="16">
        <v>4</v>
      </c>
      <c r="AM445" s="12">
        <f t="shared" si="86"/>
        <v>136000</v>
      </c>
      <c r="AN445" s="7">
        <f t="shared" si="87"/>
        <v>46593</v>
      </c>
      <c r="AO445" s="12">
        <f t="shared" si="88"/>
        <v>6700</v>
      </c>
      <c r="AP445" s="12">
        <f t="shared" si="89"/>
        <v>0</v>
      </c>
      <c r="AQ445" s="15">
        <f t="shared" si="90"/>
        <v>46178</v>
      </c>
      <c r="AR445" s="7">
        <f t="shared" si="91"/>
        <v>46533</v>
      </c>
      <c r="AS445" s="5">
        <v>1841</v>
      </c>
      <c r="AT445" s="7">
        <v>46020</v>
      </c>
      <c r="AU445" s="5"/>
      <c r="AV445" s="17"/>
      <c r="AW445" s="17"/>
      <c r="AX445" s="5"/>
      <c r="AY445" s="5"/>
      <c r="AZ445" s="13"/>
      <c r="BA445" s="12"/>
      <c r="BB445" s="7"/>
      <c r="BC445" s="14"/>
      <c r="BD445" s="14"/>
      <c r="BF445" s="12"/>
      <c r="BG445" s="14"/>
      <c r="BH445" s="19">
        <v>46023</v>
      </c>
      <c r="BI445" s="5"/>
      <c r="BM445" s="18"/>
      <c r="BN445" s="18"/>
      <c r="BO445" s="18"/>
      <c r="BP445" s="18"/>
      <c r="BQ445" s="5"/>
      <c r="BR445" s="18"/>
      <c r="BS445" s="18"/>
      <c r="BT445" s="35"/>
    </row>
    <row r="446" spans="1:72" ht="58" x14ac:dyDescent="0.35">
      <c r="A446" s="5">
        <v>445</v>
      </c>
      <c r="B446" s="5"/>
      <c r="C446" s="5" t="s">
        <v>78</v>
      </c>
      <c r="D446" s="5">
        <v>24</v>
      </c>
      <c r="E446" s="5">
        <v>38</v>
      </c>
      <c r="F446" s="8" t="s">
        <v>999</v>
      </c>
      <c r="G446" s="8"/>
      <c r="H446" s="5" t="s">
        <v>12</v>
      </c>
      <c r="I446" s="5" t="str" cm="1">
        <f t="array" ref="I446">_xlfn.IFS(
  H446="Mahuva", "Mahuva",
  H446="Jesar", "Mahuva",
  H446="Palitana", "Palitana",
  H446="Gariyadhar", "Palitana",
  H446="Talaja", "Talaja",
  H446="Vallabhipur", "Vallabhipur",
  H446="Umrala", "Vallabhipur",
  H446="Shihor", "Shihor",
  H446="Ghogha", "Bhavnagar",
  H446="Bhavnagar", "Bhavnagar"
)</f>
        <v>Mahuva</v>
      </c>
      <c r="J446" s="5" t="s">
        <v>256</v>
      </c>
      <c r="K446" s="5" t="s">
        <v>418</v>
      </c>
      <c r="L446" s="5">
        <v>253563</v>
      </c>
      <c r="M446" s="5">
        <v>1</v>
      </c>
      <c r="N446" s="7">
        <v>46004</v>
      </c>
      <c r="O446" s="7">
        <v>46013</v>
      </c>
      <c r="P446" s="7">
        <v>46014</v>
      </c>
      <c r="Q446" s="7">
        <f t="shared" si="81"/>
        <v>46133</v>
      </c>
      <c r="R446" s="9">
        <v>2079935.15</v>
      </c>
      <c r="S446" s="33"/>
      <c r="T446" s="9">
        <v>1986130.07</v>
      </c>
      <c r="U446" s="10">
        <v>-4.51</v>
      </c>
      <c r="V446" s="10" t="str">
        <f t="shared" si="82"/>
        <v>Below</v>
      </c>
      <c r="W446" s="11" t="str" cm="1">
        <f t="array" ref="W446">NumberToWords(T446)</f>
        <v>Nineteen Lakh Eighty Six Thousand One Hundred Thirty Rupees and Seven Paise Only</v>
      </c>
      <c r="X446" s="10" t="str">
        <f t="shared" si="83"/>
        <v>Division</v>
      </c>
      <c r="Z446" s="9">
        <f t="shared" si="84"/>
        <v>1986130.07</v>
      </c>
      <c r="AA446" s="5" t="s">
        <v>281</v>
      </c>
      <c r="AB446" s="8" t="str">
        <f>_xlfn.XLOOKUP(AA446, 'Agency List'!A$2:A$145, 'Agency List'!B$2:B$145, "Not Found")</f>
        <v>UDAYBHAI RAMKUBHAI LUNSAR</v>
      </c>
      <c r="AC446" s="8" t="str">
        <f>_xlfn.XLOOKUP(AA446, 'Agency List'!A$2:A$145, 'Agency List'!C$2:C$145, "Not Found")</f>
        <v>Shop No. 5, First Floor, Nilkanth Arcade, Opp. Arjun Tokiz, Palitana Road, Gariyadhar- 364505</v>
      </c>
      <c r="AD446" s="8">
        <f>_xlfn.XLOOKUP(AA446, 'Agency List'!A$2:A$145, 'Agency List'!D$2:D$145, "Not Found")</f>
        <v>9824226646</v>
      </c>
      <c r="AE446" s="7"/>
      <c r="AF446" s="5" t="s">
        <v>1031</v>
      </c>
      <c r="AG446" s="5" t="str">
        <f t="shared" si="85"/>
        <v>Bandhkam</v>
      </c>
      <c r="AH446" s="55"/>
      <c r="AI446" s="49"/>
      <c r="AJ446" s="20"/>
      <c r="AL446" s="16">
        <v>4</v>
      </c>
      <c r="AM446" s="12">
        <f t="shared" si="86"/>
        <v>100000</v>
      </c>
      <c r="AN446" s="7">
        <f t="shared" si="87"/>
        <v>46593</v>
      </c>
      <c r="AO446" s="12">
        <f t="shared" si="88"/>
        <v>4900</v>
      </c>
      <c r="AP446" s="12">
        <f t="shared" si="89"/>
        <v>0</v>
      </c>
      <c r="AQ446" s="15">
        <f t="shared" si="90"/>
        <v>46178</v>
      </c>
      <c r="AR446" s="7">
        <f t="shared" si="91"/>
        <v>46533</v>
      </c>
      <c r="AS446" s="5">
        <v>1842</v>
      </c>
      <c r="AT446" s="7">
        <v>46020</v>
      </c>
      <c r="AU446" s="5"/>
      <c r="AV446" s="17"/>
      <c r="AW446" s="17"/>
      <c r="AX446" s="5"/>
      <c r="AY446" s="5"/>
      <c r="AZ446" s="13"/>
      <c r="BA446" s="12"/>
      <c r="BB446" s="7"/>
      <c r="BC446" s="14"/>
      <c r="BD446" s="14"/>
      <c r="BF446" s="12"/>
      <c r="BG446" s="14"/>
      <c r="BH446" s="19">
        <v>46023</v>
      </c>
      <c r="BI446" s="5"/>
      <c r="BM446" s="18"/>
      <c r="BN446" s="18"/>
      <c r="BO446" s="18"/>
      <c r="BP446" s="18"/>
      <c r="BQ446" s="5"/>
      <c r="BR446" s="18"/>
      <c r="BS446" s="18"/>
      <c r="BT446" s="35"/>
    </row>
    <row r="447" spans="1:72" ht="43.5" x14ac:dyDescent="0.35">
      <c r="A447" s="5">
        <v>446</v>
      </c>
      <c r="B447" s="5"/>
      <c r="C447" s="5" t="s">
        <v>78</v>
      </c>
      <c r="D447" s="5">
        <v>24</v>
      </c>
      <c r="E447" s="5">
        <v>39</v>
      </c>
      <c r="F447" s="8" t="s">
        <v>1036</v>
      </c>
      <c r="G447" s="8"/>
      <c r="H447" s="5" t="s">
        <v>12</v>
      </c>
      <c r="I447" s="5" t="str" cm="1">
        <f t="array" ref="I447">_xlfn.IFS(
  H447="Mahuva", "Mahuva",
  H447="Jesar", "Mahuva",
  H447="Palitana", "Palitana",
  H447="Gariyadhar", "Palitana",
  H447="Talaja", "Talaja",
  H447="Vallabhipur", "Vallabhipur",
  H447="Umrala", "Vallabhipur",
  H447="Shihor", "Shihor",
  H447="Ghogha", "Bhavnagar",
  H447="Bhavnagar", "Bhavnagar"
)</f>
        <v>Mahuva</v>
      </c>
      <c r="J447" s="5" t="s">
        <v>256</v>
      </c>
      <c r="K447" s="5" t="s">
        <v>418</v>
      </c>
      <c r="L447" s="5">
        <v>253575</v>
      </c>
      <c r="M447" s="5">
        <v>1</v>
      </c>
      <c r="N447" s="7">
        <v>46004</v>
      </c>
      <c r="O447" s="7">
        <v>46013</v>
      </c>
      <c r="P447" s="7">
        <v>46014</v>
      </c>
      <c r="Q447" s="7">
        <f t="shared" si="81"/>
        <v>46133</v>
      </c>
      <c r="R447" s="9">
        <v>2880152.67</v>
      </c>
      <c r="S447" s="33"/>
      <c r="T447" s="9">
        <v>2678541.98</v>
      </c>
      <c r="U447" s="10">
        <v>-7</v>
      </c>
      <c r="V447" s="10" t="str">
        <f t="shared" si="82"/>
        <v>Below</v>
      </c>
      <c r="W447" s="11" t="str" cm="1">
        <f t="array" ref="W447">NumberToWords(T447)</f>
        <v>Twenty Six Lakh Seventy Eight Thousand Five Hundred Forty One Rupees and Ninety Eight Paise Only</v>
      </c>
      <c r="X447" s="10" t="str">
        <f t="shared" si="83"/>
        <v>Division</v>
      </c>
      <c r="Z447" s="9">
        <f t="shared" si="84"/>
        <v>2678541.98</v>
      </c>
      <c r="AA447" s="5" t="s">
        <v>956</v>
      </c>
      <c r="AB447" s="8">
        <f>_xlfn.XLOOKUP(AA447, 'Agency List'!A$2:A$145, 'Agency List'!B$2:B$145, "Not Found")</f>
        <v>0</v>
      </c>
      <c r="AC447" s="8" t="str">
        <f>_xlfn.XLOOKUP(AA447, 'Agency List'!A$2:A$145, 'Agency List'!C$2:C$145, "Not Found")</f>
        <v>At. Mitiyala, Main Road, Near Bus Station, Tal. Jafrabad, Dist. Amreli - 365540</v>
      </c>
      <c r="AD447" s="8">
        <f>_xlfn.XLOOKUP(AA447, 'Agency List'!A$2:A$145, 'Agency List'!D$2:D$145, "Not Found")</f>
        <v>7600355044</v>
      </c>
      <c r="AE447" s="7"/>
      <c r="AF447" s="5" t="s">
        <v>1031</v>
      </c>
      <c r="AG447" s="5" t="str">
        <f t="shared" si="85"/>
        <v>Karobari</v>
      </c>
      <c r="AH447" s="55"/>
      <c r="AI447" s="49"/>
      <c r="AJ447" s="20"/>
      <c r="AL447" s="16">
        <v>4</v>
      </c>
      <c r="AM447" s="12">
        <f t="shared" si="86"/>
        <v>134000</v>
      </c>
      <c r="AN447" s="7">
        <f t="shared" si="87"/>
        <v>46622</v>
      </c>
      <c r="AO447" s="12">
        <f t="shared" si="88"/>
        <v>6600</v>
      </c>
      <c r="AP447" s="12">
        <f t="shared" si="89"/>
        <v>0</v>
      </c>
      <c r="AQ447" s="15">
        <f t="shared" si="90"/>
        <v>46207</v>
      </c>
      <c r="AR447" s="7">
        <f t="shared" si="91"/>
        <v>46562</v>
      </c>
      <c r="AS447" s="5">
        <v>1843</v>
      </c>
      <c r="AT447" s="7">
        <v>46020</v>
      </c>
      <c r="AU447" s="5" t="s">
        <v>78</v>
      </c>
      <c r="AV447" s="17">
        <v>294</v>
      </c>
      <c r="AW447" s="37">
        <v>46052</v>
      </c>
      <c r="AX447" s="5" t="s">
        <v>355</v>
      </c>
      <c r="AY447" s="5" t="s">
        <v>369</v>
      </c>
      <c r="AZ447" s="13">
        <v>44803435342</v>
      </c>
      <c r="BA447" s="12">
        <v>134000</v>
      </c>
      <c r="BB447" s="7">
        <v>46027</v>
      </c>
      <c r="BC447" s="14"/>
      <c r="BD447" s="14"/>
      <c r="BF447" s="12"/>
      <c r="BG447" s="14"/>
      <c r="BH447" s="19">
        <v>46052</v>
      </c>
      <c r="BI447" s="5">
        <v>105</v>
      </c>
      <c r="BJ447" s="19">
        <v>46052</v>
      </c>
      <c r="BM447" s="18"/>
      <c r="BN447" s="18"/>
      <c r="BO447" s="18"/>
      <c r="BP447" s="18"/>
      <c r="BQ447" s="5"/>
      <c r="BR447" s="18"/>
      <c r="BS447" s="18"/>
      <c r="BT447" s="35"/>
    </row>
    <row r="448" spans="1:72" ht="43.5" x14ac:dyDescent="0.35">
      <c r="A448" s="5">
        <v>447</v>
      </c>
      <c r="B448" s="5"/>
      <c r="C448" s="5" t="s">
        <v>78</v>
      </c>
      <c r="D448" s="5">
        <v>24</v>
      </c>
      <c r="E448" s="5">
        <v>40</v>
      </c>
      <c r="F448" s="8" t="s">
        <v>1000</v>
      </c>
      <c r="G448" s="8"/>
      <c r="H448" s="5" t="s">
        <v>12</v>
      </c>
      <c r="I448" s="5" t="str" cm="1">
        <f t="array" ref="I448">_xlfn.IFS(
  H448="Mahuva", "Mahuva",
  H448="Jesar", "Mahuva",
  H448="Palitana", "Palitana",
  H448="Gariyadhar", "Palitana",
  H448="Talaja", "Talaja",
  H448="Vallabhipur", "Vallabhipur",
  H448="Umrala", "Vallabhipur",
  H448="Shihor", "Shihor",
  H448="Ghogha", "Bhavnagar",
  H448="Bhavnagar", "Bhavnagar"
)</f>
        <v>Mahuva</v>
      </c>
      <c r="J448" s="5" t="s">
        <v>256</v>
      </c>
      <c r="K448" s="5" t="s">
        <v>418</v>
      </c>
      <c r="L448" s="5">
        <v>253564</v>
      </c>
      <c r="M448" s="5">
        <v>1</v>
      </c>
      <c r="N448" s="7">
        <v>46004</v>
      </c>
      <c r="O448" s="7">
        <v>46013</v>
      </c>
      <c r="P448" s="7">
        <v>46014</v>
      </c>
      <c r="Q448" s="7">
        <f t="shared" si="81"/>
        <v>46133</v>
      </c>
      <c r="R448" s="9">
        <v>2079935.15</v>
      </c>
      <c r="S448" s="33"/>
      <c r="T448" s="9">
        <v>1941411.47</v>
      </c>
      <c r="U448" s="10">
        <v>-6.66</v>
      </c>
      <c r="V448" s="10" t="str">
        <f t="shared" si="82"/>
        <v>Below</v>
      </c>
      <c r="W448" s="11" t="str" cm="1">
        <f t="array" ref="W448">NumberToWords(T448)</f>
        <v>Nineteen Lakh Forty One Thousand Four Hundred Eleven Rupees and Forty Seven Paise Only</v>
      </c>
      <c r="X448" s="10" t="str">
        <f t="shared" si="83"/>
        <v>Division</v>
      </c>
      <c r="Z448" s="9">
        <f t="shared" si="84"/>
        <v>1941411.47</v>
      </c>
      <c r="AA448" s="5" t="s">
        <v>279</v>
      </c>
      <c r="AB448" s="8" t="str">
        <f>_xlfn.XLOOKUP(AA448, 'Agency List'!A$2:A$145, 'Agency List'!B$2:B$145, "Not Found")</f>
        <v>ALIGBHAI LAKHUBHAI BARAL</v>
      </c>
      <c r="AC448" s="8" t="str">
        <f>_xlfn.XLOOKUP(AA448, 'Agency List'!A$2:A$145, 'Agency List'!C$2:C$145, "Not Found")</f>
        <v>At Bhandariya, Ta. Palitana, Dist. Bhavnagar</v>
      </c>
      <c r="AD448" s="8">
        <f>_xlfn.XLOOKUP(AA448, 'Agency List'!A$2:A$145, 'Agency List'!D$2:D$145, "Not Found")</f>
        <v>9828109453</v>
      </c>
      <c r="AE448" s="7"/>
      <c r="AF448" s="5" t="s">
        <v>1031</v>
      </c>
      <c r="AG448" s="5" t="str">
        <f t="shared" si="85"/>
        <v>Bandhkam</v>
      </c>
      <c r="AH448" s="55"/>
      <c r="AI448" s="49"/>
      <c r="AJ448" s="20"/>
      <c r="AL448" s="16">
        <v>4</v>
      </c>
      <c r="AM448" s="12">
        <f t="shared" si="86"/>
        <v>98000</v>
      </c>
      <c r="AN448" s="7">
        <f t="shared" si="87"/>
        <v>46247</v>
      </c>
      <c r="AO448" s="12">
        <f t="shared" si="88"/>
        <v>4900</v>
      </c>
      <c r="AP448" s="12">
        <f t="shared" si="89"/>
        <v>0</v>
      </c>
      <c r="AQ448" s="15">
        <f t="shared" si="90"/>
        <v>45832</v>
      </c>
      <c r="AR448" s="7">
        <f t="shared" si="91"/>
        <v>46187</v>
      </c>
      <c r="AS448" s="5">
        <v>1844</v>
      </c>
      <c r="AT448" s="7">
        <v>46020</v>
      </c>
      <c r="AU448" s="5" t="s">
        <v>78</v>
      </c>
      <c r="AV448" s="17">
        <v>273</v>
      </c>
      <c r="AW448" s="37">
        <v>46042</v>
      </c>
      <c r="AX448" s="5" t="s">
        <v>355</v>
      </c>
      <c r="AY448" s="5" t="s">
        <v>369</v>
      </c>
      <c r="AZ448" s="45" t="s">
        <v>1078</v>
      </c>
      <c r="BA448" s="12">
        <v>98000</v>
      </c>
      <c r="BB448" s="7">
        <v>46030</v>
      </c>
      <c r="BC448" s="14"/>
      <c r="BD448" s="14"/>
      <c r="BF448" s="12"/>
      <c r="BG448" s="14"/>
      <c r="BH448" s="19">
        <v>45677</v>
      </c>
      <c r="BI448" s="5">
        <v>67</v>
      </c>
      <c r="BJ448" s="19">
        <v>45677</v>
      </c>
      <c r="BM448" s="18"/>
      <c r="BN448" s="18"/>
      <c r="BO448" s="18"/>
      <c r="BP448" s="18"/>
      <c r="BQ448" s="5"/>
      <c r="BR448" s="18"/>
      <c r="BS448" s="18"/>
      <c r="BT448" s="35"/>
    </row>
    <row r="449" spans="1:72" ht="43.5" x14ac:dyDescent="0.35">
      <c r="A449" s="5">
        <v>448</v>
      </c>
      <c r="B449" s="5"/>
      <c r="C449" s="5" t="s">
        <v>78</v>
      </c>
      <c r="D449" s="5">
        <v>24</v>
      </c>
      <c r="E449" s="5">
        <v>41</v>
      </c>
      <c r="F449" s="8" t="s">
        <v>1001</v>
      </c>
      <c r="G449" s="8"/>
      <c r="H449" s="5" t="s">
        <v>12</v>
      </c>
      <c r="I449" s="5" t="str" cm="1">
        <f t="array" ref="I449">_xlfn.IFS(
  H449="Mahuva", "Mahuva",
  H449="Jesar", "Mahuva",
  H449="Palitana", "Palitana",
  H449="Gariyadhar", "Palitana",
  H449="Talaja", "Talaja",
  H449="Vallabhipur", "Vallabhipur",
  H449="Umrala", "Vallabhipur",
  H449="Shihor", "Shihor",
  H449="Ghogha", "Bhavnagar",
  H449="Bhavnagar", "Bhavnagar"
)</f>
        <v>Mahuva</v>
      </c>
      <c r="J449" s="5" t="s">
        <v>256</v>
      </c>
      <c r="K449" s="5" t="s">
        <v>418</v>
      </c>
      <c r="L449" s="5">
        <v>253597</v>
      </c>
      <c r="M449" s="5">
        <v>1</v>
      </c>
      <c r="N449" s="7">
        <v>46004</v>
      </c>
      <c r="O449" s="7">
        <v>46013</v>
      </c>
      <c r="P449" s="7">
        <v>46014</v>
      </c>
      <c r="Q449" s="7">
        <f t="shared" si="81"/>
        <v>46133</v>
      </c>
      <c r="R449" s="9">
        <v>2067497.06</v>
      </c>
      <c r="S449" s="33"/>
      <c r="T449" s="9">
        <v>1906852.54</v>
      </c>
      <c r="U449" s="10">
        <v>-7.77</v>
      </c>
      <c r="V449" s="10" t="str">
        <f t="shared" si="82"/>
        <v>Below</v>
      </c>
      <c r="W449" s="11" t="str" cm="1">
        <f t="array" ref="W449">NumberToWords(T449)</f>
        <v>Nineteen Lakh Six Thousand Eight Hundred Fifty Two Rupees and Fifty Four Paise Only</v>
      </c>
      <c r="X449" s="10" t="str">
        <f t="shared" si="83"/>
        <v>Division</v>
      </c>
      <c r="Z449" s="9">
        <f t="shared" si="84"/>
        <v>1906852.54</v>
      </c>
      <c r="AA449" s="5" t="s">
        <v>279</v>
      </c>
      <c r="AB449" s="8" t="str">
        <f>_xlfn.XLOOKUP(AA449, 'Agency List'!A$2:A$145, 'Agency List'!B$2:B$145, "Not Found")</f>
        <v>ALIGBHAI LAKHUBHAI BARAL</v>
      </c>
      <c r="AC449" s="8" t="str">
        <f>_xlfn.XLOOKUP(AA449, 'Agency List'!A$2:A$145, 'Agency List'!C$2:C$145, "Not Found")</f>
        <v>At Bhandariya, Ta. Palitana, Dist. Bhavnagar</v>
      </c>
      <c r="AD449" s="8">
        <f>_xlfn.XLOOKUP(AA449, 'Agency List'!A$2:A$145, 'Agency List'!D$2:D$145, "Not Found")</f>
        <v>9828109453</v>
      </c>
      <c r="AE449" s="7"/>
      <c r="AF449" s="5" t="s">
        <v>357</v>
      </c>
      <c r="AG449" s="5" t="str">
        <f t="shared" si="85"/>
        <v>Bandhkam</v>
      </c>
      <c r="AH449" s="55"/>
      <c r="AI449" s="49"/>
      <c r="AJ449" s="20"/>
      <c r="AL449" s="16">
        <v>4</v>
      </c>
      <c r="AM449" s="12">
        <f t="shared" si="86"/>
        <v>96000</v>
      </c>
      <c r="AN449" s="7">
        <f t="shared" si="87"/>
        <v>46247</v>
      </c>
      <c r="AO449" s="12">
        <f t="shared" si="88"/>
        <v>4800</v>
      </c>
      <c r="AP449" s="12">
        <f t="shared" si="89"/>
        <v>0</v>
      </c>
      <c r="AQ449" s="15">
        <f t="shared" si="90"/>
        <v>45832</v>
      </c>
      <c r="AR449" s="7">
        <f t="shared" si="91"/>
        <v>46187</v>
      </c>
      <c r="AS449" s="5">
        <v>1845</v>
      </c>
      <c r="AT449" s="7">
        <v>46020</v>
      </c>
      <c r="AU449" s="5" t="s">
        <v>78</v>
      </c>
      <c r="AV449" s="17">
        <v>274</v>
      </c>
      <c r="AW449" s="37">
        <v>46042</v>
      </c>
      <c r="AX449" s="5" t="s">
        <v>355</v>
      </c>
      <c r="AY449" s="5" t="s">
        <v>369</v>
      </c>
      <c r="AZ449" s="45" t="s">
        <v>1079</v>
      </c>
      <c r="BA449" s="12">
        <v>96000</v>
      </c>
      <c r="BB449" s="7">
        <v>46030</v>
      </c>
      <c r="BC449" s="14"/>
      <c r="BD449" s="14"/>
      <c r="BF449" s="12"/>
      <c r="BG449" s="14"/>
      <c r="BH449" s="19">
        <v>45677</v>
      </c>
      <c r="BI449" s="5">
        <v>68</v>
      </c>
      <c r="BJ449" s="19">
        <v>45677</v>
      </c>
      <c r="BM449" s="18"/>
      <c r="BN449" s="18"/>
      <c r="BO449" s="18"/>
      <c r="BP449" s="18"/>
      <c r="BQ449" s="5"/>
      <c r="BR449" s="18"/>
      <c r="BS449" s="18"/>
      <c r="BT449" s="35"/>
    </row>
    <row r="450" spans="1:72" ht="43.5" x14ac:dyDescent="0.35">
      <c r="A450" s="5">
        <v>449</v>
      </c>
      <c r="B450" s="5"/>
      <c r="C450" s="5" t="s">
        <v>78</v>
      </c>
      <c r="D450" s="5">
        <v>24</v>
      </c>
      <c r="E450" s="5">
        <v>42</v>
      </c>
      <c r="F450" s="8" t="s">
        <v>1002</v>
      </c>
      <c r="G450" s="8"/>
      <c r="H450" s="5" t="s">
        <v>12</v>
      </c>
      <c r="I450" s="5" t="str" cm="1">
        <f t="array" ref="I450">_xlfn.IFS(
  H450="Mahuva", "Mahuva",
  H450="Jesar", "Mahuva",
  H450="Palitana", "Palitana",
  H450="Gariyadhar", "Palitana",
  H450="Talaja", "Talaja",
  H450="Vallabhipur", "Vallabhipur",
  H450="Umrala", "Vallabhipur",
  H450="Shihor", "Shihor",
  H450="Ghogha", "Bhavnagar",
  H450="Bhavnagar", "Bhavnagar"
)</f>
        <v>Mahuva</v>
      </c>
      <c r="J450" s="5" t="s">
        <v>256</v>
      </c>
      <c r="K450" s="5" t="s">
        <v>418</v>
      </c>
      <c r="L450" s="5">
        <v>253598</v>
      </c>
      <c r="M450" s="5">
        <v>1</v>
      </c>
      <c r="N450" s="7">
        <v>46004</v>
      </c>
      <c r="O450" s="7">
        <v>46013</v>
      </c>
      <c r="P450" s="7">
        <v>46014</v>
      </c>
      <c r="Q450" s="7">
        <f t="shared" ref="Q450:Q513" si="93">O450+120</f>
        <v>46133</v>
      </c>
      <c r="R450" s="9">
        <v>2067497.06</v>
      </c>
      <c r="S450" s="33"/>
      <c r="T450" s="9">
        <v>1911814.53</v>
      </c>
      <c r="U450" s="10">
        <v>-7.53</v>
      </c>
      <c r="V450" s="10" t="str">
        <f t="shared" ref="V450:V513" si="94">IF(U450&lt;0,"Below",IF(U450&gt;0,"Above","Equals"))</f>
        <v>Below</v>
      </c>
      <c r="W450" s="11" t="str" cm="1">
        <f t="array" ref="W450">NumberToWords(T450)</f>
        <v>Nineteen Lakh Eleven Thousand Eight Hundred Fourteen Rupees and Fifty Three Paise Only</v>
      </c>
      <c r="X450" s="10" t="str">
        <f t="shared" ref="X450:X458" si="95">IF(T450&lt;5000000,"Division",IF(T450&lt;=20000000,"Circle","Government"))</f>
        <v>Division</v>
      </c>
      <c r="Z450" s="9">
        <f t="shared" ref="Z450:Z513" si="96">T450+Y450</f>
        <v>1911814.53</v>
      </c>
      <c r="AA450" s="5" t="s">
        <v>870</v>
      </c>
      <c r="AB450" s="8" t="str">
        <f>_xlfn.XLOOKUP(AA450, 'Agency List'!A$2:A$145, 'Agency List'!B$2:B$145, "Not Found")</f>
        <v>Alpeshkumar Ranabhai Kalotara</v>
      </c>
      <c r="AC450" s="8" t="str">
        <f>_xlfn.XLOOKUP(AA450, 'Agency List'!A$2:A$145, 'Agency List'!C$2:C$145, "Not Found")</f>
        <v>At. Chhapariyali, Bagdana Road, Tal. Jesar, Dist. Bhavnagar - 364510</v>
      </c>
      <c r="AD450" s="8">
        <f>_xlfn.XLOOKUP(AA450, 'Agency List'!A$2:A$145, 'Agency List'!D$2:D$145, "Not Found")</f>
        <v>9773408044</v>
      </c>
      <c r="AE450" s="7"/>
      <c r="AF450" s="5" t="s">
        <v>357</v>
      </c>
      <c r="AG450" s="5" t="str">
        <f t="shared" ref="AG450:AG513" si="97">IF(AND(
   AF450&lt;&gt;"5054 MMGSY NORMAL",
   AF450&lt;&gt;"3054 MMGSY NORMAL",
   AF450&lt;&gt;"5054 MMGSY SCSP",
   AF450&lt;&gt;"5054 Suvidhapath"
),
   IF(T450&gt;2500000,"Karobari","Bandhkam"),
   "NA"
)</f>
        <v>Bandhkam</v>
      </c>
      <c r="AH450" s="55"/>
      <c r="AI450" s="49"/>
      <c r="AJ450" s="20"/>
      <c r="AL450" s="16">
        <v>4</v>
      </c>
      <c r="AM450" s="12">
        <f t="shared" ref="AM450:AM513" si="98">CEILING(T450*5/100, 1000)</f>
        <v>96000</v>
      </c>
      <c r="AN450" s="7">
        <f t="shared" ref="AN450:AN513" si="99">AR450+60</f>
        <v>46593</v>
      </c>
      <c r="AO450" s="12">
        <f t="shared" ref="AO450:AO513" si="100">CEILING(((AM450+AP450)*4.9/100),100)</f>
        <v>4800</v>
      </c>
      <c r="AP450" s="12">
        <f t="shared" ref="AP450:AP513" si="101">IF(U450&lt;-20,(CEILING(((R450*90/100)-T450)*30/100, 1000)),IF(U450&lt;-10,(CEILING(((R450*90/100)-T450)*20/100, 1000)),0))</f>
        <v>0</v>
      </c>
      <c r="AQ450" s="15">
        <f t="shared" ref="AQ450:AQ513" si="102">BH450+AL450*30+35</f>
        <v>46178</v>
      </c>
      <c r="AR450" s="7">
        <f t="shared" ref="AR450:AR513" si="103" xml:space="preserve">   IF(R450&gt;10000000,
      BH450 + AL450*30 + 36*30 + 30,
      BH450 + AL450*30 + 12*30 + 30
   )</f>
        <v>46533</v>
      </c>
      <c r="AS450" s="5">
        <v>1846</v>
      </c>
      <c r="AT450" s="7">
        <v>46020</v>
      </c>
      <c r="AU450" s="5"/>
      <c r="AV450" s="17"/>
      <c r="AW450" s="17"/>
      <c r="AX450" s="5"/>
      <c r="AY450" s="5"/>
      <c r="AZ450" s="13"/>
      <c r="BA450" s="12"/>
      <c r="BB450" s="7"/>
      <c r="BC450" s="14"/>
      <c r="BD450" s="14"/>
      <c r="BF450" s="12"/>
      <c r="BG450" s="14"/>
      <c r="BH450" s="19">
        <v>46023</v>
      </c>
      <c r="BI450" s="5"/>
      <c r="BM450" s="18"/>
      <c r="BN450" s="18"/>
      <c r="BO450" s="18"/>
      <c r="BP450" s="18"/>
      <c r="BQ450" s="5"/>
      <c r="BR450" s="18"/>
      <c r="BS450" s="18"/>
      <c r="BT450" s="35"/>
    </row>
    <row r="451" spans="1:72" ht="43.5" x14ac:dyDescent="0.35">
      <c r="A451" s="5">
        <v>450</v>
      </c>
      <c r="B451" s="5"/>
      <c r="C451" s="5" t="s">
        <v>78</v>
      </c>
      <c r="D451" s="5">
        <v>24</v>
      </c>
      <c r="E451" s="5">
        <v>43</v>
      </c>
      <c r="F451" s="8" t="s">
        <v>1003</v>
      </c>
      <c r="G451" s="8"/>
      <c r="H451" s="5" t="s">
        <v>12</v>
      </c>
      <c r="I451" s="5" t="str" cm="1">
        <f t="array" ref="I451">_xlfn.IFS(
  H451="Mahuva", "Mahuva",
  H451="Jesar", "Mahuva",
  H451="Palitana", "Palitana",
  H451="Gariyadhar", "Palitana",
  H451="Talaja", "Talaja",
  H451="Vallabhipur", "Vallabhipur",
  H451="Umrala", "Vallabhipur",
  H451="Shihor", "Shihor",
  H451="Ghogha", "Bhavnagar",
  H451="Bhavnagar", "Bhavnagar"
)</f>
        <v>Mahuva</v>
      </c>
      <c r="J451" s="5" t="s">
        <v>256</v>
      </c>
      <c r="K451" s="5" t="s">
        <v>418</v>
      </c>
      <c r="L451" s="5">
        <v>253624</v>
      </c>
      <c r="M451" s="5">
        <v>1</v>
      </c>
      <c r="N451" s="7">
        <v>46004</v>
      </c>
      <c r="O451" s="7">
        <v>46013</v>
      </c>
      <c r="P451" s="7">
        <v>46014</v>
      </c>
      <c r="Q451" s="7">
        <f t="shared" si="93"/>
        <v>46133</v>
      </c>
      <c r="R451" s="9">
        <v>2880130.57</v>
      </c>
      <c r="S451" s="33"/>
      <c r="T451" s="9">
        <v>2624374.98</v>
      </c>
      <c r="U451" s="10">
        <v>-8.8800000000000008</v>
      </c>
      <c r="V451" s="10" t="str">
        <f t="shared" si="94"/>
        <v>Below</v>
      </c>
      <c r="W451" s="11" t="str" cm="1">
        <f t="array" ref="W451">NumberToWords(T451)</f>
        <v>Twenty Six Lakh Twenty Four Thousand Three Hundred Seventy Four Rupees and Ninety Eight Paise Only</v>
      </c>
      <c r="X451" s="10" t="str">
        <f t="shared" si="95"/>
        <v>Division</v>
      </c>
      <c r="Z451" s="9">
        <f t="shared" si="96"/>
        <v>2624374.98</v>
      </c>
      <c r="AA451" s="5" t="s">
        <v>399</v>
      </c>
      <c r="AB451" s="8" t="str">
        <f>_xlfn.XLOOKUP(AA451, 'Agency List'!A$2:A$145, 'Agency List'!B$2:B$145, "Not Found")</f>
        <v>Pratapbhai Lakhubhai Beparia</v>
      </c>
      <c r="AC451" s="8" t="str">
        <f>_xlfn.XLOOKUP(AA451, 'Agency List'!A$2:A$145, 'Agency List'!C$2:C$145, "Not Found")</f>
        <v>At Lothpur, Ta. Jafarabad, Dist. Amreli - 365540</v>
      </c>
      <c r="AD451" s="8">
        <f>_xlfn.XLOOKUP(AA451, 'Agency List'!A$2:A$145, 'Agency List'!D$2:D$145, "Not Found")</f>
        <v>9727987777</v>
      </c>
      <c r="AE451" s="7"/>
      <c r="AF451" s="5" t="s">
        <v>357</v>
      </c>
      <c r="AG451" s="5" t="str">
        <f t="shared" si="97"/>
        <v>Karobari</v>
      </c>
      <c r="AH451" s="55"/>
      <c r="AI451" s="49"/>
      <c r="AJ451" s="20"/>
      <c r="AL451" s="16">
        <v>4</v>
      </c>
      <c r="AM451" s="12">
        <f t="shared" si="98"/>
        <v>132000</v>
      </c>
      <c r="AN451" s="7">
        <f t="shared" si="99"/>
        <v>46593</v>
      </c>
      <c r="AO451" s="12">
        <f t="shared" si="100"/>
        <v>6500</v>
      </c>
      <c r="AP451" s="12">
        <f t="shared" si="101"/>
        <v>0</v>
      </c>
      <c r="AQ451" s="15">
        <f t="shared" si="102"/>
        <v>46178</v>
      </c>
      <c r="AR451" s="7">
        <f t="shared" si="103"/>
        <v>46533</v>
      </c>
      <c r="AS451" s="5">
        <v>1847</v>
      </c>
      <c r="AT451" s="7">
        <v>46020</v>
      </c>
      <c r="AU451" s="5"/>
      <c r="AV451" s="17"/>
      <c r="AW451" s="17"/>
      <c r="AX451" s="5"/>
      <c r="AY451" s="5"/>
      <c r="AZ451" s="13"/>
      <c r="BA451" s="12"/>
      <c r="BB451" s="7"/>
      <c r="BC451" s="14"/>
      <c r="BD451" s="14"/>
      <c r="BF451" s="12"/>
      <c r="BG451" s="14"/>
      <c r="BH451" s="19">
        <v>46023</v>
      </c>
      <c r="BI451" s="5"/>
      <c r="BM451" s="18"/>
      <c r="BN451" s="18"/>
      <c r="BO451" s="18"/>
      <c r="BP451" s="18"/>
      <c r="BQ451" s="5"/>
      <c r="BR451" s="18"/>
      <c r="BS451" s="18"/>
      <c r="BT451" s="35"/>
    </row>
    <row r="452" spans="1:72" ht="43.5" x14ac:dyDescent="0.35">
      <c r="A452" s="5">
        <v>451</v>
      </c>
      <c r="B452" s="5"/>
      <c r="C452" s="5" t="s">
        <v>78</v>
      </c>
      <c r="D452" s="5">
        <v>24</v>
      </c>
      <c r="E452" s="5">
        <v>44</v>
      </c>
      <c r="F452" s="8" t="s">
        <v>1004</v>
      </c>
      <c r="G452" s="8"/>
      <c r="H452" s="5" t="s">
        <v>12</v>
      </c>
      <c r="I452" s="5" t="str" cm="1">
        <f t="array" ref="I452">_xlfn.IFS(
  H452="Mahuva", "Mahuva",
  H452="Jesar", "Mahuva",
  H452="Palitana", "Palitana",
  H452="Gariyadhar", "Palitana",
  H452="Talaja", "Talaja",
  H452="Vallabhipur", "Vallabhipur",
  H452="Umrala", "Vallabhipur",
  H452="Shihor", "Shihor",
  H452="Ghogha", "Bhavnagar",
  H452="Bhavnagar", "Bhavnagar"
)</f>
        <v>Mahuva</v>
      </c>
      <c r="J452" s="5" t="s">
        <v>256</v>
      </c>
      <c r="K452" s="5" t="s">
        <v>418</v>
      </c>
      <c r="L452" s="5">
        <v>253599</v>
      </c>
      <c r="M452" s="5">
        <v>1</v>
      </c>
      <c r="N452" s="7">
        <v>46004</v>
      </c>
      <c r="O452" s="7">
        <v>46013</v>
      </c>
      <c r="P452" s="7">
        <v>46014</v>
      </c>
      <c r="Q452" s="7">
        <f t="shared" si="93"/>
        <v>46133</v>
      </c>
      <c r="R452" s="9">
        <v>2067497.06</v>
      </c>
      <c r="S452" s="33"/>
      <c r="T452" s="9">
        <v>1915949.53</v>
      </c>
      <c r="U452" s="10">
        <v>-7.33</v>
      </c>
      <c r="V452" s="10" t="str">
        <f t="shared" si="94"/>
        <v>Below</v>
      </c>
      <c r="W452" s="11" t="str" cm="1">
        <f t="array" ref="W452">NumberToWords(T452)</f>
        <v>Nineteen Lakh Fifteen Thousand Nine Hundred Forty Nine Rupees and Fifty Three Paise Only</v>
      </c>
      <c r="X452" s="10" t="str">
        <f t="shared" si="95"/>
        <v>Division</v>
      </c>
      <c r="Z452" s="9">
        <f t="shared" si="96"/>
        <v>1915949.53</v>
      </c>
      <c r="AA452" s="5" t="s">
        <v>870</v>
      </c>
      <c r="AB452" s="8" t="str">
        <f>_xlfn.XLOOKUP(AA452, 'Agency List'!A$2:A$145, 'Agency List'!B$2:B$145, "Not Found")</f>
        <v>Alpeshkumar Ranabhai Kalotara</v>
      </c>
      <c r="AC452" s="8" t="str">
        <f>_xlfn.XLOOKUP(AA452, 'Agency List'!A$2:A$145, 'Agency List'!C$2:C$145, "Not Found")</f>
        <v>At. Chhapariyali, Bagdana Road, Tal. Jesar, Dist. Bhavnagar - 364510</v>
      </c>
      <c r="AD452" s="8">
        <f>_xlfn.XLOOKUP(AA452, 'Agency List'!A$2:A$145, 'Agency List'!D$2:D$145, "Not Found")</f>
        <v>9773408044</v>
      </c>
      <c r="AE452" s="7"/>
      <c r="AF452" s="5" t="s">
        <v>357</v>
      </c>
      <c r="AG452" s="5" t="str">
        <f t="shared" si="97"/>
        <v>Bandhkam</v>
      </c>
      <c r="AH452" s="55"/>
      <c r="AI452" s="49"/>
      <c r="AJ452" s="20"/>
      <c r="AL452" s="16">
        <v>4</v>
      </c>
      <c r="AM452" s="12">
        <f t="shared" si="98"/>
        <v>96000</v>
      </c>
      <c r="AN452" s="7">
        <f t="shared" si="99"/>
        <v>46593</v>
      </c>
      <c r="AO452" s="12">
        <f t="shared" si="100"/>
        <v>4800</v>
      </c>
      <c r="AP452" s="12">
        <f t="shared" si="101"/>
        <v>0</v>
      </c>
      <c r="AQ452" s="15">
        <f t="shared" si="102"/>
        <v>46178</v>
      </c>
      <c r="AR452" s="7">
        <f t="shared" si="103"/>
        <v>46533</v>
      </c>
      <c r="AS452" s="5">
        <v>1848</v>
      </c>
      <c r="AT452" s="7">
        <v>46020</v>
      </c>
      <c r="AU452" s="5"/>
      <c r="AV452" s="17"/>
      <c r="AW452" s="17"/>
      <c r="AX452" s="5"/>
      <c r="AY452" s="5"/>
      <c r="AZ452" s="13"/>
      <c r="BA452" s="12"/>
      <c r="BB452" s="7"/>
      <c r="BC452" s="14"/>
      <c r="BD452" s="14"/>
      <c r="BF452" s="12"/>
      <c r="BG452" s="14"/>
      <c r="BH452" s="19">
        <v>46023</v>
      </c>
      <c r="BI452" s="5"/>
      <c r="BM452" s="18"/>
      <c r="BN452" s="18"/>
      <c r="BO452" s="18"/>
      <c r="BP452" s="18"/>
      <c r="BQ452" s="5"/>
      <c r="BR452" s="18"/>
      <c r="BS452" s="18"/>
      <c r="BT452" s="35"/>
    </row>
    <row r="453" spans="1:72" ht="43.5" x14ac:dyDescent="0.35">
      <c r="A453" s="5">
        <v>452</v>
      </c>
      <c r="B453" s="5"/>
      <c r="C453" s="5" t="s">
        <v>78</v>
      </c>
      <c r="D453" s="5">
        <v>24</v>
      </c>
      <c r="E453" s="5">
        <v>45</v>
      </c>
      <c r="F453" s="8" t="s">
        <v>1005</v>
      </c>
      <c r="G453" s="8"/>
      <c r="H453" s="5" t="s">
        <v>12</v>
      </c>
      <c r="I453" s="5" t="str" cm="1">
        <f t="array" ref="I453">_xlfn.IFS(
  H453="Mahuva", "Mahuva",
  H453="Jesar", "Mahuva",
  H453="Palitana", "Palitana",
  H453="Gariyadhar", "Palitana",
  H453="Talaja", "Talaja",
  H453="Vallabhipur", "Vallabhipur",
  H453="Umrala", "Vallabhipur",
  H453="Shihor", "Shihor",
  H453="Ghogha", "Bhavnagar",
  H453="Bhavnagar", "Bhavnagar"
)</f>
        <v>Mahuva</v>
      </c>
      <c r="J453" s="5" t="s">
        <v>256</v>
      </c>
      <c r="K453" s="5" t="s">
        <v>418</v>
      </c>
      <c r="L453" s="5">
        <v>253600</v>
      </c>
      <c r="M453" s="5">
        <v>1</v>
      </c>
      <c r="N453" s="7">
        <v>46004</v>
      </c>
      <c r="O453" s="7">
        <v>46013</v>
      </c>
      <c r="P453" s="7">
        <v>46014</v>
      </c>
      <c r="Q453" s="7">
        <f t="shared" si="93"/>
        <v>46133</v>
      </c>
      <c r="R453" s="9">
        <v>2067497.06</v>
      </c>
      <c r="S453" s="33"/>
      <c r="T453" s="9">
        <v>1938071.74</v>
      </c>
      <c r="U453" s="10">
        <v>-6.26</v>
      </c>
      <c r="V453" s="10" t="str">
        <f t="shared" si="94"/>
        <v>Below</v>
      </c>
      <c r="W453" s="11" t="str" cm="1">
        <f t="array" ref="W453">NumberToWords(T453)</f>
        <v>Nineteen Lakh Thirty Eight Thousand Seventy One Rupees and Seventy Four Paise Only</v>
      </c>
      <c r="X453" s="10" t="str">
        <f t="shared" si="95"/>
        <v>Division</v>
      </c>
      <c r="Z453" s="9">
        <f t="shared" si="96"/>
        <v>1938071.74</v>
      </c>
      <c r="AA453" s="5" t="s">
        <v>963</v>
      </c>
      <c r="AB453" s="8">
        <f>_xlfn.XLOOKUP(AA453, 'Agency List'!A$2:A$145, 'Agency List'!B$2:B$145, "Not Found")</f>
        <v>0</v>
      </c>
      <c r="AC453" s="8" t="str">
        <f>_xlfn.XLOOKUP(AA453, 'Agency List'!A$2:A$145, 'Agency List'!C$2:C$145, "Not Found")</f>
        <v>At Mitiyala, Tal. Jafrabad, Dist. Amreli - 365540</v>
      </c>
      <c r="AD453" s="8">
        <f>_xlfn.XLOOKUP(AA453, 'Agency List'!A$2:A$145, 'Agency List'!D$2:D$145, "Not Found")</f>
        <v>9624431801</v>
      </c>
      <c r="AE453" s="7"/>
      <c r="AF453" s="5" t="s">
        <v>357</v>
      </c>
      <c r="AG453" s="5" t="str">
        <f t="shared" si="97"/>
        <v>Bandhkam</v>
      </c>
      <c r="AH453" s="55"/>
      <c r="AI453" s="49"/>
      <c r="AJ453" s="20"/>
      <c r="AL453" s="16">
        <v>4</v>
      </c>
      <c r="AM453" s="12">
        <f t="shared" si="98"/>
        <v>97000</v>
      </c>
      <c r="AN453" s="7">
        <f t="shared" si="99"/>
        <v>46622</v>
      </c>
      <c r="AO453" s="12">
        <f t="shared" si="100"/>
        <v>4800</v>
      </c>
      <c r="AP453" s="12">
        <f t="shared" si="101"/>
        <v>0</v>
      </c>
      <c r="AQ453" s="15">
        <f t="shared" si="102"/>
        <v>46207</v>
      </c>
      <c r="AR453" s="7">
        <f t="shared" si="103"/>
        <v>46562</v>
      </c>
      <c r="AS453" s="5">
        <v>1849</v>
      </c>
      <c r="AT453" s="7">
        <v>46020</v>
      </c>
      <c r="AU453" s="5" t="s">
        <v>78</v>
      </c>
      <c r="AV453" s="17">
        <v>292</v>
      </c>
      <c r="AW453" s="37">
        <v>46052</v>
      </c>
      <c r="AX453" s="5" t="s">
        <v>355</v>
      </c>
      <c r="AY453" s="5" t="s">
        <v>369</v>
      </c>
      <c r="AZ453" s="13">
        <v>44803422311</v>
      </c>
      <c r="BA453" s="12">
        <v>97000</v>
      </c>
      <c r="BB453" s="7">
        <v>46027</v>
      </c>
      <c r="BC453" s="14"/>
      <c r="BD453" s="14"/>
      <c r="BF453" s="12"/>
      <c r="BG453" s="14"/>
      <c r="BH453" s="19">
        <v>46052</v>
      </c>
      <c r="BI453" s="5">
        <v>103</v>
      </c>
      <c r="BJ453" s="19">
        <v>46052</v>
      </c>
      <c r="BM453" s="18"/>
      <c r="BN453" s="18"/>
      <c r="BO453" s="18"/>
      <c r="BP453" s="18"/>
      <c r="BQ453" s="5"/>
      <c r="BR453" s="18"/>
      <c r="BS453" s="18"/>
      <c r="BT453" s="35"/>
    </row>
    <row r="454" spans="1:72" ht="43.5" x14ac:dyDescent="0.35">
      <c r="A454" s="5">
        <v>453</v>
      </c>
      <c r="B454" s="5"/>
      <c r="C454" s="5" t="s">
        <v>78</v>
      </c>
      <c r="D454" s="5">
        <v>24</v>
      </c>
      <c r="E454" s="5">
        <v>46</v>
      </c>
      <c r="F454" s="8" t="s">
        <v>1006</v>
      </c>
      <c r="G454" s="8"/>
      <c r="H454" s="5" t="s">
        <v>12</v>
      </c>
      <c r="I454" s="5" t="str" cm="1">
        <f t="array" ref="I454">_xlfn.IFS(
  H454="Mahuva", "Mahuva",
  H454="Jesar", "Mahuva",
  H454="Palitana", "Palitana",
  H454="Gariyadhar", "Palitana",
  H454="Talaja", "Talaja",
  H454="Vallabhipur", "Vallabhipur",
  H454="Umrala", "Vallabhipur",
  H454="Shihor", "Shihor",
  H454="Ghogha", "Bhavnagar",
  H454="Bhavnagar", "Bhavnagar"
)</f>
        <v>Mahuva</v>
      </c>
      <c r="J454" s="5" t="s">
        <v>256</v>
      </c>
      <c r="K454" s="5" t="s">
        <v>418</v>
      </c>
      <c r="L454" s="5">
        <v>253601</v>
      </c>
      <c r="M454" s="5">
        <v>1</v>
      </c>
      <c r="N454" s="7">
        <v>46004</v>
      </c>
      <c r="O454" s="7">
        <v>46013</v>
      </c>
      <c r="P454" s="7">
        <v>46014</v>
      </c>
      <c r="Q454" s="7">
        <f t="shared" si="93"/>
        <v>46133</v>
      </c>
      <c r="R454" s="9">
        <v>2067497.06</v>
      </c>
      <c r="S454" s="33"/>
      <c r="T454" s="9">
        <v>1860954.1</v>
      </c>
      <c r="U454" s="10">
        <v>-9.99</v>
      </c>
      <c r="V454" s="10" t="str">
        <f t="shared" si="94"/>
        <v>Below</v>
      </c>
      <c r="W454" s="11" t="str" cm="1">
        <f t="array" ref="W454">NumberToWords(T454)</f>
        <v>Eighteen Lakh Sixty Thousand Nine Hundred Fifty Four Rupees and One Paise Only</v>
      </c>
      <c r="X454" s="10" t="str">
        <f t="shared" si="95"/>
        <v>Division</v>
      </c>
      <c r="Z454" s="9">
        <f t="shared" si="96"/>
        <v>1860954.1</v>
      </c>
      <c r="AA454" s="5" t="s">
        <v>963</v>
      </c>
      <c r="AB454" s="8">
        <f>_xlfn.XLOOKUP(AA454, 'Agency List'!A$2:A$145, 'Agency List'!B$2:B$145, "Not Found")</f>
        <v>0</v>
      </c>
      <c r="AC454" s="8" t="str">
        <f>_xlfn.XLOOKUP(AA454, 'Agency List'!A$2:A$145, 'Agency List'!C$2:C$145, "Not Found")</f>
        <v>At Mitiyala, Tal. Jafrabad, Dist. Amreli - 365540</v>
      </c>
      <c r="AD454" s="8">
        <f>_xlfn.XLOOKUP(AA454, 'Agency List'!A$2:A$145, 'Agency List'!D$2:D$145, "Not Found")</f>
        <v>9624431801</v>
      </c>
      <c r="AE454" s="7"/>
      <c r="AF454" s="5" t="s">
        <v>357</v>
      </c>
      <c r="AG454" s="5" t="str">
        <f t="shared" si="97"/>
        <v>Bandhkam</v>
      </c>
      <c r="AH454" s="55"/>
      <c r="AI454" s="49"/>
      <c r="AJ454" s="20"/>
      <c r="AL454" s="16">
        <v>4</v>
      </c>
      <c r="AM454" s="12">
        <f t="shared" si="98"/>
        <v>94000</v>
      </c>
      <c r="AN454" s="7">
        <f t="shared" si="99"/>
        <v>46622</v>
      </c>
      <c r="AO454" s="12">
        <f t="shared" si="100"/>
        <v>4700</v>
      </c>
      <c r="AP454" s="12">
        <f t="shared" si="101"/>
        <v>0</v>
      </c>
      <c r="AQ454" s="15">
        <f t="shared" si="102"/>
        <v>46207</v>
      </c>
      <c r="AR454" s="7">
        <f t="shared" si="103"/>
        <v>46562</v>
      </c>
      <c r="AS454" s="5">
        <v>1850</v>
      </c>
      <c r="AT454" s="7">
        <v>46020</v>
      </c>
      <c r="AU454" s="5" t="s">
        <v>78</v>
      </c>
      <c r="AV454" s="17">
        <v>293</v>
      </c>
      <c r="AW454" s="37">
        <v>46052</v>
      </c>
      <c r="AX454" s="5" t="s">
        <v>355</v>
      </c>
      <c r="AY454" s="5" t="s">
        <v>369</v>
      </c>
      <c r="AZ454" s="13">
        <v>44803420958</v>
      </c>
      <c r="BA454" s="12">
        <v>94000</v>
      </c>
      <c r="BB454" s="7">
        <v>46027</v>
      </c>
      <c r="BC454" s="14"/>
      <c r="BD454" s="14"/>
      <c r="BF454" s="12"/>
      <c r="BG454" s="14"/>
      <c r="BH454" s="19">
        <v>46052</v>
      </c>
      <c r="BI454" s="5">
        <v>104</v>
      </c>
      <c r="BJ454" s="19">
        <v>46052</v>
      </c>
      <c r="BM454" s="18"/>
      <c r="BN454" s="18"/>
      <c r="BO454" s="18"/>
      <c r="BP454" s="18"/>
      <c r="BQ454" s="5"/>
      <c r="BR454" s="18"/>
      <c r="BS454" s="18"/>
      <c r="BT454" s="35"/>
    </row>
    <row r="455" spans="1:72" ht="43.5" x14ac:dyDescent="0.35">
      <c r="A455" s="5">
        <v>454</v>
      </c>
      <c r="B455" s="5"/>
      <c r="C455" s="5" t="s">
        <v>78</v>
      </c>
      <c r="D455" s="5">
        <v>24</v>
      </c>
      <c r="E455" s="5">
        <v>47</v>
      </c>
      <c r="F455" s="8" t="s">
        <v>1007</v>
      </c>
      <c r="G455" s="8"/>
      <c r="H455" s="5" t="s">
        <v>12</v>
      </c>
      <c r="I455" s="5" t="str" cm="1">
        <f t="array" ref="I455">_xlfn.IFS(
  H455="Mahuva", "Mahuva",
  H455="Jesar", "Mahuva",
  H455="Palitana", "Palitana",
  H455="Gariyadhar", "Palitana",
  H455="Talaja", "Talaja",
  H455="Vallabhipur", "Vallabhipur",
  H455="Umrala", "Vallabhipur",
  H455="Shihor", "Shihor",
  H455="Ghogha", "Bhavnagar",
  H455="Bhavnagar", "Bhavnagar"
)</f>
        <v>Mahuva</v>
      </c>
      <c r="J455" s="5" t="s">
        <v>256</v>
      </c>
      <c r="K455" s="5" t="s">
        <v>418</v>
      </c>
      <c r="L455" s="5">
        <v>253602</v>
      </c>
      <c r="M455" s="5">
        <v>1</v>
      </c>
      <c r="N455" s="7">
        <v>46004</v>
      </c>
      <c r="O455" s="7">
        <v>46013</v>
      </c>
      <c r="P455" s="7">
        <v>46014</v>
      </c>
      <c r="Q455" s="7">
        <f t="shared" si="93"/>
        <v>46133</v>
      </c>
      <c r="R455" s="9">
        <v>2067497.06</v>
      </c>
      <c r="S455" s="33"/>
      <c r="T455" s="9">
        <v>1953577.97</v>
      </c>
      <c r="U455" s="10">
        <v>-5.51</v>
      </c>
      <c r="V455" s="10" t="str">
        <f t="shared" si="94"/>
        <v>Below</v>
      </c>
      <c r="W455" s="11" t="str" cm="1">
        <f t="array" ref="W455">NumberToWords(T455)</f>
        <v>Nineteen Lakh Fifty Three Thousand Five Hundred Seventy Seven Rupees and Ninety Seven Paise Only</v>
      </c>
      <c r="X455" s="10" t="str">
        <f t="shared" si="95"/>
        <v>Division</v>
      </c>
      <c r="Z455" s="9">
        <f t="shared" si="96"/>
        <v>1953577.97</v>
      </c>
      <c r="AA455" s="5" t="s">
        <v>279</v>
      </c>
      <c r="AB455" s="8" t="str">
        <f>_xlfn.XLOOKUP(AA455, 'Agency List'!A$2:A$145, 'Agency List'!B$2:B$145, "Not Found")</f>
        <v>ALIGBHAI LAKHUBHAI BARAL</v>
      </c>
      <c r="AC455" s="8" t="str">
        <f>_xlfn.XLOOKUP(AA455, 'Agency List'!A$2:A$145, 'Agency List'!C$2:C$145, "Not Found")</f>
        <v>At Bhandariya, Ta. Palitana, Dist. Bhavnagar</v>
      </c>
      <c r="AD455" s="8">
        <f>_xlfn.XLOOKUP(AA455, 'Agency List'!A$2:A$145, 'Agency List'!D$2:D$145, "Not Found")</f>
        <v>9828109453</v>
      </c>
      <c r="AE455" s="7"/>
      <c r="AF455" s="5" t="s">
        <v>357</v>
      </c>
      <c r="AG455" s="5" t="str">
        <f t="shared" si="97"/>
        <v>Bandhkam</v>
      </c>
      <c r="AH455" s="55"/>
      <c r="AI455" s="49"/>
      <c r="AJ455" s="20"/>
      <c r="AL455" s="16">
        <v>4</v>
      </c>
      <c r="AM455" s="12">
        <f t="shared" si="98"/>
        <v>98000</v>
      </c>
      <c r="AN455" s="7">
        <f t="shared" si="99"/>
        <v>46247</v>
      </c>
      <c r="AO455" s="12">
        <f t="shared" si="100"/>
        <v>4900</v>
      </c>
      <c r="AP455" s="12">
        <f t="shared" si="101"/>
        <v>0</v>
      </c>
      <c r="AQ455" s="15">
        <f t="shared" si="102"/>
        <v>45832</v>
      </c>
      <c r="AR455" s="7">
        <f t="shared" si="103"/>
        <v>46187</v>
      </c>
      <c r="AS455" s="5">
        <v>1851</v>
      </c>
      <c r="AT455" s="7">
        <v>46020</v>
      </c>
      <c r="AU455" s="5" t="s">
        <v>78</v>
      </c>
      <c r="AV455" s="17">
        <v>275</v>
      </c>
      <c r="AW455" s="37">
        <v>46042</v>
      </c>
      <c r="AX455" s="5" t="s">
        <v>355</v>
      </c>
      <c r="AY455" s="5" t="s">
        <v>369</v>
      </c>
      <c r="AZ455" s="45" t="s">
        <v>1080</v>
      </c>
      <c r="BA455" s="12">
        <v>98000</v>
      </c>
      <c r="BB455" s="7">
        <v>46030</v>
      </c>
      <c r="BC455" s="14"/>
      <c r="BD455" s="14"/>
      <c r="BF455" s="12"/>
      <c r="BG455" s="14"/>
      <c r="BH455" s="19">
        <v>45677</v>
      </c>
      <c r="BI455" s="5">
        <v>69</v>
      </c>
      <c r="BJ455" s="19">
        <v>45677</v>
      </c>
      <c r="BM455" s="18"/>
      <c r="BN455" s="18"/>
      <c r="BO455" s="18"/>
      <c r="BP455" s="18"/>
      <c r="BQ455" s="5"/>
      <c r="BR455" s="18"/>
      <c r="BS455" s="18"/>
      <c r="BT455" s="35"/>
    </row>
    <row r="456" spans="1:72" ht="43.5" x14ac:dyDescent="0.35">
      <c r="A456" s="5">
        <v>455</v>
      </c>
      <c r="B456" s="5"/>
      <c r="C456" s="5" t="s">
        <v>78</v>
      </c>
      <c r="D456" s="5">
        <v>24</v>
      </c>
      <c r="E456" s="5">
        <v>48</v>
      </c>
      <c r="F456" s="8" t="s">
        <v>1008</v>
      </c>
      <c r="G456" s="8"/>
      <c r="H456" s="5" t="s">
        <v>278</v>
      </c>
      <c r="I456" s="5" t="str" cm="1">
        <f t="array" ref="I456">_xlfn.IFS(
  H456="Mahuva", "Mahuva",
  H456="Jesar", "Mahuva",
  H456="Palitana", "Palitana",
  H456="Gariyadhar", "Palitana",
  H456="Talaja", "Talaja",
  H456="Vallabhipur", "Vallabhipur",
  H456="Umrala", "Vallabhipur",
  H456="Shihor", "Shihor",
  H456="Ghogha", "Bhavnagar",
  H456="Bhavnagar", "Bhavnagar"
)</f>
        <v>Mahuva</v>
      </c>
      <c r="J456" s="5" t="s">
        <v>256</v>
      </c>
      <c r="K456" s="5" t="s">
        <v>418</v>
      </c>
      <c r="L456" s="5">
        <v>253579</v>
      </c>
      <c r="M456" s="5">
        <v>1</v>
      </c>
      <c r="N456" s="7">
        <v>46004</v>
      </c>
      <c r="O456" s="7">
        <v>46013</v>
      </c>
      <c r="P456" s="7">
        <v>46014</v>
      </c>
      <c r="Q456" s="7">
        <f t="shared" si="93"/>
        <v>46133</v>
      </c>
      <c r="R456" s="9">
        <v>3343492.09</v>
      </c>
      <c r="S456" s="33"/>
      <c r="T456" s="9">
        <v>3048930.44</v>
      </c>
      <c r="U456" s="10">
        <v>-8.81</v>
      </c>
      <c r="V456" s="10" t="str">
        <f t="shared" si="94"/>
        <v>Below</v>
      </c>
      <c r="W456" s="11" t="str" cm="1">
        <f t="array" ref="W456">NumberToWords(T456)</f>
        <v>Thirty Lakh Forty Eight Thousand Nine Hundred Thirty Rupees and Forty Four Paise Only</v>
      </c>
      <c r="X456" s="10" t="str">
        <f t="shared" si="95"/>
        <v>Division</v>
      </c>
      <c r="Z456" s="9">
        <f t="shared" si="96"/>
        <v>3048930.44</v>
      </c>
      <c r="AA456" s="5" t="s">
        <v>870</v>
      </c>
      <c r="AB456" s="8" t="str">
        <f>_xlfn.XLOOKUP(AA456, 'Agency List'!A$2:A$145, 'Agency List'!B$2:B$145, "Not Found")</f>
        <v>Alpeshkumar Ranabhai Kalotara</v>
      </c>
      <c r="AC456" s="8" t="str">
        <f>_xlfn.XLOOKUP(AA456, 'Agency List'!A$2:A$145, 'Agency List'!C$2:C$145, "Not Found")</f>
        <v>At. Chhapariyali, Bagdana Road, Tal. Jesar, Dist. Bhavnagar - 364510</v>
      </c>
      <c r="AD456" s="8">
        <f>_xlfn.XLOOKUP(AA456, 'Agency List'!A$2:A$145, 'Agency List'!D$2:D$145, "Not Found")</f>
        <v>9773408044</v>
      </c>
      <c r="AE456" s="7"/>
      <c r="AF456" s="5" t="s">
        <v>1031</v>
      </c>
      <c r="AG456" s="5" t="str">
        <f t="shared" si="97"/>
        <v>Karobari</v>
      </c>
      <c r="AH456" s="55"/>
      <c r="AI456" s="49"/>
      <c r="AJ456" s="20"/>
      <c r="AL456" s="16">
        <v>4</v>
      </c>
      <c r="AM456" s="12">
        <f t="shared" si="98"/>
        <v>153000</v>
      </c>
      <c r="AN456" s="7">
        <f t="shared" si="99"/>
        <v>46593</v>
      </c>
      <c r="AO456" s="12">
        <f t="shared" si="100"/>
        <v>7500</v>
      </c>
      <c r="AP456" s="12">
        <f t="shared" si="101"/>
        <v>0</v>
      </c>
      <c r="AQ456" s="15">
        <f t="shared" si="102"/>
        <v>46178</v>
      </c>
      <c r="AR456" s="7">
        <f t="shared" si="103"/>
        <v>46533</v>
      </c>
      <c r="AS456" s="5">
        <v>1852</v>
      </c>
      <c r="AT456" s="7">
        <v>46020</v>
      </c>
      <c r="AU456" s="5"/>
      <c r="AV456" s="17"/>
      <c r="AW456" s="17"/>
      <c r="AX456" s="5"/>
      <c r="AY456" s="5"/>
      <c r="AZ456" s="13"/>
      <c r="BA456" s="12"/>
      <c r="BB456" s="7"/>
      <c r="BC456" s="14"/>
      <c r="BD456" s="14"/>
      <c r="BF456" s="12"/>
      <c r="BG456" s="14"/>
      <c r="BH456" s="19">
        <v>46023</v>
      </c>
      <c r="BI456" s="5"/>
      <c r="BM456" s="18"/>
      <c r="BN456" s="18"/>
      <c r="BO456" s="18"/>
      <c r="BP456" s="18"/>
      <c r="BQ456" s="5"/>
      <c r="BR456" s="18"/>
      <c r="BS456" s="18"/>
      <c r="BT456" s="35"/>
    </row>
    <row r="457" spans="1:72" ht="43.5" x14ac:dyDescent="0.35">
      <c r="A457" s="5">
        <v>456</v>
      </c>
      <c r="B457" s="5"/>
      <c r="C457" s="5" t="s">
        <v>78</v>
      </c>
      <c r="D457" s="5">
        <v>24</v>
      </c>
      <c r="E457" s="5">
        <v>49</v>
      </c>
      <c r="F457" s="8" t="s">
        <v>1009</v>
      </c>
      <c r="G457" s="8"/>
      <c r="H457" s="5" t="s">
        <v>278</v>
      </c>
      <c r="I457" s="5" t="str" cm="1">
        <f t="array" ref="I457">_xlfn.IFS(
  H457="Mahuva", "Mahuva",
  H457="Jesar", "Mahuva",
  H457="Palitana", "Palitana",
  H457="Gariyadhar", "Palitana",
  H457="Talaja", "Talaja",
  H457="Vallabhipur", "Vallabhipur",
  H457="Umrala", "Vallabhipur",
  H457="Shihor", "Shihor",
  H457="Ghogha", "Bhavnagar",
  H457="Bhavnagar", "Bhavnagar"
)</f>
        <v>Mahuva</v>
      </c>
      <c r="J457" s="5" t="s">
        <v>256</v>
      </c>
      <c r="K457" s="5" t="s">
        <v>418</v>
      </c>
      <c r="L457" s="5">
        <v>253565</v>
      </c>
      <c r="M457" s="5">
        <v>1</v>
      </c>
      <c r="N457" s="7">
        <v>46004</v>
      </c>
      <c r="O457" s="7">
        <v>46013</v>
      </c>
      <c r="P457" s="7">
        <v>46014</v>
      </c>
      <c r="Q457" s="7">
        <f t="shared" si="93"/>
        <v>46133</v>
      </c>
      <c r="R457" s="9">
        <v>2079935.15</v>
      </c>
      <c r="S457" s="33"/>
      <c r="T457" s="9">
        <v>1927475.9</v>
      </c>
      <c r="U457" s="10">
        <v>-7.33</v>
      </c>
      <c r="V457" s="10" t="str">
        <f t="shared" si="94"/>
        <v>Below</v>
      </c>
      <c r="W457" s="11" t="str" cm="1">
        <f t="array" ref="W457">NumberToWords(T457)</f>
        <v>Nineteen Lakh Twenty Seven Thousand Four Hundred Seventy Five Rupees and Nine Paise Only</v>
      </c>
      <c r="X457" s="10" t="str">
        <f t="shared" si="95"/>
        <v>Division</v>
      </c>
      <c r="Z457" s="9">
        <f t="shared" si="96"/>
        <v>1927475.9</v>
      </c>
      <c r="AA457" s="5" t="s">
        <v>870</v>
      </c>
      <c r="AB457" s="8" t="str">
        <f>_xlfn.XLOOKUP(AA457, 'Agency List'!A$2:A$145, 'Agency List'!B$2:B$145, "Not Found")</f>
        <v>Alpeshkumar Ranabhai Kalotara</v>
      </c>
      <c r="AC457" s="8" t="str">
        <f>_xlfn.XLOOKUP(AA457, 'Agency List'!A$2:A$145, 'Agency List'!C$2:C$145, "Not Found")</f>
        <v>At. Chhapariyali, Bagdana Road, Tal. Jesar, Dist. Bhavnagar - 364510</v>
      </c>
      <c r="AD457" s="8">
        <f>_xlfn.XLOOKUP(AA457, 'Agency List'!A$2:A$145, 'Agency List'!D$2:D$145, "Not Found")</f>
        <v>9773408044</v>
      </c>
      <c r="AE457" s="7"/>
      <c r="AF457" s="5" t="s">
        <v>1031</v>
      </c>
      <c r="AG457" s="5" t="str">
        <f t="shared" si="97"/>
        <v>Bandhkam</v>
      </c>
      <c r="AH457" s="55"/>
      <c r="AI457" s="49"/>
      <c r="AJ457" s="20"/>
      <c r="AL457" s="16">
        <v>4</v>
      </c>
      <c r="AM457" s="12">
        <f t="shared" si="98"/>
        <v>97000</v>
      </c>
      <c r="AN457" s="7">
        <f t="shared" si="99"/>
        <v>46612</v>
      </c>
      <c r="AO457" s="12">
        <f t="shared" si="100"/>
        <v>4800</v>
      </c>
      <c r="AP457" s="12">
        <f t="shared" si="101"/>
        <v>0</v>
      </c>
      <c r="AQ457" s="15">
        <f t="shared" si="102"/>
        <v>46197</v>
      </c>
      <c r="AR457" s="7">
        <f t="shared" si="103"/>
        <v>46552</v>
      </c>
      <c r="AS457" s="5">
        <v>1853</v>
      </c>
      <c r="AT457" s="7">
        <v>46020</v>
      </c>
      <c r="AU457" s="5" t="s">
        <v>78</v>
      </c>
      <c r="AV457" s="17">
        <v>271</v>
      </c>
      <c r="AW457" s="37">
        <v>46042</v>
      </c>
      <c r="AX457" s="5" t="s">
        <v>355</v>
      </c>
      <c r="AY457" s="5" t="s">
        <v>369</v>
      </c>
      <c r="AZ457" s="13">
        <v>44818379275</v>
      </c>
      <c r="BA457" s="12">
        <v>97000</v>
      </c>
      <c r="BB457" s="7">
        <v>46031</v>
      </c>
      <c r="BC457" s="14"/>
      <c r="BD457" s="14"/>
      <c r="BF457" s="12"/>
      <c r="BG457" s="14"/>
      <c r="BH457" s="19">
        <v>46042</v>
      </c>
      <c r="BI457" s="5">
        <v>65</v>
      </c>
      <c r="BJ457" s="19">
        <v>46042</v>
      </c>
      <c r="BM457" s="18"/>
      <c r="BN457" s="18"/>
      <c r="BO457" s="18"/>
      <c r="BP457" s="18"/>
      <c r="BQ457" s="5"/>
      <c r="BR457" s="18"/>
      <c r="BS457" s="18"/>
      <c r="BT457" s="35"/>
    </row>
    <row r="458" spans="1:72" ht="43.5" x14ac:dyDescent="0.35">
      <c r="A458" s="5">
        <v>457</v>
      </c>
      <c r="B458" s="5"/>
      <c r="C458" s="5" t="s">
        <v>78</v>
      </c>
      <c r="D458" s="5">
        <v>24</v>
      </c>
      <c r="E458" s="5">
        <v>50</v>
      </c>
      <c r="F458" s="8" t="s">
        <v>1010</v>
      </c>
      <c r="G458" s="8"/>
      <c r="H458" s="5" t="s">
        <v>278</v>
      </c>
      <c r="I458" s="5" t="str" cm="1">
        <f t="array" ref="I458">_xlfn.IFS(
  H458="Mahuva", "Mahuva",
  H458="Jesar", "Mahuva",
  H458="Palitana", "Palitana",
  H458="Gariyadhar", "Palitana",
  H458="Talaja", "Talaja",
  H458="Vallabhipur", "Vallabhipur",
  H458="Umrala", "Vallabhipur",
  H458="Shihor", "Shihor",
  H458="Ghogha", "Bhavnagar",
  H458="Bhavnagar", "Bhavnagar"
)</f>
        <v>Mahuva</v>
      </c>
      <c r="J458" s="5" t="s">
        <v>256</v>
      </c>
      <c r="K458" s="5" t="s">
        <v>418</v>
      </c>
      <c r="L458" s="5">
        <v>253566</v>
      </c>
      <c r="M458" s="5">
        <v>1</v>
      </c>
      <c r="N458" s="7">
        <v>46004</v>
      </c>
      <c r="O458" s="7">
        <v>46013</v>
      </c>
      <c r="P458" s="7">
        <v>46014</v>
      </c>
      <c r="Q458" s="7">
        <f t="shared" si="93"/>
        <v>46133</v>
      </c>
      <c r="R458" s="9">
        <v>2079935.15</v>
      </c>
      <c r="S458" s="33"/>
      <c r="T458" s="9">
        <v>1901684.71</v>
      </c>
      <c r="U458" s="10">
        <v>-8.57</v>
      </c>
      <c r="V458" s="10" t="str">
        <f t="shared" si="94"/>
        <v>Below</v>
      </c>
      <c r="W458" s="11" t="str" cm="1">
        <f t="array" ref="W458">NumberToWords(T458)</f>
        <v>Nineteen Lakh One Thousand Six Hundred Eighty Four Rupees and Seventy One Paise Only</v>
      </c>
      <c r="X458" s="10" t="str">
        <f t="shared" si="95"/>
        <v>Division</v>
      </c>
      <c r="Z458" s="9">
        <f t="shared" si="96"/>
        <v>1901684.71</v>
      </c>
      <c r="AA458" s="5" t="s">
        <v>870</v>
      </c>
      <c r="AB458" s="8" t="str">
        <f>_xlfn.XLOOKUP(AA458, 'Agency List'!A$2:A$145, 'Agency List'!B$2:B$145, "Not Found")</f>
        <v>Alpeshkumar Ranabhai Kalotara</v>
      </c>
      <c r="AC458" s="8" t="str">
        <f>_xlfn.XLOOKUP(AA458, 'Agency List'!A$2:A$145, 'Agency List'!C$2:C$145, "Not Found")</f>
        <v>At. Chhapariyali, Bagdana Road, Tal. Jesar, Dist. Bhavnagar - 364510</v>
      </c>
      <c r="AD458" s="8">
        <f>_xlfn.XLOOKUP(AA458, 'Agency List'!A$2:A$145, 'Agency List'!D$2:D$145, "Not Found")</f>
        <v>9773408044</v>
      </c>
      <c r="AE458" s="7"/>
      <c r="AF458" s="5" t="s">
        <v>1031</v>
      </c>
      <c r="AG458" s="5" t="str">
        <f t="shared" si="97"/>
        <v>Bandhkam</v>
      </c>
      <c r="AH458" s="55"/>
      <c r="AI458" s="49"/>
      <c r="AJ458" s="20"/>
      <c r="AL458" s="16">
        <v>4</v>
      </c>
      <c r="AM458" s="12">
        <f t="shared" si="98"/>
        <v>96000</v>
      </c>
      <c r="AN458" s="7">
        <f t="shared" si="99"/>
        <v>46612</v>
      </c>
      <c r="AO458" s="12">
        <f t="shared" si="100"/>
        <v>4800</v>
      </c>
      <c r="AP458" s="12">
        <f t="shared" si="101"/>
        <v>0</v>
      </c>
      <c r="AQ458" s="15">
        <f t="shared" si="102"/>
        <v>46197</v>
      </c>
      <c r="AR458" s="7">
        <f t="shared" si="103"/>
        <v>46552</v>
      </c>
      <c r="AS458" s="5">
        <v>1854</v>
      </c>
      <c r="AT458" s="7">
        <v>46020</v>
      </c>
      <c r="AU458" s="5" t="s">
        <v>78</v>
      </c>
      <c r="AV458" s="17">
        <v>272</v>
      </c>
      <c r="AW458" s="37">
        <v>46042</v>
      </c>
      <c r="AX458" s="5" t="s">
        <v>355</v>
      </c>
      <c r="AY458" s="5" t="s">
        <v>369</v>
      </c>
      <c r="AZ458" s="13">
        <v>44818375974</v>
      </c>
      <c r="BA458" s="12">
        <v>96000</v>
      </c>
      <c r="BB458" s="7">
        <v>46031</v>
      </c>
      <c r="BC458" s="14"/>
      <c r="BD458" s="14"/>
      <c r="BF458" s="12"/>
      <c r="BG458" s="14"/>
      <c r="BH458" s="19">
        <v>46042</v>
      </c>
      <c r="BI458" s="5">
        <v>66</v>
      </c>
      <c r="BJ458" s="19">
        <v>46042</v>
      </c>
      <c r="BM458" s="18"/>
      <c r="BN458" s="18"/>
      <c r="BO458" s="18"/>
      <c r="BP458" s="18"/>
      <c r="BQ458" s="5"/>
      <c r="BR458" s="18"/>
      <c r="BS458" s="18"/>
      <c r="BT458" s="35"/>
    </row>
    <row r="459" spans="1:72" ht="43.5" x14ac:dyDescent="0.35">
      <c r="A459" s="5">
        <v>458</v>
      </c>
      <c r="B459" s="5"/>
      <c r="C459" s="5" t="s">
        <v>78</v>
      </c>
      <c r="D459" s="5">
        <v>24</v>
      </c>
      <c r="E459" s="5">
        <v>51</v>
      </c>
      <c r="F459" s="8" t="s">
        <v>1011</v>
      </c>
      <c r="G459" s="8"/>
      <c r="H459" s="5" t="s">
        <v>3</v>
      </c>
      <c r="I459" s="5" t="str" cm="1">
        <f t="array" ref="I459">_xlfn.IFS(
  H459="Mahuva", "Mahuva",
  H459="Jesar", "Mahuva",
  H459="Palitana", "Palitana",
  H459="Gariyadhar", "Palitana",
  H459="Talaja", "Talaja",
  H459="Vallabhipur", "Vallabhipur",
  H459="Umrala", "Vallabhipur",
  H459="Shihor", "Shihor",
  H459="Ghogha", "Bhavnagar",
  H459="Bhavnagar", "Bhavnagar"
)</f>
        <v>Palitana</v>
      </c>
      <c r="J459" s="5" t="s">
        <v>256</v>
      </c>
      <c r="K459" s="5" t="s">
        <v>418</v>
      </c>
      <c r="L459" s="5">
        <v>253567</v>
      </c>
      <c r="M459" s="5">
        <v>1</v>
      </c>
      <c r="N459" s="7">
        <v>46004</v>
      </c>
      <c r="O459" s="7">
        <v>46013</v>
      </c>
      <c r="P459" s="7">
        <v>46014</v>
      </c>
      <c r="Q459" s="7">
        <f t="shared" si="93"/>
        <v>46133</v>
      </c>
      <c r="R459" s="9">
        <v>2079935.15</v>
      </c>
      <c r="S459" s="33"/>
      <c r="T459" s="9">
        <v>1788744.23</v>
      </c>
      <c r="U459" s="10">
        <v>-14</v>
      </c>
      <c r="V459" s="10" t="str">
        <f t="shared" si="94"/>
        <v>Below</v>
      </c>
      <c r="W459" s="11" t="str" cm="1">
        <f t="array" ref="W459">NumberToWords(T459)</f>
        <v>Seventeen Lakh Eighty Eight Thousand Seven Hundred Forty Four Rupees and Twenty Three Paise Only</v>
      </c>
      <c r="X459" s="10" t="str">
        <f>IF(T459&lt;5000000,"Division",IF(T459&lt;=20000000,"Circle","Government"))</f>
        <v>Division</v>
      </c>
      <c r="Z459" s="9">
        <f t="shared" si="96"/>
        <v>1788744.23</v>
      </c>
      <c r="AA459" s="5" t="s">
        <v>393</v>
      </c>
      <c r="AB459" s="8" t="str">
        <f>_xlfn.XLOOKUP(AA459, 'Agency List'!A$2:A$145, 'Agency List'!B$2:B$145, "Not Found")</f>
        <v>Narendrasinh Parbatsinh Gohil</v>
      </c>
      <c r="AC459" s="8" t="str">
        <f>_xlfn.XLOOKUP(AA459, 'Agency List'!A$2:A$145, 'Agency List'!C$2:C$145, "Not Found")</f>
        <v>At Village Rajapara (Thadach), Ta. Palitana, Dist. Bhavnagar - 364270</v>
      </c>
      <c r="AD459" s="8">
        <f>_xlfn.XLOOKUP(AA459, 'Agency List'!A$2:A$145, 'Agency List'!D$2:D$145, "Not Found")</f>
        <v>9998577523</v>
      </c>
      <c r="AE459" s="7"/>
      <c r="AF459" s="5" t="s">
        <v>1031</v>
      </c>
      <c r="AG459" s="5" t="str">
        <f t="shared" si="97"/>
        <v>Bandhkam</v>
      </c>
      <c r="AH459" s="55"/>
      <c r="AI459" s="49"/>
      <c r="AJ459" s="20"/>
      <c r="AL459" s="16">
        <v>4</v>
      </c>
      <c r="AM459" s="12">
        <f t="shared" si="98"/>
        <v>90000</v>
      </c>
      <c r="AN459" s="7">
        <f t="shared" si="99"/>
        <v>46612</v>
      </c>
      <c r="AO459" s="12">
        <f t="shared" si="100"/>
        <v>5300</v>
      </c>
      <c r="AP459" s="12">
        <f t="shared" si="101"/>
        <v>17000</v>
      </c>
      <c r="AQ459" s="15">
        <f t="shared" si="102"/>
        <v>46197</v>
      </c>
      <c r="AR459" s="7">
        <f t="shared" si="103"/>
        <v>46552</v>
      </c>
      <c r="AS459" s="5">
        <v>1855</v>
      </c>
      <c r="AT459" s="7">
        <v>46020</v>
      </c>
      <c r="AU459" s="5" t="s">
        <v>78</v>
      </c>
      <c r="AV459" s="17">
        <v>266</v>
      </c>
      <c r="AW459" s="37">
        <v>46042</v>
      </c>
      <c r="AX459" s="5" t="s">
        <v>355</v>
      </c>
      <c r="AY459" s="5" t="s">
        <v>803</v>
      </c>
      <c r="AZ459" s="45" t="s">
        <v>1074</v>
      </c>
      <c r="BA459" s="12">
        <v>90000</v>
      </c>
      <c r="BB459" s="7">
        <v>46023</v>
      </c>
      <c r="BC459" s="5" t="s">
        <v>355</v>
      </c>
      <c r="BD459" s="5" t="s">
        <v>803</v>
      </c>
      <c r="BE459" s="45" t="s">
        <v>1075</v>
      </c>
      <c r="BF459" s="12">
        <v>17000</v>
      </c>
      <c r="BG459" s="7">
        <v>46023</v>
      </c>
      <c r="BH459" s="19">
        <v>46042</v>
      </c>
      <c r="BI459" s="5">
        <v>60</v>
      </c>
      <c r="BJ459" s="19">
        <v>46042</v>
      </c>
      <c r="BM459" s="18"/>
      <c r="BN459" s="18"/>
      <c r="BO459" s="18"/>
      <c r="BP459" s="18"/>
      <c r="BQ459" s="5"/>
      <c r="BR459" s="18"/>
      <c r="BS459" s="18"/>
      <c r="BT459" s="35"/>
    </row>
    <row r="460" spans="1:72" ht="43.5" x14ac:dyDescent="0.35">
      <c r="A460" s="5">
        <v>459</v>
      </c>
      <c r="B460" s="5"/>
      <c r="C460" s="5" t="s">
        <v>78</v>
      </c>
      <c r="D460" s="5">
        <v>24</v>
      </c>
      <c r="E460" s="5">
        <v>52</v>
      </c>
      <c r="F460" s="8" t="s">
        <v>1012</v>
      </c>
      <c r="G460" s="8"/>
      <c r="H460" s="5" t="s">
        <v>3</v>
      </c>
      <c r="I460" s="5" t="str" cm="1">
        <f t="array" ref="I460">_xlfn.IFS(
  H460="Mahuva", "Mahuva",
  H460="Jesar", "Mahuva",
  H460="Palitana", "Palitana",
  H460="Gariyadhar", "Palitana",
  H460="Talaja", "Talaja",
  H460="Vallabhipur", "Vallabhipur",
  H460="Umrala", "Vallabhipur",
  H460="Shihor", "Shihor",
  H460="Ghogha", "Bhavnagar",
  H460="Bhavnagar", "Bhavnagar"
)</f>
        <v>Palitana</v>
      </c>
      <c r="J460" s="5" t="s">
        <v>256</v>
      </c>
      <c r="K460" s="5" t="s">
        <v>418</v>
      </c>
      <c r="L460" s="5">
        <v>253568</v>
      </c>
      <c r="M460" s="5">
        <v>1</v>
      </c>
      <c r="N460" s="7">
        <v>46004</v>
      </c>
      <c r="O460" s="7">
        <v>46013</v>
      </c>
      <c r="P460" s="7">
        <v>46014</v>
      </c>
      <c r="Q460" s="7">
        <f t="shared" si="93"/>
        <v>46133</v>
      </c>
      <c r="R460" s="9">
        <v>2079935.15</v>
      </c>
      <c r="S460" s="33"/>
      <c r="T460" s="9">
        <v>1788744.23</v>
      </c>
      <c r="U460" s="10">
        <v>-14</v>
      </c>
      <c r="V460" s="10" t="str">
        <f t="shared" si="94"/>
        <v>Below</v>
      </c>
      <c r="W460" s="11" t="str" cm="1">
        <f t="array" ref="W460">NumberToWords(T460)</f>
        <v>Seventeen Lakh Eighty Eight Thousand Seven Hundred Forty Four Rupees and Twenty Three Paise Only</v>
      </c>
      <c r="X460" s="10" t="str">
        <f>IF(T460&lt;5000000,"Division",IF(T460&lt;=20000000,"Circle","Government"))</f>
        <v>Division</v>
      </c>
      <c r="Z460" s="9">
        <f t="shared" si="96"/>
        <v>1788744.23</v>
      </c>
      <c r="AA460" s="5" t="s">
        <v>393</v>
      </c>
      <c r="AB460" s="8" t="str">
        <f>_xlfn.XLOOKUP(AA460, 'Agency List'!A$2:A$145, 'Agency List'!B$2:B$145, "Not Found")</f>
        <v>Narendrasinh Parbatsinh Gohil</v>
      </c>
      <c r="AC460" s="8" t="str">
        <f>_xlfn.XLOOKUP(AA460, 'Agency List'!A$2:A$145, 'Agency List'!C$2:C$145, "Not Found")</f>
        <v>At Village Rajapara (Thadach), Ta. Palitana, Dist. Bhavnagar - 364270</v>
      </c>
      <c r="AD460" s="8">
        <f>_xlfn.XLOOKUP(AA460, 'Agency List'!A$2:A$145, 'Agency List'!D$2:D$145, "Not Found")</f>
        <v>9998577523</v>
      </c>
      <c r="AE460" s="7"/>
      <c r="AF460" s="5" t="s">
        <v>1031</v>
      </c>
      <c r="AG460" s="5" t="str">
        <f t="shared" si="97"/>
        <v>Bandhkam</v>
      </c>
      <c r="AH460" s="55"/>
      <c r="AI460" s="49"/>
      <c r="AJ460" s="20"/>
      <c r="AL460" s="16">
        <v>4</v>
      </c>
      <c r="AM460" s="12">
        <f t="shared" si="98"/>
        <v>90000</v>
      </c>
      <c r="AN460" s="7">
        <f t="shared" si="99"/>
        <v>46615</v>
      </c>
      <c r="AO460" s="12">
        <f t="shared" si="100"/>
        <v>5300</v>
      </c>
      <c r="AP460" s="12">
        <f t="shared" si="101"/>
        <v>17000</v>
      </c>
      <c r="AQ460" s="15">
        <f t="shared" si="102"/>
        <v>46200</v>
      </c>
      <c r="AR460" s="7">
        <f t="shared" si="103"/>
        <v>46555</v>
      </c>
      <c r="AS460" s="5">
        <v>1856</v>
      </c>
      <c r="AT460" s="7">
        <v>46020</v>
      </c>
      <c r="AU460" s="5" t="s">
        <v>78</v>
      </c>
      <c r="AV460" s="17">
        <v>286</v>
      </c>
      <c r="AW460" s="37">
        <v>46045</v>
      </c>
      <c r="AX460" s="5" t="s">
        <v>355</v>
      </c>
      <c r="AY460" s="5" t="s">
        <v>803</v>
      </c>
      <c r="AZ460" s="45" t="s">
        <v>1089</v>
      </c>
      <c r="BA460" s="12">
        <v>90000</v>
      </c>
      <c r="BB460" s="7">
        <v>46023</v>
      </c>
      <c r="BC460" s="5" t="s">
        <v>355</v>
      </c>
      <c r="BD460" s="5" t="s">
        <v>803</v>
      </c>
      <c r="BE460" s="45" t="s">
        <v>1090</v>
      </c>
      <c r="BF460" s="12">
        <v>17000</v>
      </c>
      <c r="BG460" s="7">
        <v>46023</v>
      </c>
      <c r="BH460" s="19">
        <v>46045</v>
      </c>
      <c r="BI460" s="5">
        <v>84</v>
      </c>
      <c r="BJ460" s="19">
        <v>46045</v>
      </c>
      <c r="BM460" s="18"/>
      <c r="BN460" s="18"/>
      <c r="BO460" s="18"/>
      <c r="BP460" s="18"/>
      <c r="BQ460" s="5"/>
      <c r="BR460" s="18"/>
      <c r="BS460" s="18"/>
      <c r="BT460" s="35"/>
    </row>
    <row r="461" spans="1:72" ht="43.5" x14ac:dyDescent="0.35">
      <c r="A461" s="5">
        <v>460</v>
      </c>
      <c r="B461" s="5"/>
      <c r="C461" s="5" t="s">
        <v>78</v>
      </c>
      <c r="D461" s="5">
        <v>24</v>
      </c>
      <c r="E461" s="5">
        <v>53</v>
      </c>
      <c r="F461" s="8" t="s">
        <v>1046</v>
      </c>
      <c r="G461" s="8"/>
      <c r="H461" s="5"/>
      <c r="I461" s="5" t="e" cm="1">
        <f t="array" ref="I461">_xlfn.IFS(
  H461="Mahuva", "Mahuva",
  H461="Jesar", "Mahuva",
  H461="Palitana", "Palitana",
  H461="Gariyadhar", "Palitana",
  H461="Talaja", "Talaja",
  H461="Vallabhipur", "Vallabhipur",
  H461="Umrala", "Vallabhipur",
  H461="Shihor", "Shihor",
  H461="Ghogha", "Bhavnagar",
  H461="Bhavnagar", "Bhavnagar"
)</f>
        <v>#N/A</v>
      </c>
      <c r="J461" s="5" t="s">
        <v>256</v>
      </c>
      <c r="K461" s="5" t="s">
        <v>418</v>
      </c>
      <c r="L461" s="5">
        <v>253604</v>
      </c>
      <c r="M461" s="5">
        <v>1</v>
      </c>
      <c r="N461" s="7">
        <v>46004</v>
      </c>
      <c r="O461" s="7">
        <v>46013</v>
      </c>
      <c r="P461" s="7">
        <v>46014</v>
      </c>
      <c r="Q461" s="7">
        <f t="shared" si="93"/>
        <v>46133</v>
      </c>
      <c r="S461" s="33" t="s">
        <v>233</v>
      </c>
      <c r="U461" s="10"/>
      <c r="V461" s="10" t="str">
        <f t="shared" si="94"/>
        <v>Equals</v>
      </c>
      <c r="W461" s="11" t="str" cm="1">
        <f t="array" ref="W461">NumberToWords(T461)</f>
        <v>Zero Rupees Only</v>
      </c>
      <c r="X461" s="10" t="str">
        <f>IF(T461&lt;5000000,"Division",IF(T461&lt;=20000000,"Circle","Government"))</f>
        <v>Division</v>
      </c>
      <c r="Z461" s="9">
        <f t="shared" si="96"/>
        <v>0</v>
      </c>
      <c r="AB461" s="8">
        <f>_xlfn.XLOOKUP(AA461, 'Agency List'!A$2:A$145, 'Agency List'!B$2:B$145, "Not Found")</f>
        <v>0</v>
      </c>
      <c r="AC461" s="8">
        <f>_xlfn.XLOOKUP(AA461, 'Agency List'!A$2:A$145, 'Agency List'!C$2:C$145, "Not Found")</f>
        <v>0</v>
      </c>
      <c r="AD461" s="8">
        <f>_xlfn.XLOOKUP(AA461, 'Agency List'!A$2:A$145, 'Agency List'!D$2:D$145, "Not Found")</f>
        <v>0</v>
      </c>
      <c r="AE461" s="7"/>
      <c r="AF461" s="5"/>
      <c r="AG461" s="5" t="str">
        <f t="shared" si="97"/>
        <v>Bandhkam</v>
      </c>
      <c r="AH461" s="55"/>
      <c r="AI461" s="49"/>
      <c r="AJ461" s="20"/>
      <c r="AL461" s="16">
        <v>4</v>
      </c>
      <c r="AM461" s="12">
        <f t="shared" si="98"/>
        <v>0</v>
      </c>
      <c r="AN461" s="7">
        <f t="shared" si="99"/>
        <v>46593</v>
      </c>
      <c r="AO461" s="12">
        <f t="shared" si="100"/>
        <v>0</v>
      </c>
      <c r="AP461" s="12">
        <f t="shared" si="101"/>
        <v>0</v>
      </c>
      <c r="AQ461" s="15">
        <f t="shared" si="102"/>
        <v>46178</v>
      </c>
      <c r="AR461" s="7">
        <f t="shared" si="103"/>
        <v>46533</v>
      </c>
      <c r="AS461" s="5"/>
      <c r="AU461" s="5"/>
      <c r="AV461" s="17"/>
      <c r="AW461" s="17"/>
      <c r="AX461" s="5"/>
      <c r="AY461" s="5"/>
      <c r="AZ461" s="13"/>
      <c r="BA461" s="12"/>
      <c r="BB461" s="7"/>
      <c r="BC461" s="14"/>
      <c r="BD461" s="14"/>
      <c r="BF461" s="12"/>
      <c r="BG461" s="14"/>
      <c r="BH461" s="19">
        <v>46023</v>
      </c>
      <c r="BI461" s="5"/>
      <c r="BM461" s="18"/>
      <c r="BN461" s="18"/>
      <c r="BO461" s="18"/>
      <c r="BP461" s="18"/>
      <c r="BQ461" s="5"/>
      <c r="BR461" s="18"/>
      <c r="BS461" s="18"/>
      <c r="BT461" s="35"/>
    </row>
    <row r="462" spans="1:72" ht="43.5" x14ac:dyDescent="0.35">
      <c r="A462" s="5">
        <v>461</v>
      </c>
      <c r="B462" s="5"/>
      <c r="C462" s="5" t="s">
        <v>78</v>
      </c>
      <c r="D462" s="5">
        <v>24</v>
      </c>
      <c r="E462" s="5">
        <v>54</v>
      </c>
      <c r="F462" s="8" t="s">
        <v>1013</v>
      </c>
      <c r="G462" s="8"/>
      <c r="H462" s="5"/>
      <c r="I462" s="5" t="e" cm="1">
        <f t="array" ref="I462">_xlfn.IFS(
  H462="Mahuva", "Mahuva",
  H462="Jesar", "Mahuva",
  H462="Palitana", "Palitana",
  H462="Gariyadhar", "Palitana",
  H462="Talaja", "Talaja",
  H462="Vallabhipur", "Vallabhipur",
  H462="Umrala", "Vallabhipur",
  H462="Shihor", "Shihor",
  H462="Ghogha", "Bhavnagar",
  H462="Bhavnagar", "Bhavnagar"
)</f>
        <v>#N/A</v>
      </c>
      <c r="J462" s="5" t="s">
        <v>256</v>
      </c>
      <c r="K462" s="5" t="s">
        <v>418</v>
      </c>
      <c r="L462" s="5">
        <v>253605</v>
      </c>
      <c r="M462" s="5">
        <v>1</v>
      </c>
      <c r="N462" s="7">
        <v>46004</v>
      </c>
      <c r="O462" s="7">
        <v>46013</v>
      </c>
      <c r="P462" s="7">
        <v>46014</v>
      </c>
      <c r="Q462" s="7">
        <f t="shared" si="93"/>
        <v>46133</v>
      </c>
      <c r="R462" s="9">
        <v>2067497.06</v>
      </c>
      <c r="S462" s="33"/>
      <c r="T462" s="9">
        <v>1767709.99</v>
      </c>
      <c r="U462" s="10">
        <v>-14.5</v>
      </c>
      <c r="V462" s="10" t="str">
        <f t="shared" si="94"/>
        <v>Below</v>
      </c>
      <c r="W462" s="11" t="str" cm="1">
        <f t="array" ref="W462">NumberToWords(T462)</f>
        <v>Seventeen Lakh Sixty Seven Thousand Seven Hundred Nine Rupees and Ninety Nine Paise Only</v>
      </c>
      <c r="X462" s="10" t="str">
        <f>IF(T462&lt;5000000,"Division",IF(T462&lt;=20000000,"Circle","Government"))</f>
        <v>Division</v>
      </c>
      <c r="Z462" s="9">
        <f t="shared" si="96"/>
        <v>1767709.99</v>
      </c>
      <c r="AA462" s="5" t="s">
        <v>393</v>
      </c>
      <c r="AB462" s="8" t="str">
        <f>_xlfn.XLOOKUP(AA462, 'Agency List'!A$2:A$145, 'Agency List'!B$2:B$145, "Not Found")</f>
        <v>Narendrasinh Parbatsinh Gohil</v>
      </c>
      <c r="AC462" s="8" t="str">
        <f>_xlfn.XLOOKUP(AA462, 'Agency List'!A$2:A$145, 'Agency List'!C$2:C$145, "Not Found")</f>
        <v>At Village Rajapara (Thadach), Ta. Palitana, Dist. Bhavnagar - 364270</v>
      </c>
      <c r="AD462" s="8">
        <f>_xlfn.XLOOKUP(AA462, 'Agency List'!A$2:A$145, 'Agency List'!D$2:D$145, "Not Found")</f>
        <v>9998577523</v>
      </c>
      <c r="AE462" s="7"/>
      <c r="AF462" s="5" t="s">
        <v>357</v>
      </c>
      <c r="AG462" s="5" t="str">
        <f t="shared" si="97"/>
        <v>Bandhkam</v>
      </c>
      <c r="AH462" s="55"/>
      <c r="AI462" s="49"/>
      <c r="AJ462" s="20"/>
      <c r="AL462" s="16">
        <v>4</v>
      </c>
      <c r="AM462" s="12">
        <f t="shared" si="98"/>
        <v>89000</v>
      </c>
      <c r="AN462" s="7">
        <f t="shared" si="99"/>
        <v>46612</v>
      </c>
      <c r="AO462" s="12">
        <f t="shared" si="100"/>
        <v>5300</v>
      </c>
      <c r="AP462" s="12">
        <f t="shared" si="101"/>
        <v>19000</v>
      </c>
      <c r="AQ462" s="15">
        <f t="shared" si="102"/>
        <v>46197</v>
      </c>
      <c r="AR462" s="7">
        <f t="shared" si="103"/>
        <v>46552</v>
      </c>
      <c r="AS462" s="5">
        <v>1858</v>
      </c>
      <c r="AT462" s="7">
        <v>46020</v>
      </c>
      <c r="AU462" s="5" t="s">
        <v>78</v>
      </c>
      <c r="AV462" s="17">
        <v>267</v>
      </c>
      <c r="AW462" s="37">
        <v>46042</v>
      </c>
      <c r="AX462" s="5" t="s">
        <v>355</v>
      </c>
      <c r="AY462" s="5" t="s">
        <v>803</v>
      </c>
      <c r="AZ462" s="45" t="s">
        <v>1076</v>
      </c>
      <c r="BA462" s="12">
        <v>89000</v>
      </c>
      <c r="BB462" s="7">
        <v>46023</v>
      </c>
      <c r="BC462" s="5" t="s">
        <v>355</v>
      </c>
      <c r="BD462" s="5" t="s">
        <v>803</v>
      </c>
      <c r="BE462" s="45" t="s">
        <v>1077</v>
      </c>
      <c r="BF462" s="12">
        <v>19000</v>
      </c>
      <c r="BG462" s="7">
        <v>46023</v>
      </c>
      <c r="BH462" s="19">
        <v>46042</v>
      </c>
      <c r="BI462" s="5">
        <v>62</v>
      </c>
      <c r="BJ462" s="19">
        <v>46042</v>
      </c>
      <c r="BM462" s="18"/>
      <c r="BN462" s="18"/>
      <c r="BO462" s="18"/>
      <c r="BP462" s="18"/>
      <c r="BQ462" s="5"/>
      <c r="BR462" s="18"/>
      <c r="BS462" s="18"/>
      <c r="BT462" s="35"/>
    </row>
    <row r="463" spans="1:72" ht="43.5" x14ac:dyDescent="0.35">
      <c r="A463" s="5">
        <v>462</v>
      </c>
      <c r="B463" s="5"/>
      <c r="C463" s="5" t="s">
        <v>78</v>
      </c>
      <c r="D463" s="5">
        <v>24</v>
      </c>
      <c r="E463" s="5">
        <v>55</v>
      </c>
      <c r="F463" s="8" t="s">
        <v>1014</v>
      </c>
      <c r="G463" s="8"/>
      <c r="H463" s="5"/>
      <c r="I463" s="5" t="e" cm="1">
        <f t="array" ref="I463">_xlfn.IFS(
  H463="Mahuva", "Mahuva",
  H463="Jesar", "Mahuva",
  H463="Palitana", "Palitana",
  H463="Gariyadhar", "Palitana",
  H463="Talaja", "Talaja",
  H463="Vallabhipur", "Vallabhipur",
  H463="Umrala", "Vallabhipur",
  H463="Shihor", "Shihor",
  H463="Ghogha", "Bhavnagar",
  H463="Bhavnagar", "Bhavnagar"
)</f>
        <v>#N/A</v>
      </c>
      <c r="J463" s="5" t="s">
        <v>256</v>
      </c>
      <c r="K463" s="5" t="s">
        <v>418</v>
      </c>
      <c r="L463" s="5">
        <v>253606</v>
      </c>
      <c r="M463" s="5">
        <v>1</v>
      </c>
      <c r="N463" s="7">
        <v>46004</v>
      </c>
      <c r="O463" s="7">
        <v>46013</v>
      </c>
      <c r="P463" s="7">
        <v>46014</v>
      </c>
      <c r="Q463" s="7">
        <f t="shared" si="93"/>
        <v>46133</v>
      </c>
      <c r="R463" s="9">
        <v>2067497.06</v>
      </c>
      <c r="S463" s="33"/>
      <c r="T463" s="9">
        <v>1833869.89</v>
      </c>
      <c r="U463" s="10">
        <v>-11.3</v>
      </c>
      <c r="V463" s="10" t="str">
        <f t="shared" si="94"/>
        <v>Below</v>
      </c>
      <c r="W463" s="11" t="str" cm="1">
        <f t="array" ref="W463">NumberToWords(T463)</f>
        <v>Eighteen Lakh Thirty Three Thousand Eight Hundred Sixty Nine Rupees and Eighty Nine Paise Only</v>
      </c>
      <c r="X463" s="10" t="str">
        <f t="shared" ref="X463:X476" si="104">IF(T463&lt;5000000,"Division",IF(T463&lt;=20000000,"Circle","Government"))</f>
        <v>Division</v>
      </c>
      <c r="Z463" s="9">
        <f t="shared" si="96"/>
        <v>1833869.89</v>
      </c>
      <c r="AA463" s="5" t="s">
        <v>964</v>
      </c>
      <c r="AB463" s="8">
        <f>_xlfn.XLOOKUP(AA463, 'Agency List'!A$2:A$145, 'Agency List'!B$2:B$145, "Not Found")</f>
        <v>0</v>
      </c>
      <c r="AC463" s="8" t="str">
        <f>_xlfn.XLOOKUP(AA463, 'Agency List'!A$2:A$145, 'Agency List'!C$2:C$145, "Not Found")</f>
        <v>At. Nana Rajkot, Tal. Lathi, Dist. Amreli</v>
      </c>
      <c r="AD463" s="8">
        <f>_xlfn.XLOOKUP(AA463, 'Agency List'!A$2:A$145, 'Agency List'!D$2:D$145, "Not Found")</f>
        <v>9879945876</v>
      </c>
      <c r="AE463" s="7"/>
      <c r="AF463" s="5" t="s">
        <v>357</v>
      </c>
      <c r="AG463" s="5" t="str">
        <f t="shared" si="97"/>
        <v>Bandhkam</v>
      </c>
      <c r="AH463" s="55"/>
      <c r="AI463" s="49"/>
      <c r="AJ463" s="20"/>
      <c r="AL463" s="16">
        <v>4</v>
      </c>
      <c r="AM463" s="12">
        <f t="shared" si="98"/>
        <v>92000</v>
      </c>
      <c r="AN463" s="7">
        <f t="shared" si="99"/>
        <v>46593</v>
      </c>
      <c r="AO463" s="12">
        <f t="shared" si="100"/>
        <v>4900</v>
      </c>
      <c r="AP463" s="12">
        <f t="shared" si="101"/>
        <v>6000</v>
      </c>
      <c r="AQ463" s="15">
        <f t="shared" si="102"/>
        <v>46178</v>
      </c>
      <c r="AR463" s="7">
        <f t="shared" si="103"/>
        <v>46533</v>
      </c>
      <c r="AS463" s="5">
        <v>1859</v>
      </c>
      <c r="AT463" s="7">
        <v>46020</v>
      </c>
      <c r="AU463" s="5"/>
      <c r="AV463" s="17"/>
      <c r="AW463" s="17"/>
      <c r="AX463" s="5"/>
      <c r="AY463" s="5"/>
      <c r="AZ463" s="13"/>
      <c r="BA463" s="12"/>
      <c r="BB463" s="7"/>
      <c r="BC463" s="14"/>
      <c r="BD463" s="14"/>
      <c r="BF463" s="12"/>
      <c r="BG463" s="14"/>
      <c r="BH463" s="19">
        <v>46023</v>
      </c>
      <c r="BI463" s="5"/>
      <c r="BM463" s="18"/>
      <c r="BN463" s="18"/>
      <c r="BO463" s="18"/>
      <c r="BP463" s="18"/>
      <c r="BQ463" s="5"/>
      <c r="BR463" s="18"/>
      <c r="BS463" s="18"/>
      <c r="BT463" s="35"/>
    </row>
    <row r="464" spans="1:72" ht="43.5" x14ac:dyDescent="0.35">
      <c r="A464" s="5">
        <v>463</v>
      </c>
      <c r="B464" s="5"/>
      <c r="C464" s="5" t="s">
        <v>78</v>
      </c>
      <c r="D464" s="5">
        <v>24</v>
      </c>
      <c r="E464" s="5">
        <v>56</v>
      </c>
      <c r="F464" s="8" t="s">
        <v>1015</v>
      </c>
      <c r="G464" s="8"/>
      <c r="H464" s="5" t="s">
        <v>257</v>
      </c>
      <c r="I464" s="5" t="str" cm="1">
        <f t="array" ref="I464">_xlfn.IFS(
  H464="Mahuva", "Mahuva",
  H464="Jesar", "Mahuva",
  H464="Palitana", "Palitana",
  H464="Gariyadhar", "Palitana",
  H464="Talaja", "Talaja",
  H464="Vallabhipur", "Vallabhipur",
  H464="Umrala", "Vallabhipur",
  H464="Shihor", "Shihor",
  H464="Ghogha", "Bhavnagar",
  H464="Bhavnagar", "Bhavnagar"
)</f>
        <v>Palitana</v>
      </c>
      <c r="J464" s="5" t="s">
        <v>256</v>
      </c>
      <c r="K464" s="5" t="s">
        <v>418</v>
      </c>
      <c r="L464" s="5">
        <v>253569</v>
      </c>
      <c r="M464" s="5">
        <v>1</v>
      </c>
      <c r="N464" s="7">
        <v>46004</v>
      </c>
      <c r="O464" s="7">
        <v>46013</v>
      </c>
      <c r="P464" s="7">
        <v>46014</v>
      </c>
      <c r="Q464" s="7">
        <f t="shared" si="93"/>
        <v>46133</v>
      </c>
      <c r="R464" s="9">
        <v>2079935.15</v>
      </c>
      <c r="S464" s="33"/>
      <c r="T464" s="9">
        <v>1869653.71</v>
      </c>
      <c r="U464" s="10">
        <v>-10.11</v>
      </c>
      <c r="V464" s="10" t="str">
        <f t="shared" si="94"/>
        <v>Below</v>
      </c>
      <c r="W464" s="11" t="str" cm="1">
        <f t="array" ref="W464">NumberToWords(T464)</f>
        <v>Eighteen Lakh Sixty Nine Thousand Six Hundred Fifty Three Rupees and Seventy One Paise Only</v>
      </c>
      <c r="X464" s="10" t="str">
        <f t="shared" si="104"/>
        <v>Division</v>
      </c>
      <c r="Z464" s="9">
        <f t="shared" si="96"/>
        <v>1869653.71</v>
      </c>
      <c r="AA464" s="5" t="s">
        <v>402</v>
      </c>
      <c r="AB464" s="8" t="str">
        <f>_xlfn.XLOOKUP(AA464, 'Agency List'!A$2:A$145, 'Agency List'!B$2:B$145, "Not Found")</f>
        <v>Kanubhai Nagbhai Sandsur</v>
      </c>
      <c r="AC464" s="8" t="str">
        <f>_xlfn.XLOOKUP(AA464, 'Agency List'!A$2:A$145, 'Agency List'!C$2:C$145, "Not Found")</f>
        <v>Shop No. 6, Nilkanth Shopping, Opp. S.T. Workshop, Gariyadhar, Dist. Bhavnagar - 364505</v>
      </c>
      <c r="AD464" s="8">
        <f>_xlfn.XLOOKUP(AA464, 'Agency List'!A$2:A$145, 'Agency List'!D$2:D$145, "Not Found")</f>
        <v>9574555050</v>
      </c>
      <c r="AE464" s="7"/>
      <c r="AF464" s="5" t="s">
        <v>1031</v>
      </c>
      <c r="AG464" s="5" t="str">
        <f t="shared" si="97"/>
        <v>Bandhkam</v>
      </c>
      <c r="AH464" s="55"/>
      <c r="AI464" s="49"/>
      <c r="AJ464" s="20"/>
      <c r="AL464" s="16">
        <v>4</v>
      </c>
      <c r="AM464" s="12">
        <f t="shared" si="98"/>
        <v>94000</v>
      </c>
      <c r="AN464" s="7">
        <f t="shared" si="99"/>
        <v>46593</v>
      </c>
      <c r="AO464" s="12">
        <f t="shared" si="100"/>
        <v>4700</v>
      </c>
      <c r="AP464" s="12">
        <f t="shared" si="101"/>
        <v>1000</v>
      </c>
      <c r="AQ464" s="15">
        <f t="shared" si="102"/>
        <v>46178</v>
      </c>
      <c r="AR464" s="7">
        <f t="shared" si="103"/>
        <v>46533</v>
      </c>
      <c r="AS464" s="5">
        <v>1860</v>
      </c>
      <c r="AT464" s="7">
        <v>46020</v>
      </c>
      <c r="AU464" s="5"/>
      <c r="AV464" s="17"/>
      <c r="AW464" s="17"/>
      <c r="AX464" s="5"/>
      <c r="AY464" s="5"/>
      <c r="AZ464" s="13"/>
      <c r="BA464" s="12"/>
      <c r="BB464" s="7"/>
      <c r="BC464" s="14"/>
      <c r="BD464" s="14"/>
      <c r="BF464" s="12"/>
      <c r="BG464" s="14"/>
      <c r="BH464" s="19">
        <v>46023</v>
      </c>
      <c r="BI464" s="5"/>
      <c r="BM464" s="18"/>
      <c r="BN464" s="18"/>
      <c r="BO464" s="18"/>
      <c r="BP464" s="18"/>
      <c r="BQ464" s="5"/>
      <c r="BR464" s="18"/>
      <c r="BS464" s="18"/>
      <c r="BT464" s="35"/>
    </row>
    <row r="465" spans="1:72" ht="58" x14ac:dyDescent="0.35">
      <c r="A465" s="5">
        <v>464</v>
      </c>
      <c r="B465" s="5"/>
      <c r="C465" s="5" t="s">
        <v>78</v>
      </c>
      <c r="D465" s="5">
        <v>24</v>
      </c>
      <c r="E465" s="5">
        <v>57</v>
      </c>
      <c r="F465" s="8" t="s">
        <v>1016</v>
      </c>
      <c r="G465" s="8"/>
      <c r="H465" s="5" t="s">
        <v>257</v>
      </c>
      <c r="I465" s="5" t="str" cm="1">
        <f t="array" ref="I465">_xlfn.IFS(
  H465="Mahuva", "Mahuva",
  H465="Jesar", "Mahuva",
  H465="Palitana", "Palitana",
  H465="Gariyadhar", "Palitana",
  H465="Talaja", "Talaja",
  H465="Vallabhipur", "Vallabhipur",
  H465="Umrala", "Vallabhipur",
  H465="Shihor", "Shihor",
  H465="Ghogha", "Bhavnagar",
  H465="Bhavnagar", "Bhavnagar"
)</f>
        <v>Palitana</v>
      </c>
      <c r="J465" s="5" t="s">
        <v>256</v>
      </c>
      <c r="K465" s="5" t="s">
        <v>418</v>
      </c>
      <c r="L465" s="5">
        <v>253607</v>
      </c>
      <c r="M465" s="5">
        <v>1</v>
      </c>
      <c r="N465" s="7">
        <v>46004</v>
      </c>
      <c r="O465" s="7">
        <v>46013</v>
      </c>
      <c r="P465" s="7">
        <v>46014</v>
      </c>
      <c r="Q465" s="7">
        <f t="shared" si="93"/>
        <v>46133</v>
      </c>
      <c r="R465" s="9">
        <v>2067497.06</v>
      </c>
      <c r="S465" s="33"/>
      <c r="T465" s="9">
        <v>1751997.0086439999</v>
      </c>
      <c r="U465" s="10">
        <v>-15.26</v>
      </c>
      <c r="V465" s="10" t="str">
        <f t="shared" si="94"/>
        <v>Below</v>
      </c>
      <c r="W465" s="11" t="str" cm="1">
        <f t="array" ref="W465">NumberToWords(T465)</f>
        <v>Seventeen Lakh Fifty One Thousand Nine Hundred Ninety Seven Rupees and Eight Thousand Six Hundred Forty Four Paise Only</v>
      </c>
      <c r="X465" s="10" t="str">
        <f t="shared" si="104"/>
        <v>Division</v>
      </c>
      <c r="Z465" s="9">
        <f t="shared" si="96"/>
        <v>1751997.0086439999</v>
      </c>
      <c r="AA465" s="5" t="s">
        <v>287</v>
      </c>
      <c r="AB465" s="8" t="str">
        <f>_xlfn.XLOOKUP(AA465, 'Agency List'!A$2:A$145, 'Agency List'!B$2:B$145, "Not Found")</f>
        <v>SANDIP DINESHBHAI VANZARA</v>
      </c>
      <c r="AC465" s="8" t="str">
        <f>_xlfn.XLOOKUP(AA465, 'Agency List'!A$2:A$145, 'Agency List'!C$2:C$145, "Not Found")</f>
        <v>Opp. HP PUMP, Palitana Road, Gariyadhar</v>
      </c>
      <c r="AD465" s="8">
        <f>_xlfn.XLOOKUP(AA465, 'Agency List'!A$2:A$145, 'Agency List'!D$2:D$145, "Not Found")</f>
        <v>8866209297</v>
      </c>
      <c r="AE465" s="7"/>
      <c r="AF465" s="5" t="s">
        <v>357</v>
      </c>
      <c r="AG465" s="5" t="str">
        <f t="shared" si="97"/>
        <v>Bandhkam</v>
      </c>
      <c r="AH465" s="55"/>
      <c r="AI465" s="49"/>
      <c r="AJ465" s="20"/>
      <c r="AL465" s="16">
        <v>4</v>
      </c>
      <c r="AM465" s="12">
        <f t="shared" si="98"/>
        <v>88000</v>
      </c>
      <c r="AN465" s="7">
        <f t="shared" si="99"/>
        <v>46593</v>
      </c>
      <c r="AO465" s="12">
        <f t="shared" si="100"/>
        <v>5400</v>
      </c>
      <c r="AP465" s="12">
        <f t="shared" si="101"/>
        <v>22000</v>
      </c>
      <c r="AQ465" s="15">
        <f t="shared" si="102"/>
        <v>46178</v>
      </c>
      <c r="AR465" s="7">
        <f t="shared" si="103"/>
        <v>46533</v>
      </c>
      <c r="AS465" s="5">
        <v>106</v>
      </c>
      <c r="AT465" s="7">
        <v>46052</v>
      </c>
      <c r="AU465" s="5"/>
      <c r="AV465" s="17"/>
      <c r="AW465" s="17"/>
      <c r="AX465" s="5"/>
      <c r="AY465" s="5"/>
      <c r="AZ465" s="13"/>
      <c r="BA465" s="12"/>
      <c r="BB465" s="7"/>
      <c r="BC465" s="14"/>
      <c r="BD465" s="14"/>
      <c r="BF465" s="12"/>
      <c r="BG465" s="14"/>
      <c r="BH465" s="19">
        <v>46023</v>
      </c>
      <c r="BI465" s="5"/>
      <c r="BM465" s="18"/>
      <c r="BN465" s="18"/>
      <c r="BO465" s="18"/>
      <c r="BP465" s="18"/>
      <c r="BQ465" s="5"/>
      <c r="BR465" s="18"/>
      <c r="BS465" s="18"/>
      <c r="BT465" s="35"/>
    </row>
    <row r="466" spans="1:72" ht="43.5" x14ac:dyDescent="0.35">
      <c r="A466" s="5">
        <v>465</v>
      </c>
      <c r="B466" s="5"/>
      <c r="C466" s="5" t="s">
        <v>78</v>
      </c>
      <c r="D466" s="5">
        <v>24</v>
      </c>
      <c r="E466" s="5">
        <v>58</v>
      </c>
      <c r="F466" s="8" t="s">
        <v>1017</v>
      </c>
      <c r="G466" s="8"/>
      <c r="H466" s="5" t="s">
        <v>2</v>
      </c>
      <c r="I466" s="5" t="str" cm="1">
        <f t="array" ref="I466">_xlfn.IFS(
  H466="Mahuva", "Mahuva",
  H466="Jesar", "Mahuva",
  H466="Palitana", "Palitana",
  H466="Gariyadhar", "Palitana",
  H466="Talaja", "Talaja",
  H466="Vallabhipur", "Vallabhipur",
  H466="Umrala", "Vallabhipur",
  H466="Shihor", "Shihor",
  H466="Ghogha", "Bhavnagar",
  H466="Bhavnagar", "Bhavnagar"
)</f>
        <v>Vallabhipur</v>
      </c>
      <c r="J466" s="5" t="s">
        <v>256</v>
      </c>
      <c r="K466" s="5" t="s">
        <v>418</v>
      </c>
      <c r="L466" s="5">
        <v>253576</v>
      </c>
      <c r="M466" s="5">
        <v>1</v>
      </c>
      <c r="N466" s="7">
        <v>46004</v>
      </c>
      <c r="O466" s="7">
        <v>46013</v>
      </c>
      <c r="P466" s="7">
        <v>46014</v>
      </c>
      <c r="Q466" s="7">
        <f t="shared" si="93"/>
        <v>46133</v>
      </c>
      <c r="R466" s="9">
        <v>2880152.67</v>
      </c>
      <c r="S466" s="33"/>
      <c r="T466" s="9">
        <v>2448417.7799999998</v>
      </c>
      <c r="U466" s="10">
        <v>-14.99</v>
      </c>
      <c r="V466" s="10" t="str">
        <f t="shared" si="94"/>
        <v>Below</v>
      </c>
      <c r="W466" s="11" t="str" cm="1">
        <f t="array" ref="W466">NumberToWords(T466)</f>
        <v>Twenty Four Lakh Forty Eight Thousand Four Hundred Seventeen Rupees and Seventy Eight Paise Only</v>
      </c>
      <c r="X466" s="10" t="str">
        <f t="shared" si="104"/>
        <v>Division</v>
      </c>
      <c r="Z466" s="9">
        <f t="shared" si="96"/>
        <v>2448417.7799999998</v>
      </c>
      <c r="AA466" s="5" t="s">
        <v>190</v>
      </c>
      <c r="AB466" s="8" t="str">
        <f>_xlfn.XLOOKUP(AA466, 'Agency List'!A$2:A$145, 'Agency List'!B$2:B$145, "Not Found")</f>
        <v>Hamirbhai Govindbhai Chavda</v>
      </c>
      <c r="AC466" s="8" t="str">
        <f>_xlfn.XLOOKUP(AA466, 'Agency List'!A$2:A$145, 'Agency List'!C$2:C$145, "Not Found")</f>
        <v>At. Lakhavad, Tal. Umrala, Dist. Bhavnagar</v>
      </c>
      <c r="AD466" s="8">
        <f>_xlfn.XLOOKUP(AA466, 'Agency List'!A$2:A$145, 'Agency List'!D$2:D$145, "Not Found")</f>
        <v>7878212124</v>
      </c>
      <c r="AE466" s="7"/>
      <c r="AF466" s="5" t="s">
        <v>1031</v>
      </c>
      <c r="AG466" s="5" t="str">
        <f t="shared" si="97"/>
        <v>Bandhkam</v>
      </c>
      <c r="AH466" s="55"/>
      <c r="AI466" s="49"/>
      <c r="AJ466" s="20"/>
      <c r="AL466" s="16">
        <v>4</v>
      </c>
      <c r="AM466" s="12">
        <f t="shared" si="98"/>
        <v>123000</v>
      </c>
      <c r="AN466" s="7">
        <f t="shared" si="99"/>
        <v>46593</v>
      </c>
      <c r="AO466" s="12">
        <f t="shared" si="100"/>
        <v>7500</v>
      </c>
      <c r="AP466" s="12">
        <f t="shared" si="101"/>
        <v>29000</v>
      </c>
      <c r="AQ466" s="15">
        <f t="shared" si="102"/>
        <v>46178</v>
      </c>
      <c r="AR466" s="7">
        <f t="shared" si="103"/>
        <v>46533</v>
      </c>
      <c r="AS466" s="5">
        <v>1862</v>
      </c>
      <c r="AT466" s="7">
        <v>46020</v>
      </c>
      <c r="AU466" s="5"/>
      <c r="AV466" s="17"/>
      <c r="AW466" s="17"/>
      <c r="AX466" s="5"/>
      <c r="AY466" s="5"/>
      <c r="AZ466" s="13"/>
      <c r="BA466" s="12"/>
      <c r="BB466" s="7"/>
      <c r="BC466" s="14"/>
      <c r="BD466" s="14"/>
      <c r="BF466" s="12"/>
      <c r="BG466" s="14"/>
      <c r="BH466" s="19">
        <v>46023</v>
      </c>
      <c r="BI466" s="5"/>
      <c r="BM466" s="18"/>
      <c r="BN466" s="18"/>
      <c r="BO466" s="18"/>
      <c r="BP466" s="18"/>
      <c r="BQ466" s="5"/>
      <c r="BR466" s="18"/>
      <c r="BS466" s="18"/>
      <c r="BT466" s="35"/>
    </row>
    <row r="467" spans="1:72" ht="43.5" x14ac:dyDescent="0.35">
      <c r="A467" s="5">
        <v>466</v>
      </c>
      <c r="B467" s="5"/>
      <c r="C467" s="5" t="s">
        <v>78</v>
      </c>
      <c r="D467" s="5">
        <v>24</v>
      </c>
      <c r="E467" s="5">
        <v>59</v>
      </c>
      <c r="F467" s="8" t="s">
        <v>1018</v>
      </c>
      <c r="G467" s="8"/>
      <c r="H467" s="5" t="s">
        <v>2</v>
      </c>
      <c r="I467" s="5" t="str" cm="1">
        <f t="array" ref="I467">_xlfn.IFS(
  H467="Mahuva", "Mahuva",
  H467="Jesar", "Mahuva",
  H467="Palitana", "Palitana",
  H467="Gariyadhar", "Palitana",
  H467="Talaja", "Talaja",
  H467="Vallabhipur", "Vallabhipur",
  H467="Umrala", "Vallabhipur",
  H467="Shihor", "Shihor",
  H467="Ghogha", "Bhavnagar",
  H467="Bhavnagar", "Bhavnagar"
)</f>
        <v>Vallabhipur</v>
      </c>
      <c r="J467" s="5" t="s">
        <v>256</v>
      </c>
      <c r="K467" s="5" t="s">
        <v>418</v>
      </c>
      <c r="L467" s="5">
        <v>253608</v>
      </c>
      <c r="M467" s="5">
        <v>1</v>
      </c>
      <c r="N467" s="7">
        <v>46004</v>
      </c>
      <c r="O467" s="7">
        <v>46013</v>
      </c>
      <c r="P467" s="7">
        <v>46014</v>
      </c>
      <c r="Q467" s="7">
        <f t="shared" si="93"/>
        <v>46133</v>
      </c>
      <c r="R467" s="9">
        <v>2067497.06</v>
      </c>
      <c r="S467" s="33"/>
      <c r="T467" s="9">
        <v>1757579.25</v>
      </c>
      <c r="U467" s="10">
        <v>-14.99</v>
      </c>
      <c r="V467" s="10" t="str">
        <f t="shared" si="94"/>
        <v>Below</v>
      </c>
      <c r="W467" s="11" t="str" cm="1">
        <f t="array" ref="W467">NumberToWords(T467)</f>
        <v>Seventeen Lakh Fifty Seven Thousand Five Hundred Seventy Nine Rupees and Twenty Five Paise Only</v>
      </c>
      <c r="X467" s="10" t="str">
        <f t="shared" si="104"/>
        <v>Division</v>
      </c>
      <c r="Z467" s="9">
        <f t="shared" si="96"/>
        <v>1757579.25</v>
      </c>
      <c r="AA467" s="5" t="s">
        <v>190</v>
      </c>
      <c r="AB467" s="8" t="str">
        <f>_xlfn.XLOOKUP(AA467, 'Agency List'!A$2:A$145, 'Agency List'!B$2:B$145, "Not Found")</f>
        <v>Hamirbhai Govindbhai Chavda</v>
      </c>
      <c r="AC467" s="8" t="str">
        <f>_xlfn.XLOOKUP(AA467, 'Agency List'!A$2:A$145, 'Agency List'!C$2:C$145, "Not Found")</f>
        <v>At. Lakhavad, Tal. Umrala, Dist. Bhavnagar</v>
      </c>
      <c r="AD467" s="8">
        <f>_xlfn.XLOOKUP(AA467, 'Agency List'!A$2:A$145, 'Agency List'!D$2:D$145, "Not Found")</f>
        <v>7878212124</v>
      </c>
      <c r="AE467" s="7"/>
      <c r="AF467" s="5" t="s">
        <v>357</v>
      </c>
      <c r="AG467" s="5" t="str">
        <f t="shared" si="97"/>
        <v>Bandhkam</v>
      </c>
      <c r="AH467" s="55"/>
      <c r="AI467" s="49"/>
      <c r="AJ467" s="20"/>
      <c r="AL467" s="16">
        <v>4</v>
      </c>
      <c r="AM467" s="12">
        <f t="shared" si="98"/>
        <v>88000</v>
      </c>
      <c r="AN467" s="7">
        <f t="shared" si="99"/>
        <v>46593</v>
      </c>
      <c r="AO467" s="12">
        <f t="shared" si="100"/>
        <v>5400</v>
      </c>
      <c r="AP467" s="12">
        <f t="shared" si="101"/>
        <v>21000</v>
      </c>
      <c r="AQ467" s="15">
        <f t="shared" si="102"/>
        <v>46178</v>
      </c>
      <c r="AR467" s="7">
        <f t="shared" si="103"/>
        <v>46533</v>
      </c>
      <c r="AS467" s="5">
        <v>1863</v>
      </c>
      <c r="AT467" s="7">
        <v>46020</v>
      </c>
      <c r="AU467" s="5"/>
      <c r="AV467" s="17"/>
      <c r="AW467" s="17"/>
      <c r="AX467" s="5"/>
      <c r="AY467" s="5"/>
      <c r="AZ467" s="13"/>
      <c r="BA467" s="12"/>
      <c r="BB467" s="7"/>
      <c r="BC467" s="14"/>
      <c r="BD467" s="14"/>
      <c r="BF467" s="12"/>
      <c r="BG467" s="14"/>
      <c r="BH467" s="19">
        <v>46023</v>
      </c>
      <c r="BI467" s="5"/>
      <c r="BM467" s="18"/>
      <c r="BN467" s="18"/>
      <c r="BO467" s="18"/>
      <c r="BP467" s="18"/>
      <c r="BQ467" s="5"/>
      <c r="BR467" s="18"/>
      <c r="BS467" s="18"/>
      <c r="BT467" s="35"/>
    </row>
    <row r="468" spans="1:72" ht="43.5" x14ac:dyDescent="0.35">
      <c r="A468" s="5">
        <v>467</v>
      </c>
      <c r="B468" s="5"/>
      <c r="C468" s="5" t="s">
        <v>78</v>
      </c>
      <c r="D468" s="5">
        <v>24</v>
      </c>
      <c r="E468" s="5">
        <v>60</v>
      </c>
      <c r="F468" s="8" t="s">
        <v>1019</v>
      </c>
      <c r="G468" s="8"/>
      <c r="H468" s="5" t="s">
        <v>2</v>
      </c>
      <c r="I468" s="5" t="str" cm="1">
        <f t="array" ref="I468">_xlfn.IFS(
  H468="Mahuva", "Mahuva",
  H468="Jesar", "Mahuva",
  H468="Palitana", "Palitana",
  H468="Gariyadhar", "Palitana",
  H468="Talaja", "Talaja",
  H468="Vallabhipur", "Vallabhipur",
  H468="Umrala", "Vallabhipur",
  H468="Shihor", "Shihor",
  H468="Ghogha", "Bhavnagar",
  H468="Bhavnagar", "Bhavnagar"
)</f>
        <v>Vallabhipur</v>
      </c>
      <c r="J468" s="5" t="s">
        <v>256</v>
      </c>
      <c r="K468" s="5" t="s">
        <v>418</v>
      </c>
      <c r="L468" s="5">
        <v>253609</v>
      </c>
      <c r="M468" s="5">
        <v>1</v>
      </c>
      <c r="N468" s="7">
        <v>46004</v>
      </c>
      <c r="O468" s="7">
        <v>46013</v>
      </c>
      <c r="P468" s="7">
        <v>46014</v>
      </c>
      <c r="Q468" s="7">
        <f t="shared" si="93"/>
        <v>46133</v>
      </c>
      <c r="R468" s="9">
        <v>2067497.06</v>
      </c>
      <c r="S468" s="33"/>
      <c r="T468" s="9">
        <v>1757579.25</v>
      </c>
      <c r="U468" s="10">
        <v>-14.99</v>
      </c>
      <c r="V468" s="10" t="str">
        <f t="shared" si="94"/>
        <v>Below</v>
      </c>
      <c r="W468" s="11" t="str" cm="1">
        <f t="array" ref="W468">NumberToWords(T468)</f>
        <v>Seventeen Lakh Fifty Seven Thousand Five Hundred Seventy Nine Rupees and Twenty Five Paise Only</v>
      </c>
      <c r="X468" s="10" t="str">
        <f t="shared" si="104"/>
        <v>Division</v>
      </c>
      <c r="Z468" s="9">
        <f t="shared" si="96"/>
        <v>1757579.25</v>
      </c>
      <c r="AA468" s="5" t="s">
        <v>190</v>
      </c>
      <c r="AB468" s="8" t="str">
        <f>_xlfn.XLOOKUP(AA468, 'Agency List'!A$2:A$145, 'Agency List'!B$2:B$145, "Not Found")</f>
        <v>Hamirbhai Govindbhai Chavda</v>
      </c>
      <c r="AC468" s="8" t="str">
        <f>_xlfn.XLOOKUP(AA468, 'Agency List'!A$2:A$145, 'Agency List'!C$2:C$145, "Not Found")</f>
        <v>At. Lakhavad, Tal. Umrala, Dist. Bhavnagar</v>
      </c>
      <c r="AD468" s="8">
        <f>_xlfn.XLOOKUP(AA468, 'Agency List'!A$2:A$145, 'Agency List'!D$2:D$145, "Not Found")</f>
        <v>7878212124</v>
      </c>
      <c r="AE468" s="7"/>
      <c r="AF468" s="5" t="s">
        <v>357</v>
      </c>
      <c r="AG468" s="5" t="str">
        <f t="shared" si="97"/>
        <v>Bandhkam</v>
      </c>
      <c r="AH468" s="55"/>
      <c r="AI468" s="49"/>
      <c r="AJ468" s="20"/>
      <c r="AL468" s="16">
        <v>4</v>
      </c>
      <c r="AM468" s="12">
        <f t="shared" si="98"/>
        <v>88000</v>
      </c>
      <c r="AN468" s="7">
        <f t="shared" si="99"/>
        <v>46593</v>
      </c>
      <c r="AO468" s="12">
        <f t="shared" si="100"/>
        <v>5400</v>
      </c>
      <c r="AP468" s="12">
        <f t="shared" si="101"/>
        <v>21000</v>
      </c>
      <c r="AQ468" s="15">
        <f t="shared" si="102"/>
        <v>46178</v>
      </c>
      <c r="AR468" s="7">
        <f t="shared" si="103"/>
        <v>46533</v>
      </c>
      <c r="AS468" s="5">
        <v>1864</v>
      </c>
      <c r="AT468" s="7">
        <v>46020</v>
      </c>
      <c r="AU468" s="5"/>
      <c r="AV468" s="17"/>
      <c r="AW468" s="17"/>
      <c r="AX468" s="5"/>
      <c r="AY468" s="5"/>
      <c r="AZ468" s="13"/>
      <c r="BA468" s="12"/>
      <c r="BB468" s="7"/>
      <c r="BC468" s="14"/>
      <c r="BD468" s="14"/>
      <c r="BF468" s="12"/>
      <c r="BG468" s="14"/>
      <c r="BH468" s="19">
        <v>46023</v>
      </c>
      <c r="BI468" s="5"/>
      <c r="BM468" s="18"/>
      <c r="BN468" s="18"/>
      <c r="BO468" s="18"/>
      <c r="BP468" s="18"/>
      <c r="BQ468" s="5"/>
      <c r="BR468" s="18"/>
      <c r="BS468" s="18"/>
      <c r="BT468" s="35"/>
    </row>
    <row r="469" spans="1:72" ht="43.5" x14ac:dyDescent="0.35">
      <c r="A469" s="5">
        <v>468</v>
      </c>
      <c r="B469" s="5"/>
      <c r="C469" s="5" t="s">
        <v>78</v>
      </c>
      <c r="D469" s="5">
        <v>24</v>
      </c>
      <c r="E469" s="5">
        <v>61</v>
      </c>
      <c r="F469" s="8" t="s">
        <v>1020</v>
      </c>
      <c r="G469" s="8"/>
      <c r="H469" s="5" t="s">
        <v>2</v>
      </c>
      <c r="I469" s="5" t="str" cm="1">
        <f t="array" ref="I469">_xlfn.IFS(
  H469="Mahuva", "Mahuva",
  H469="Jesar", "Mahuva",
  H469="Palitana", "Palitana",
  H469="Gariyadhar", "Palitana",
  H469="Talaja", "Talaja",
  H469="Vallabhipur", "Vallabhipur",
  H469="Umrala", "Vallabhipur",
  H469="Shihor", "Shihor",
  H469="Ghogha", "Bhavnagar",
  H469="Bhavnagar", "Bhavnagar"
)</f>
        <v>Vallabhipur</v>
      </c>
      <c r="J469" s="5" t="s">
        <v>256</v>
      </c>
      <c r="K469" s="5" t="s">
        <v>418</v>
      </c>
      <c r="L469" s="5">
        <v>253610</v>
      </c>
      <c r="M469" s="5">
        <v>1</v>
      </c>
      <c r="N469" s="7">
        <v>46004</v>
      </c>
      <c r="O469" s="7">
        <v>46013</v>
      </c>
      <c r="P469" s="7">
        <v>46014</v>
      </c>
      <c r="Q469" s="7">
        <f t="shared" si="93"/>
        <v>46133</v>
      </c>
      <c r="R469" s="9">
        <v>2067497.06</v>
      </c>
      <c r="S469" s="33"/>
      <c r="T469" s="9">
        <v>1757579.25</v>
      </c>
      <c r="U469" s="10">
        <v>-14.99</v>
      </c>
      <c r="V469" s="10" t="str">
        <f t="shared" si="94"/>
        <v>Below</v>
      </c>
      <c r="W469" s="11" t="str" cm="1">
        <f t="array" ref="W469">NumberToWords(T469)</f>
        <v>Seventeen Lakh Fifty Seven Thousand Five Hundred Seventy Nine Rupees and Twenty Five Paise Only</v>
      </c>
      <c r="X469" s="10" t="str">
        <f t="shared" si="104"/>
        <v>Division</v>
      </c>
      <c r="Z469" s="9">
        <f t="shared" si="96"/>
        <v>1757579.25</v>
      </c>
      <c r="AA469" s="5" t="s">
        <v>190</v>
      </c>
      <c r="AB469" s="8" t="str">
        <f>_xlfn.XLOOKUP(AA469, 'Agency List'!A$2:A$145, 'Agency List'!B$2:B$145, "Not Found")</f>
        <v>Hamirbhai Govindbhai Chavda</v>
      </c>
      <c r="AC469" s="8" t="str">
        <f>_xlfn.XLOOKUP(AA469, 'Agency List'!A$2:A$145, 'Agency List'!C$2:C$145, "Not Found")</f>
        <v>At. Lakhavad, Tal. Umrala, Dist. Bhavnagar</v>
      </c>
      <c r="AD469" s="8">
        <f>_xlfn.XLOOKUP(AA469, 'Agency List'!A$2:A$145, 'Agency List'!D$2:D$145, "Not Found")</f>
        <v>7878212124</v>
      </c>
      <c r="AE469" s="7"/>
      <c r="AF469" s="5" t="s">
        <v>357</v>
      </c>
      <c r="AG469" s="5" t="str">
        <f t="shared" si="97"/>
        <v>Bandhkam</v>
      </c>
      <c r="AH469" s="55"/>
      <c r="AI469" s="49"/>
      <c r="AJ469" s="20"/>
      <c r="AL469" s="16">
        <v>4</v>
      </c>
      <c r="AM469" s="12">
        <f t="shared" si="98"/>
        <v>88000</v>
      </c>
      <c r="AN469" s="7">
        <f t="shared" si="99"/>
        <v>46593</v>
      </c>
      <c r="AO469" s="12">
        <f t="shared" si="100"/>
        <v>5400</v>
      </c>
      <c r="AP469" s="12">
        <f t="shared" si="101"/>
        <v>21000</v>
      </c>
      <c r="AQ469" s="15">
        <f t="shared" si="102"/>
        <v>46178</v>
      </c>
      <c r="AR469" s="7">
        <f t="shared" si="103"/>
        <v>46533</v>
      </c>
      <c r="AS469" s="5">
        <v>1865</v>
      </c>
      <c r="AT469" s="7">
        <v>46020</v>
      </c>
      <c r="AU469" s="5"/>
      <c r="AV469" s="17"/>
      <c r="AW469" s="17"/>
      <c r="AX469" s="5"/>
      <c r="AY469" s="5"/>
      <c r="AZ469" s="13"/>
      <c r="BA469" s="12"/>
      <c r="BB469" s="7"/>
      <c r="BC469" s="14"/>
      <c r="BD469" s="14"/>
      <c r="BF469" s="12"/>
      <c r="BG469" s="14"/>
      <c r="BH469" s="19">
        <v>46023</v>
      </c>
      <c r="BI469" s="5"/>
      <c r="BM469" s="18"/>
      <c r="BN469" s="18"/>
      <c r="BO469" s="18"/>
      <c r="BP469" s="18"/>
      <c r="BQ469" s="5"/>
      <c r="BR469" s="18"/>
      <c r="BS469" s="18"/>
      <c r="BT469" s="35"/>
    </row>
    <row r="470" spans="1:72" ht="43.5" x14ac:dyDescent="0.35">
      <c r="A470" s="5">
        <v>469</v>
      </c>
      <c r="B470" s="5"/>
      <c r="C470" s="5" t="s">
        <v>78</v>
      </c>
      <c r="D470" s="5">
        <v>24</v>
      </c>
      <c r="E470" s="5">
        <v>62</v>
      </c>
      <c r="F470" s="8" t="s">
        <v>1021</v>
      </c>
      <c r="G470" s="8"/>
      <c r="H470" s="5" t="s">
        <v>1</v>
      </c>
      <c r="I470" s="5" t="str" cm="1">
        <f t="array" ref="I470">_xlfn.IFS(
  H470="Mahuva", "Mahuva",
  H470="Jesar", "Mahuva",
  H470="Palitana", "Palitana",
  H470="Gariyadhar", "Palitana",
  H470="Talaja", "Talaja",
  H470="Vallabhipur", "Vallabhipur",
  H470="Umrala", "Vallabhipur",
  H470="Shihor", "Shihor",
  H470="Ghogha", "Bhavnagar",
  H470="Bhavnagar", "Bhavnagar"
)</f>
        <v>Bhavnagar</v>
      </c>
      <c r="J470" s="5" t="s">
        <v>256</v>
      </c>
      <c r="K470" s="5" t="s">
        <v>418</v>
      </c>
      <c r="L470" s="5">
        <v>253618</v>
      </c>
      <c r="M470" s="5">
        <v>1</v>
      </c>
      <c r="N470" s="7">
        <v>46004</v>
      </c>
      <c r="O470" s="7">
        <v>46013</v>
      </c>
      <c r="P470" s="7">
        <v>46014</v>
      </c>
      <c r="Q470" s="7">
        <f t="shared" si="93"/>
        <v>46133</v>
      </c>
      <c r="R470" s="9">
        <v>2067497.06</v>
      </c>
      <c r="S470" s="33"/>
      <c r="T470" s="9">
        <v>1942826.99</v>
      </c>
      <c r="U470" s="10">
        <v>-6.03</v>
      </c>
      <c r="V470" s="10" t="str">
        <f t="shared" si="94"/>
        <v>Below</v>
      </c>
      <c r="W470" s="11" t="str" cm="1">
        <f t="array" ref="W470">NumberToWords(T470)</f>
        <v>Nineteen Lakh Forty Two Thousand Eight Hundred Twenty Six Rupees and Ninety Nine Paise Only</v>
      </c>
      <c r="X470" s="10" t="str">
        <f t="shared" si="104"/>
        <v>Division</v>
      </c>
      <c r="Z470" s="9">
        <f t="shared" si="96"/>
        <v>1942826.99</v>
      </c>
      <c r="AA470" s="5" t="s">
        <v>961</v>
      </c>
      <c r="AB470" s="8">
        <f>_xlfn.XLOOKUP(AA470, 'Agency List'!A$2:A$145, 'Agency List'!B$2:B$145, "Not Found")</f>
        <v>0</v>
      </c>
      <c r="AC470" s="8" t="str">
        <f>_xlfn.XLOOKUP(AA470, 'Agency List'!A$2:A$145, 'Agency List'!C$2:C$145, "Not Found")</f>
        <v>Shop No. 44, Madhav Complex, Shastrinagar, Bhavnagar</v>
      </c>
      <c r="AD470" s="8">
        <f>_xlfn.XLOOKUP(AA470, 'Agency List'!A$2:A$145, 'Agency List'!D$2:D$145, "Not Found")</f>
        <v>9824559999</v>
      </c>
      <c r="AE470" s="7"/>
      <c r="AF470" s="5" t="s">
        <v>357</v>
      </c>
      <c r="AG470" s="5" t="str">
        <f t="shared" si="97"/>
        <v>Bandhkam</v>
      </c>
      <c r="AH470" s="55"/>
      <c r="AI470" s="49"/>
      <c r="AJ470" s="20"/>
      <c r="AL470" s="16">
        <v>4</v>
      </c>
      <c r="AM470" s="12">
        <f t="shared" si="98"/>
        <v>98000</v>
      </c>
      <c r="AN470" s="7">
        <f t="shared" si="99"/>
        <v>46593</v>
      </c>
      <c r="AO470" s="12">
        <f t="shared" si="100"/>
        <v>4900</v>
      </c>
      <c r="AP470" s="12">
        <f t="shared" si="101"/>
        <v>0</v>
      </c>
      <c r="AQ470" s="15">
        <f t="shared" si="102"/>
        <v>46178</v>
      </c>
      <c r="AR470" s="7">
        <f t="shared" si="103"/>
        <v>46533</v>
      </c>
      <c r="AS470" s="5">
        <v>1866</v>
      </c>
      <c r="AT470" s="7">
        <v>46020</v>
      </c>
      <c r="AU470" s="5"/>
      <c r="AV470" s="17"/>
      <c r="AW470" s="17"/>
      <c r="AX470" s="5"/>
      <c r="AY470" s="5"/>
      <c r="AZ470" s="13"/>
      <c r="BA470" s="12"/>
      <c r="BB470" s="7"/>
      <c r="BC470" s="14"/>
      <c r="BD470" s="14"/>
      <c r="BF470" s="12"/>
      <c r="BG470" s="14"/>
      <c r="BH470" s="19">
        <v>46023</v>
      </c>
      <c r="BI470" s="5"/>
      <c r="BM470" s="18"/>
      <c r="BN470" s="18"/>
      <c r="BO470" s="18"/>
      <c r="BP470" s="18"/>
      <c r="BQ470" s="5"/>
      <c r="BR470" s="18"/>
      <c r="BS470" s="18"/>
      <c r="BT470" s="35"/>
    </row>
    <row r="471" spans="1:72" ht="43.5" x14ac:dyDescent="0.35">
      <c r="A471" s="5">
        <v>470</v>
      </c>
      <c r="B471" s="5"/>
      <c r="C471" s="5" t="s">
        <v>78</v>
      </c>
      <c r="D471" s="5">
        <v>24</v>
      </c>
      <c r="E471" s="5">
        <v>63</v>
      </c>
      <c r="F471" s="8" t="s">
        <v>1022</v>
      </c>
      <c r="G471" s="8"/>
      <c r="H471" s="5" t="s">
        <v>1</v>
      </c>
      <c r="I471" s="5" t="str" cm="1">
        <f t="array" ref="I471">_xlfn.IFS(
  H471="Mahuva", "Mahuva",
  H471="Jesar", "Mahuva",
  H471="Palitana", "Palitana",
  H471="Gariyadhar", "Palitana",
  H471="Talaja", "Talaja",
  H471="Vallabhipur", "Vallabhipur",
  H471="Umrala", "Vallabhipur",
  H471="Shihor", "Shihor",
  H471="Ghogha", "Bhavnagar",
  H471="Bhavnagar", "Bhavnagar"
)</f>
        <v>Bhavnagar</v>
      </c>
      <c r="J471" s="5" t="s">
        <v>256</v>
      </c>
      <c r="K471" s="5" t="s">
        <v>418</v>
      </c>
      <c r="L471" s="5">
        <v>253619</v>
      </c>
      <c r="M471" s="5">
        <v>1</v>
      </c>
      <c r="N471" s="7">
        <v>46004</v>
      </c>
      <c r="O471" s="7">
        <v>46013</v>
      </c>
      <c r="P471" s="7">
        <v>46014</v>
      </c>
      <c r="Q471" s="7">
        <f t="shared" si="93"/>
        <v>46133</v>
      </c>
      <c r="R471" s="9">
        <v>2067497.06</v>
      </c>
      <c r="S471" s="33"/>
      <c r="U471" s="10"/>
      <c r="V471" s="10" t="str">
        <f t="shared" si="94"/>
        <v>Equals</v>
      </c>
      <c r="W471" s="11" t="str" cm="1">
        <f t="array" ref="W471">NumberToWords(T471)</f>
        <v>Zero Rupees Only</v>
      </c>
      <c r="X471" s="10" t="str">
        <f t="shared" si="104"/>
        <v>Division</v>
      </c>
      <c r="Z471" s="9">
        <f t="shared" si="96"/>
        <v>0</v>
      </c>
      <c r="AA471" s="5" t="s">
        <v>965</v>
      </c>
      <c r="AB471" s="8" t="str">
        <f>_xlfn.XLOOKUP(AA471, 'Agency List'!A$2:A$145, 'Agency List'!B$2:B$145, "Not Found")</f>
        <v>Not Found</v>
      </c>
      <c r="AC471" s="8" t="str">
        <f>_xlfn.XLOOKUP(AA471, 'Agency List'!A$2:A$145, 'Agency List'!C$2:C$145, "Not Found")</f>
        <v>Not Found</v>
      </c>
      <c r="AD471" s="8" t="str">
        <f>_xlfn.XLOOKUP(AA471, 'Agency List'!A$2:A$145, 'Agency List'!D$2:D$145, "Not Found")</f>
        <v>Not Found</v>
      </c>
      <c r="AE471" s="7"/>
      <c r="AF471" s="5" t="s">
        <v>357</v>
      </c>
      <c r="AG471" s="5" t="str">
        <f t="shared" si="97"/>
        <v>Bandhkam</v>
      </c>
      <c r="AH471" s="55"/>
      <c r="AI471" s="49"/>
      <c r="AJ471" s="20"/>
      <c r="AL471" s="16">
        <v>4</v>
      </c>
      <c r="AM471" s="12">
        <f t="shared" si="98"/>
        <v>0</v>
      </c>
      <c r="AN471" s="7">
        <f t="shared" si="99"/>
        <v>46593</v>
      </c>
      <c r="AO471" s="12">
        <f t="shared" si="100"/>
        <v>0</v>
      </c>
      <c r="AP471" s="12">
        <f t="shared" si="101"/>
        <v>0</v>
      </c>
      <c r="AQ471" s="15">
        <f t="shared" si="102"/>
        <v>46178</v>
      </c>
      <c r="AR471" s="7">
        <f t="shared" si="103"/>
        <v>46533</v>
      </c>
      <c r="AS471" s="5">
        <v>1867</v>
      </c>
      <c r="AT471" s="7">
        <v>46020</v>
      </c>
      <c r="AU471" s="5"/>
      <c r="AV471" s="17"/>
      <c r="AW471" s="17"/>
      <c r="AX471" s="5"/>
      <c r="AY471" s="5"/>
      <c r="AZ471" s="13"/>
      <c r="BA471" s="12"/>
      <c r="BB471" s="7"/>
      <c r="BC471" s="14"/>
      <c r="BD471" s="14"/>
      <c r="BF471" s="12"/>
      <c r="BG471" s="14"/>
      <c r="BH471" s="19">
        <v>46023</v>
      </c>
      <c r="BI471" s="5"/>
      <c r="BM471" s="18"/>
      <c r="BN471" s="18"/>
      <c r="BO471" s="18"/>
      <c r="BP471" s="18"/>
      <c r="BQ471" s="5"/>
      <c r="BR471" s="18"/>
      <c r="BS471" s="18"/>
      <c r="BT471" s="35"/>
    </row>
    <row r="472" spans="1:72" ht="43.5" x14ac:dyDescent="0.35">
      <c r="A472" s="5">
        <v>471</v>
      </c>
      <c r="B472" s="5"/>
      <c r="C472" s="5" t="s">
        <v>78</v>
      </c>
      <c r="D472" s="5">
        <v>24</v>
      </c>
      <c r="E472" s="5">
        <v>64</v>
      </c>
      <c r="F472" s="8" t="s">
        <v>1023</v>
      </c>
      <c r="G472" s="8"/>
      <c r="H472" s="5" t="s">
        <v>1</v>
      </c>
      <c r="I472" s="5" t="str" cm="1">
        <f t="array" ref="I472">_xlfn.IFS(
  H472="Mahuva", "Mahuva",
  H472="Jesar", "Mahuva",
  H472="Palitana", "Palitana",
  H472="Gariyadhar", "Palitana",
  H472="Talaja", "Talaja",
  H472="Vallabhipur", "Vallabhipur",
  H472="Umrala", "Vallabhipur",
  H472="Shihor", "Shihor",
  H472="Ghogha", "Bhavnagar",
  H472="Bhavnagar", "Bhavnagar"
)</f>
        <v>Bhavnagar</v>
      </c>
      <c r="J472" s="5" t="s">
        <v>256</v>
      </c>
      <c r="K472" s="5" t="s">
        <v>418</v>
      </c>
      <c r="L472" s="5">
        <v>253620</v>
      </c>
      <c r="M472" s="5">
        <v>1</v>
      </c>
      <c r="N472" s="7">
        <v>46004</v>
      </c>
      <c r="O472" s="7">
        <v>46013</v>
      </c>
      <c r="P472" s="7">
        <v>46014</v>
      </c>
      <c r="Q472" s="7">
        <f t="shared" si="93"/>
        <v>46133</v>
      </c>
      <c r="R472" s="9">
        <v>2067497.06</v>
      </c>
      <c r="S472" s="33"/>
      <c r="T472" s="9">
        <v>1961847.96</v>
      </c>
      <c r="U472" s="10">
        <v>-5.1100000000000003</v>
      </c>
      <c r="V472" s="10" t="str">
        <f t="shared" si="94"/>
        <v>Below</v>
      </c>
      <c r="W472" s="11" t="str" cm="1">
        <f t="array" ref="W472">NumberToWords(T472)</f>
        <v>Nineteen Lakh Sixty One Thousand Eight Hundred Forty Seven Rupees and Ninety Six Paise Only</v>
      </c>
      <c r="X472" s="10" t="str">
        <f t="shared" si="104"/>
        <v>Division</v>
      </c>
      <c r="Z472" s="9">
        <f t="shared" si="96"/>
        <v>1961847.96</v>
      </c>
      <c r="AA472" s="5" t="s">
        <v>961</v>
      </c>
      <c r="AB472" s="8">
        <f>_xlfn.XLOOKUP(AA472, 'Agency List'!A$2:A$145, 'Agency List'!B$2:B$145, "Not Found")</f>
        <v>0</v>
      </c>
      <c r="AC472" s="8" t="str">
        <f>_xlfn.XLOOKUP(AA472, 'Agency List'!A$2:A$145, 'Agency List'!C$2:C$145, "Not Found")</f>
        <v>Shop No. 44, Madhav Complex, Shastrinagar, Bhavnagar</v>
      </c>
      <c r="AD472" s="8">
        <f>_xlfn.XLOOKUP(AA472, 'Agency List'!A$2:A$145, 'Agency List'!D$2:D$145, "Not Found")</f>
        <v>9824559999</v>
      </c>
      <c r="AE472" s="7"/>
      <c r="AF472" s="5" t="s">
        <v>357</v>
      </c>
      <c r="AG472" s="5" t="str">
        <f t="shared" si="97"/>
        <v>Bandhkam</v>
      </c>
      <c r="AH472" s="55"/>
      <c r="AI472" s="49"/>
      <c r="AJ472" s="20"/>
      <c r="AL472" s="16">
        <v>4</v>
      </c>
      <c r="AM472" s="12">
        <f t="shared" si="98"/>
        <v>99000</v>
      </c>
      <c r="AN472" s="7">
        <f t="shared" si="99"/>
        <v>46593</v>
      </c>
      <c r="AO472" s="12">
        <f t="shared" si="100"/>
        <v>4900</v>
      </c>
      <c r="AP472" s="12">
        <f t="shared" si="101"/>
        <v>0</v>
      </c>
      <c r="AQ472" s="15">
        <f t="shared" si="102"/>
        <v>46178</v>
      </c>
      <c r="AR472" s="7">
        <f t="shared" si="103"/>
        <v>46533</v>
      </c>
      <c r="AS472" s="5">
        <v>1868</v>
      </c>
      <c r="AT472" s="7">
        <v>46020</v>
      </c>
      <c r="AU472" s="5"/>
      <c r="AV472" s="17"/>
      <c r="AW472" s="17"/>
      <c r="AX472" s="5"/>
      <c r="AY472" s="5"/>
      <c r="AZ472" s="13"/>
      <c r="BA472" s="12"/>
      <c r="BB472" s="7"/>
      <c r="BC472" s="14"/>
      <c r="BD472" s="14"/>
      <c r="BF472" s="12"/>
      <c r="BG472" s="14"/>
      <c r="BH472" s="19">
        <v>46023</v>
      </c>
      <c r="BI472" s="5"/>
      <c r="BM472" s="18"/>
      <c r="BN472" s="18"/>
      <c r="BO472" s="18"/>
      <c r="BP472" s="18"/>
      <c r="BQ472" s="5"/>
      <c r="BR472" s="18"/>
      <c r="BS472" s="18"/>
      <c r="BT472" s="35"/>
    </row>
    <row r="473" spans="1:72" ht="58" x14ac:dyDescent="0.35">
      <c r="A473" s="5">
        <v>472</v>
      </c>
      <c r="B473" s="5"/>
      <c r="C473" s="5" t="s">
        <v>78</v>
      </c>
      <c r="D473" s="5">
        <v>24</v>
      </c>
      <c r="E473" s="5">
        <v>65</v>
      </c>
      <c r="F473" s="8" t="s">
        <v>1024</v>
      </c>
      <c r="G473" s="8"/>
      <c r="H473" s="5" t="s">
        <v>1</v>
      </c>
      <c r="I473" s="5" t="str" cm="1">
        <f t="array" ref="I473">_xlfn.IFS(
  H473="Mahuva", "Mahuva",
  H473="Jesar", "Mahuva",
  H473="Palitana", "Palitana",
  H473="Gariyadhar", "Palitana",
  H473="Talaja", "Talaja",
  H473="Vallabhipur", "Vallabhipur",
  H473="Umrala", "Vallabhipur",
  H473="Shihor", "Shihor",
  H473="Ghogha", "Bhavnagar",
  H473="Bhavnagar", "Bhavnagar"
)</f>
        <v>Bhavnagar</v>
      </c>
      <c r="J473" s="5" t="s">
        <v>256</v>
      </c>
      <c r="K473" s="5" t="s">
        <v>418</v>
      </c>
      <c r="L473" s="5">
        <v>253621</v>
      </c>
      <c r="M473" s="5">
        <v>1</v>
      </c>
      <c r="N473" s="7">
        <v>46004</v>
      </c>
      <c r="O473" s="7">
        <v>46013</v>
      </c>
      <c r="P473" s="7">
        <v>46014</v>
      </c>
      <c r="Q473" s="7">
        <f t="shared" si="93"/>
        <v>46133</v>
      </c>
      <c r="R473" s="9">
        <v>2067497.06</v>
      </c>
      <c r="S473" s="33"/>
      <c r="T473" s="9">
        <v>1936624.5</v>
      </c>
      <c r="U473" s="10">
        <v>-6.33</v>
      </c>
      <c r="V473" s="10" t="str">
        <f t="shared" si="94"/>
        <v>Below</v>
      </c>
      <c r="W473" s="11" t="str" cm="1">
        <f t="array" ref="W473">NumberToWords(T473)</f>
        <v>Nineteen Lakh Thirty Six Thousand Six Hundred Twenty Four Rupees and Five Paise Only</v>
      </c>
      <c r="X473" s="10" t="str">
        <f t="shared" si="104"/>
        <v>Division</v>
      </c>
      <c r="Z473" s="9">
        <f t="shared" si="96"/>
        <v>1936624.5</v>
      </c>
      <c r="AA473" s="5" t="s">
        <v>281</v>
      </c>
      <c r="AB473" s="8" t="str">
        <f>_xlfn.XLOOKUP(AA473, 'Agency List'!A$2:A$145, 'Agency List'!B$2:B$145, "Not Found")</f>
        <v>UDAYBHAI RAMKUBHAI LUNSAR</v>
      </c>
      <c r="AC473" s="8" t="str">
        <f>_xlfn.XLOOKUP(AA473, 'Agency List'!A$2:A$145, 'Agency List'!C$2:C$145, "Not Found")</f>
        <v>Shop No. 5, First Floor, Nilkanth Arcade, Opp. Arjun Tokiz, Palitana Road, Gariyadhar- 364505</v>
      </c>
      <c r="AD473" s="8">
        <f>_xlfn.XLOOKUP(AA473, 'Agency List'!A$2:A$145, 'Agency List'!D$2:D$145, "Not Found")</f>
        <v>9824226646</v>
      </c>
      <c r="AE473" s="7"/>
      <c r="AF473" s="5" t="s">
        <v>357</v>
      </c>
      <c r="AG473" s="5" t="str">
        <f t="shared" si="97"/>
        <v>Bandhkam</v>
      </c>
      <c r="AH473" s="55"/>
      <c r="AI473" s="49"/>
      <c r="AJ473" s="20"/>
      <c r="AL473" s="16">
        <v>4</v>
      </c>
      <c r="AM473" s="12">
        <f t="shared" si="98"/>
        <v>97000</v>
      </c>
      <c r="AN473" s="7">
        <f t="shared" si="99"/>
        <v>46593</v>
      </c>
      <c r="AO473" s="12">
        <f t="shared" si="100"/>
        <v>4800</v>
      </c>
      <c r="AP473" s="12">
        <f t="shared" si="101"/>
        <v>0</v>
      </c>
      <c r="AQ473" s="15">
        <f t="shared" si="102"/>
        <v>46178</v>
      </c>
      <c r="AR473" s="7">
        <f t="shared" si="103"/>
        <v>46533</v>
      </c>
      <c r="AS473" s="5">
        <v>1869</v>
      </c>
      <c r="AT473" s="7">
        <v>46020</v>
      </c>
      <c r="AU473" s="5"/>
      <c r="AV473" s="17"/>
      <c r="AW473" s="17"/>
      <c r="AX473" s="5"/>
      <c r="AY473" s="5"/>
      <c r="AZ473" s="13"/>
      <c r="BA473" s="12"/>
      <c r="BB473" s="7"/>
      <c r="BC473" s="14"/>
      <c r="BD473" s="14"/>
      <c r="BF473" s="12"/>
      <c r="BG473" s="14"/>
      <c r="BH473" s="19">
        <v>46023</v>
      </c>
      <c r="BI473" s="5"/>
      <c r="BM473" s="18"/>
      <c r="BN473" s="18"/>
      <c r="BO473" s="18"/>
      <c r="BP473" s="18"/>
      <c r="BQ473" s="5"/>
      <c r="BR473" s="18"/>
      <c r="BS473" s="18"/>
      <c r="BT473" s="35"/>
    </row>
    <row r="474" spans="1:72" ht="43.5" x14ac:dyDescent="0.35">
      <c r="A474" s="5">
        <v>473</v>
      </c>
      <c r="B474" s="5"/>
      <c r="C474" s="5" t="s">
        <v>78</v>
      </c>
      <c r="D474" s="5">
        <v>24</v>
      </c>
      <c r="E474" s="5">
        <v>66</v>
      </c>
      <c r="F474" s="8" t="s">
        <v>1025</v>
      </c>
      <c r="G474" s="8"/>
      <c r="H474" s="5" t="s">
        <v>1</v>
      </c>
      <c r="I474" s="5" t="str" cm="1">
        <f t="array" ref="I474">_xlfn.IFS(
  H474="Mahuva", "Mahuva",
  H474="Jesar", "Mahuva",
  H474="Palitana", "Palitana",
  H474="Gariyadhar", "Palitana",
  H474="Talaja", "Talaja",
  H474="Vallabhipur", "Vallabhipur",
  H474="Umrala", "Vallabhipur",
  H474="Shihor", "Shihor",
  H474="Ghogha", "Bhavnagar",
  H474="Bhavnagar", "Bhavnagar"
)</f>
        <v>Bhavnagar</v>
      </c>
      <c r="J474" s="5" t="s">
        <v>256</v>
      </c>
      <c r="K474" s="5" t="s">
        <v>418</v>
      </c>
      <c r="L474" s="5">
        <v>253611</v>
      </c>
      <c r="M474" s="5">
        <v>1</v>
      </c>
      <c r="N474" s="7">
        <v>46004</v>
      </c>
      <c r="O474" s="7">
        <v>46013</v>
      </c>
      <c r="P474" s="7">
        <v>46014</v>
      </c>
      <c r="Q474" s="7">
        <f t="shared" si="93"/>
        <v>46133</v>
      </c>
      <c r="R474" s="9">
        <v>2067497.06</v>
      </c>
      <c r="S474" s="33"/>
      <c r="T474" s="9">
        <v>1942826.99</v>
      </c>
      <c r="U474" s="10">
        <v>-6.03</v>
      </c>
      <c r="V474" s="10" t="str">
        <f t="shared" si="94"/>
        <v>Below</v>
      </c>
      <c r="W474" s="11" t="str" cm="1">
        <f t="array" ref="W474">NumberToWords(T474)</f>
        <v>Nineteen Lakh Forty Two Thousand Eight Hundred Twenty Six Rupees and Ninety Nine Paise Only</v>
      </c>
      <c r="X474" s="10" t="str">
        <f t="shared" si="104"/>
        <v>Division</v>
      </c>
      <c r="Z474" s="9">
        <f t="shared" si="96"/>
        <v>1942826.99</v>
      </c>
      <c r="AA474" s="5" t="s">
        <v>961</v>
      </c>
      <c r="AB474" s="8">
        <f>_xlfn.XLOOKUP(AA474, 'Agency List'!A$2:A$145, 'Agency List'!B$2:B$145, "Not Found")</f>
        <v>0</v>
      </c>
      <c r="AC474" s="8" t="str">
        <f>_xlfn.XLOOKUP(AA474, 'Agency List'!A$2:A$145, 'Agency List'!C$2:C$145, "Not Found")</f>
        <v>Shop No. 44, Madhav Complex, Shastrinagar, Bhavnagar</v>
      </c>
      <c r="AD474" s="8">
        <f>_xlfn.XLOOKUP(AA474, 'Agency List'!A$2:A$145, 'Agency List'!D$2:D$145, "Not Found")</f>
        <v>9824559999</v>
      </c>
      <c r="AE474" s="7"/>
      <c r="AF474" s="5" t="s">
        <v>357</v>
      </c>
      <c r="AG474" s="5" t="str">
        <f t="shared" si="97"/>
        <v>Bandhkam</v>
      </c>
      <c r="AH474" s="55"/>
      <c r="AI474" s="49"/>
      <c r="AJ474" s="20"/>
      <c r="AL474" s="16">
        <v>4</v>
      </c>
      <c r="AM474" s="12">
        <f t="shared" si="98"/>
        <v>98000</v>
      </c>
      <c r="AN474" s="7">
        <f t="shared" si="99"/>
        <v>46593</v>
      </c>
      <c r="AO474" s="12">
        <f t="shared" si="100"/>
        <v>4900</v>
      </c>
      <c r="AP474" s="12">
        <f t="shared" si="101"/>
        <v>0</v>
      </c>
      <c r="AQ474" s="15">
        <f t="shared" si="102"/>
        <v>46178</v>
      </c>
      <c r="AR474" s="7">
        <f t="shared" si="103"/>
        <v>46533</v>
      </c>
      <c r="AS474" s="5">
        <v>1870</v>
      </c>
      <c r="AT474" s="7">
        <v>46020</v>
      </c>
      <c r="AU474" s="5"/>
      <c r="AV474" s="17"/>
      <c r="AW474" s="17"/>
      <c r="AX474" s="5"/>
      <c r="AY474" s="5"/>
      <c r="AZ474" s="13"/>
      <c r="BA474" s="12"/>
      <c r="BB474" s="7"/>
      <c r="BC474" s="14"/>
      <c r="BD474" s="14"/>
      <c r="BF474" s="12"/>
      <c r="BG474" s="14"/>
      <c r="BH474" s="19">
        <v>46023</v>
      </c>
      <c r="BI474" s="5"/>
      <c r="BM474" s="18"/>
      <c r="BN474" s="18"/>
      <c r="BO474" s="18"/>
      <c r="BP474" s="18"/>
      <c r="BQ474" s="5"/>
      <c r="BR474" s="18"/>
      <c r="BS474" s="18"/>
      <c r="BT474" s="35"/>
    </row>
    <row r="475" spans="1:72" ht="43.5" x14ac:dyDescent="0.35">
      <c r="A475" s="5">
        <v>474</v>
      </c>
      <c r="B475" s="5"/>
      <c r="C475" s="5" t="s">
        <v>78</v>
      </c>
      <c r="D475" s="5">
        <v>24</v>
      </c>
      <c r="E475" s="5">
        <v>67</v>
      </c>
      <c r="F475" s="8" t="s">
        <v>1026</v>
      </c>
      <c r="G475" s="8"/>
      <c r="H475" s="5" t="s">
        <v>1</v>
      </c>
      <c r="I475" s="5" t="str" cm="1">
        <f t="array" ref="I475">_xlfn.IFS(
  H475="Mahuva", "Mahuva",
  H475="Jesar", "Mahuva",
  H475="Palitana", "Palitana",
  H475="Gariyadhar", "Palitana",
  H475="Talaja", "Talaja",
  H475="Vallabhipur", "Vallabhipur",
  H475="Umrala", "Vallabhipur",
  H475="Shihor", "Shihor",
  H475="Ghogha", "Bhavnagar",
  H475="Bhavnagar", "Bhavnagar"
)</f>
        <v>Bhavnagar</v>
      </c>
      <c r="J475" s="5" t="s">
        <v>256</v>
      </c>
      <c r="K475" s="5" t="s">
        <v>418</v>
      </c>
      <c r="L475" s="5">
        <v>253622</v>
      </c>
      <c r="M475" s="5">
        <v>1</v>
      </c>
      <c r="N475" s="7">
        <v>46004</v>
      </c>
      <c r="O475" s="7">
        <v>46013</v>
      </c>
      <c r="P475" s="7">
        <v>46014</v>
      </c>
      <c r="Q475" s="7">
        <f t="shared" si="93"/>
        <v>46133</v>
      </c>
      <c r="R475" s="9">
        <v>2067497.06</v>
      </c>
      <c r="S475" s="33"/>
      <c r="T475" s="9">
        <v>1922358.77</v>
      </c>
      <c r="U475" s="10">
        <v>-7.02</v>
      </c>
      <c r="V475" s="10" t="str">
        <f t="shared" si="94"/>
        <v>Below</v>
      </c>
      <c r="W475" s="11" t="str" cm="1">
        <f t="array" ref="W475">NumberToWords(T475)</f>
        <v>Nineteen Lakh Twenty Two Thousand Three Hundred Fifty Eight Rupees and Seventy Seven Paise Only</v>
      </c>
      <c r="X475" s="10" t="str">
        <f t="shared" si="104"/>
        <v>Division</v>
      </c>
      <c r="Z475" s="9">
        <f t="shared" si="96"/>
        <v>1922358.77</v>
      </c>
      <c r="AA475" s="5" t="s">
        <v>966</v>
      </c>
      <c r="AB475" s="8">
        <f>_xlfn.XLOOKUP(AA475, 'Agency List'!A$2:A$145, 'Agency List'!B$2:B$145, "Not Found")</f>
        <v>0</v>
      </c>
      <c r="AC475" s="8" t="str">
        <f>_xlfn.XLOOKUP(AA475, 'Agency List'!A$2:A$145, 'Agency List'!C$2:C$145, "Not Found")</f>
        <v>Ramnagar, Budhel, Dist. Bhavnagar</v>
      </c>
      <c r="AD475" s="8">
        <f>_xlfn.XLOOKUP(AA475, 'Agency List'!A$2:A$145, 'Agency List'!D$2:D$145, "Not Found")</f>
        <v>8000123928</v>
      </c>
      <c r="AE475" s="7"/>
      <c r="AF475" s="5" t="s">
        <v>357</v>
      </c>
      <c r="AG475" s="5" t="str">
        <f t="shared" si="97"/>
        <v>Bandhkam</v>
      </c>
      <c r="AH475" s="55"/>
      <c r="AI475" s="49"/>
      <c r="AJ475" s="20"/>
      <c r="AL475" s="16">
        <v>4</v>
      </c>
      <c r="AM475" s="12">
        <f t="shared" si="98"/>
        <v>97000</v>
      </c>
      <c r="AN475" s="7">
        <f t="shared" si="99"/>
        <v>46593</v>
      </c>
      <c r="AO475" s="12">
        <f t="shared" si="100"/>
        <v>4800</v>
      </c>
      <c r="AP475" s="12">
        <f t="shared" si="101"/>
        <v>0</v>
      </c>
      <c r="AQ475" s="15">
        <f t="shared" si="102"/>
        <v>46178</v>
      </c>
      <c r="AR475" s="7">
        <f t="shared" si="103"/>
        <v>46533</v>
      </c>
      <c r="AS475" s="5">
        <v>1871</v>
      </c>
      <c r="AT475" s="7">
        <v>46020</v>
      </c>
      <c r="AU475" s="5"/>
      <c r="AV475" s="17"/>
      <c r="AW475" s="17"/>
      <c r="AX475" s="5"/>
      <c r="AY475" s="5"/>
      <c r="AZ475" s="13"/>
      <c r="BA475" s="12"/>
      <c r="BB475" s="7"/>
      <c r="BC475" s="14"/>
      <c r="BD475" s="14"/>
      <c r="BF475" s="12"/>
      <c r="BG475" s="14"/>
      <c r="BH475" s="19">
        <v>46023</v>
      </c>
      <c r="BI475" s="5"/>
      <c r="BM475" s="18"/>
      <c r="BN475" s="18"/>
      <c r="BO475" s="18"/>
      <c r="BP475" s="18"/>
      <c r="BQ475" s="5"/>
      <c r="BR475" s="18"/>
      <c r="BS475" s="18"/>
      <c r="BT475" s="35"/>
    </row>
    <row r="476" spans="1:72" ht="58" x14ac:dyDescent="0.35">
      <c r="A476" s="5">
        <v>475</v>
      </c>
      <c r="B476" s="5"/>
      <c r="C476" s="5" t="s">
        <v>78</v>
      </c>
      <c r="D476" s="5">
        <v>24</v>
      </c>
      <c r="E476" s="5">
        <v>68</v>
      </c>
      <c r="F476" s="8" t="s">
        <v>1027</v>
      </c>
      <c r="G476" s="8"/>
      <c r="H476" s="5" t="s">
        <v>13</v>
      </c>
      <c r="I476" s="5" t="str" cm="1">
        <f t="array" ref="I476">_xlfn.IFS(
  H476="Mahuva", "Mahuva",
  H476="Jesar", "Mahuva",
  H476="Palitana", "Palitana",
  H476="Gariyadhar", "Palitana",
  H476="Talaja", "Talaja",
  H476="Vallabhipur", "Vallabhipur",
  H476="Umrala", "Vallabhipur",
  H476="Shihor", "Shihor",
  H476="Ghogha", "Bhavnagar",
  H476="Bhavnagar", "Bhavnagar"
)</f>
        <v>Shihor</v>
      </c>
      <c r="J476" s="5" t="s">
        <v>256</v>
      </c>
      <c r="K476" s="5" t="s">
        <v>418</v>
      </c>
      <c r="L476" s="5">
        <v>253612</v>
      </c>
      <c r="M476" s="5">
        <v>1</v>
      </c>
      <c r="N476" s="7">
        <v>46004</v>
      </c>
      <c r="O476" s="7">
        <v>46013</v>
      </c>
      <c r="P476" s="7">
        <v>46014</v>
      </c>
      <c r="Q476" s="7">
        <f t="shared" si="93"/>
        <v>46133</v>
      </c>
      <c r="R476" s="9">
        <v>2067497.06</v>
      </c>
      <c r="S476" s="33"/>
      <c r="T476" s="9">
        <v>1796448.2</v>
      </c>
      <c r="U476" s="10">
        <v>-13.11</v>
      </c>
      <c r="V476" s="10" t="str">
        <f t="shared" si="94"/>
        <v>Below</v>
      </c>
      <c r="W476" s="11" t="str" cm="1">
        <f t="array" ref="W476">NumberToWords(T476)</f>
        <v>Seventeen Lakh Ninety Six Thousand Four Hundred Forty Eight Rupees and Two Paise Only</v>
      </c>
      <c r="X476" s="10" t="str">
        <f t="shared" si="104"/>
        <v>Division</v>
      </c>
      <c r="Z476" s="9">
        <f t="shared" si="96"/>
        <v>1796448.2</v>
      </c>
      <c r="AA476" s="5" t="s">
        <v>281</v>
      </c>
      <c r="AB476" s="8" t="str">
        <f>_xlfn.XLOOKUP(AA476, 'Agency List'!A$2:A$145, 'Agency List'!B$2:B$145, "Not Found")</f>
        <v>UDAYBHAI RAMKUBHAI LUNSAR</v>
      </c>
      <c r="AC476" s="8" t="str">
        <f>_xlfn.XLOOKUP(AA476, 'Agency List'!A$2:A$145, 'Agency List'!C$2:C$145, "Not Found")</f>
        <v>Shop No. 5, First Floor, Nilkanth Arcade, Opp. Arjun Tokiz, Palitana Road, Gariyadhar- 364505</v>
      </c>
      <c r="AD476" s="8">
        <f>_xlfn.XLOOKUP(AA476, 'Agency List'!A$2:A$145, 'Agency List'!D$2:D$145, "Not Found")</f>
        <v>9824226646</v>
      </c>
      <c r="AE476" s="7"/>
      <c r="AF476" s="5" t="s">
        <v>357</v>
      </c>
      <c r="AG476" s="5" t="str">
        <f t="shared" si="97"/>
        <v>Bandhkam</v>
      </c>
      <c r="AH476" s="55"/>
      <c r="AI476" s="49"/>
      <c r="AJ476" s="20"/>
      <c r="AL476" s="16">
        <v>4</v>
      </c>
      <c r="AM476" s="12">
        <f t="shared" si="98"/>
        <v>90000</v>
      </c>
      <c r="AN476" s="7">
        <f t="shared" si="99"/>
        <v>46620</v>
      </c>
      <c r="AO476" s="12">
        <f t="shared" si="100"/>
        <v>5100</v>
      </c>
      <c r="AP476" s="12">
        <f t="shared" si="101"/>
        <v>13000</v>
      </c>
      <c r="AQ476" s="15">
        <f t="shared" si="102"/>
        <v>46205</v>
      </c>
      <c r="AR476" s="7">
        <f t="shared" si="103"/>
        <v>46560</v>
      </c>
      <c r="AS476" s="5">
        <v>1872</v>
      </c>
      <c r="AT476" s="7">
        <v>46020</v>
      </c>
      <c r="AU476" s="5"/>
      <c r="AV476" s="17"/>
      <c r="AW476" s="37"/>
      <c r="AX476" s="5" t="s">
        <v>355</v>
      </c>
      <c r="AY476" s="5" t="s">
        <v>369</v>
      </c>
      <c r="AZ476" s="13">
        <v>44676070752</v>
      </c>
      <c r="BA476" s="12">
        <v>90000</v>
      </c>
      <c r="BB476" s="7">
        <v>46042</v>
      </c>
      <c r="BC476" s="14"/>
      <c r="BD476" s="14"/>
      <c r="BF476" s="12"/>
      <c r="BG476" s="14"/>
      <c r="BH476" s="19">
        <v>46050</v>
      </c>
      <c r="BI476" s="5"/>
      <c r="BM476" s="18"/>
      <c r="BN476" s="18"/>
      <c r="BO476" s="18"/>
      <c r="BP476" s="18"/>
      <c r="BQ476" s="5"/>
      <c r="BR476" s="18"/>
      <c r="BS476" s="18"/>
      <c r="BT476" s="35"/>
    </row>
    <row r="477" spans="1:72" ht="43.5" x14ac:dyDescent="0.35">
      <c r="A477" s="5">
        <v>476</v>
      </c>
      <c r="B477" s="5"/>
      <c r="C477" s="5" t="s">
        <v>78</v>
      </c>
      <c r="D477" s="5">
        <v>24</v>
      </c>
      <c r="E477" s="5">
        <v>69</v>
      </c>
      <c r="F477" s="8" t="s">
        <v>1028</v>
      </c>
      <c r="G477" s="8"/>
      <c r="H477" s="5" t="s">
        <v>13</v>
      </c>
      <c r="I477" s="5" t="str" cm="1">
        <f t="array" ref="I477">_xlfn.IFS(
  H477="Mahuva", "Mahuva",
  H477="Jesar", "Mahuva",
  H477="Palitana", "Palitana",
  H477="Gariyadhar", "Palitana",
  H477="Talaja", "Talaja",
  H477="Vallabhipur", "Vallabhipur",
  H477="Umrala", "Vallabhipur",
  H477="Shihor", "Shihor",
  H477="Ghogha", "Bhavnagar",
  H477="Bhavnagar", "Bhavnagar"
)</f>
        <v>Shihor</v>
      </c>
      <c r="J477" s="5" t="s">
        <v>256</v>
      </c>
      <c r="K477" s="5" t="s">
        <v>418</v>
      </c>
      <c r="L477" s="5">
        <v>253613</v>
      </c>
      <c r="M477" s="5">
        <v>1</v>
      </c>
      <c r="N477" s="7">
        <v>46004</v>
      </c>
      <c r="O477" s="7">
        <v>46013</v>
      </c>
      <c r="P477" s="7">
        <v>46014</v>
      </c>
      <c r="Q477" s="7">
        <f t="shared" si="93"/>
        <v>46133</v>
      </c>
      <c r="R477" s="9">
        <v>2067497.06</v>
      </c>
      <c r="S477" s="33"/>
      <c r="T477" s="9">
        <v>1816916.42</v>
      </c>
      <c r="U477" s="10">
        <v>-12.12</v>
      </c>
      <c r="V477" s="10" t="str">
        <f t="shared" si="94"/>
        <v>Below</v>
      </c>
      <c r="W477" s="11" t="str" cm="1">
        <f t="array" ref="W477">NumberToWords(T477)</f>
        <v>Eighteen Lakh Sixteen Thousand Nine Hundred Sixteen Rupees and Forty Two Paise Only</v>
      </c>
      <c r="X477" s="10" t="str">
        <f>IF(T477&lt;5000000,"Division",IF(T477&lt;=20000000,"Circle","Government"))</f>
        <v>Division</v>
      </c>
      <c r="Z477" s="9">
        <f t="shared" si="96"/>
        <v>1816916.42</v>
      </c>
      <c r="AA477" s="5" t="s">
        <v>959</v>
      </c>
      <c r="AB477" s="8">
        <f>_xlfn.XLOOKUP(AA477, 'Agency List'!A$2:A$145, 'Agency List'!B$2:B$145, "Not Found")</f>
        <v>0</v>
      </c>
      <c r="AC477" s="8" t="str">
        <f>_xlfn.XLOOKUP(AA477, 'Agency List'!A$2:A$145, 'Agency List'!C$2:C$145, "Not Found")</f>
        <v>At Maidhar, Tal. Palitana, Dist. Bhavnagar - 364260</v>
      </c>
      <c r="AD477" s="8">
        <f>_xlfn.XLOOKUP(AA477, 'Agency List'!A$2:A$145, 'Agency List'!D$2:D$145, "Not Found")</f>
        <v>9099444525</v>
      </c>
      <c r="AE477" s="7"/>
      <c r="AF477" s="5" t="s">
        <v>357</v>
      </c>
      <c r="AG477" s="5" t="str">
        <f t="shared" si="97"/>
        <v>Bandhkam</v>
      </c>
      <c r="AH477" s="55"/>
      <c r="AI477" s="49"/>
      <c r="AJ477" s="20"/>
      <c r="AL477" s="16">
        <v>4</v>
      </c>
      <c r="AM477" s="12">
        <f t="shared" si="98"/>
        <v>91000</v>
      </c>
      <c r="AN477" s="7">
        <f t="shared" si="99"/>
        <v>46615</v>
      </c>
      <c r="AO477" s="12">
        <f t="shared" si="100"/>
        <v>4900</v>
      </c>
      <c r="AP477" s="12">
        <f t="shared" si="101"/>
        <v>9000</v>
      </c>
      <c r="AQ477" s="15">
        <f t="shared" si="102"/>
        <v>46200</v>
      </c>
      <c r="AR477" s="7">
        <f t="shared" si="103"/>
        <v>46555</v>
      </c>
      <c r="AS477" s="5">
        <v>1873</v>
      </c>
      <c r="AT477" s="7">
        <v>46020</v>
      </c>
      <c r="AU477" s="5" t="s">
        <v>78</v>
      </c>
      <c r="AV477" s="17">
        <v>285</v>
      </c>
      <c r="AW477" s="37">
        <v>46045</v>
      </c>
      <c r="AX477" s="5" t="s">
        <v>355</v>
      </c>
      <c r="AY477" s="5" t="s">
        <v>609</v>
      </c>
      <c r="AZ477" s="45" t="s">
        <v>1087</v>
      </c>
      <c r="BA477" s="12">
        <v>91000</v>
      </c>
      <c r="BB477" s="7">
        <v>46025</v>
      </c>
      <c r="BC477" s="5" t="s">
        <v>355</v>
      </c>
      <c r="BD477" s="5" t="s">
        <v>609</v>
      </c>
      <c r="BE477" s="45" t="s">
        <v>1088</v>
      </c>
      <c r="BF477" s="12">
        <v>9000</v>
      </c>
      <c r="BG477" s="7">
        <v>46038</v>
      </c>
      <c r="BH477" s="19">
        <v>46045</v>
      </c>
      <c r="BI477" s="5">
        <v>83</v>
      </c>
      <c r="BJ477" s="19">
        <v>46045</v>
      </c>
      <c r="BM477" s="18"/>
      <c r="BN477" s="18"/>
      <c r="BO477" s="18"/>
      <c r="BP477" s="18"/>
      <c r="BQ477" s="5"/>
      <c r="BR477" s="18"/>
      <c r="BS477" s="18"/>
      <c r="BT477" s="35"/>
    </row>
    <row r="478" spans="1:72" ht="43.5" x14ac:dyDescent="0.35">
      <c r="A478" s="5">
        <v>477</v>
      </c>
      <c r="B478" s="5"/>
      <c r="C478" s="5" t="s">
        <v>78</v>
      </c>
      <c r="D478" s="5">
        <v>24</v>
      </c>
      <c r="E478" s="5">
        <v>70</v>
      </c>
      <c r="F478" s="8" t="s">
        <v>1029</v>
      </c>
      <c r="G478" s="8"/>
      <c r="H478" s="5" t="s">
        <v>13</v>
      </c>
      <c r="I478" s="5" t="str" cm="1">
        <f t="array" ref="I478">_xlfn.IFS(
  H478="Mahuva", "Mahuva",
  H478="Jesar", "Mahuva",
  H478="Palitana", "Palitana",
  H478="Gariyadhar", "Palitana",
  H478="Talaja", "Talaja",
  H478="Vallabhipur", "Vallabhipur",
  H478="Umrala", "Vallabhipur",
  H478="Shihor", "Shihor",
  H478="Ghogha", "Bhavnagar",
  H478="Bhavnagar", "Bhavnagar"
)</f>
        <v>Shihor</v>
      </c>
      <c r="J478" s="5" t="s">
        <v>256</v>
      </c>
      <c r="K478" s="5" t="s">
        <v>418</v>
      </c>
      <c r="L478" s="5">
        <v>253614</v>
      </c>
      <c r="M478" s="5">
        <v>1</v>
      </c>
      <c r="N478" s="7">
        <v>46004</v>
      </c>
      <c r="O478" s="7">
        <v>46013</v>
      </c>
      <c r="P478" s="7">
        <v>46014</v>
      </c>
      <c r="Q478" s="7">
        <f t="shared" si="93"/>
        <v>46133</v>
      </c>
      <c r="R478" s="9">
        <v>2067497.06</v>
      </c>
      <c r="S478" s="33"/>
      <c r="T478" s="9">
        <v>1891553.06</v>
      </c>
      <c r="U478" s="10">
        <v>-8.51</v>
      </c>
      <c r="V478" s="10" t="str">
        <f t="shared" si="94"/>
        <v>Below</v>
      </c>
      <c r="W478" s="11" t="str" cm="1">
        <f t="array" ref="W478">NumberToWords(T478)</f>
        <v>Eighteen Lakh Ninety One Thousand Five Hundred Fifty Three Rupees and Six Paise Only</v>
      </c>
      <c r="X478" s="10" t="str">
        <f t="shared" ref="X478:X541" si="105">IF(T478&lt;5000000,"Division",IF(T478&lt;=20000000,"Circle","Government"))</f>
        <v>Division</v>
      </c>
      <c r="Z478" s="9">
        <f t="shared" si="96"/>
        <v>1891553.06</v>
      </c>
      <c r="AA478" s="5" t="s">
        <v>298</v>
      </c>
      <c r="AB478" s="8" t="str">
        <f>_xlfn.XLOOKUP(AA478, 'Agency List'!A$2:A$145, 'Agency List'!B$2:B$145, "Not Found")</f>
        <v>D. H. Gohil</v>
      </c>
      <c r="AC478" s="8" t="str">
        <f>_xlfn.XLOOKUP(AA478, 'Agency List'!A$2:A$145, 'Agency List'!C$2:C$145, "Not Found")</f>
        <v>At. Vangadhra, Ta.Umrala, Dist. Bhavnagar</v>
      </c>
      <c r="AD478" s="8">
        <f>_xlfn.XLOOKUP(AA478, 'Agency List'!A$2:A$145, 'Agency List'!D$2:D$145, "Not Found")</f>
        <v>8780286268</v>
      </c>
      <c r="AE478" s="7"/>
      <c r="AF478" s="5" t="s">
        <v>357</v>
      </c>
      <c r="AG478" s="5" t="str">
        <f t="shared" si="97"/>
        <v>Bandhkam</v>
      </c>
      <c r="AH478" s="55"/>
      <c r="AI478" s="49"/>
      <c r="AJ478" s="20"/>
      <c r="AL478" s="16">
        <v>4</v>
      </c>
      <c r="AM478" s="12">
        <f t="shared" si="98"/>
        <v>95000</v>
      </c>
      <c r="AN478" s="7">
        <f t="shared" si="99"/>
        <v>46593</v>
      </c>
      <c r="AO478" s="12">
        <f t="shared" si="100"/>
        <v>4700</v>
      </c>
      <c r="AP478" s="12">
        <f t="shared" si="101"/>
        <v>0</v>
      </c>
      <c r="AQ478" s="15">
        <f t="shared" si="102"/>
        <v>46178</v>
      </c>
      <c r="AR478" s="7">
        <f t="shared" si="103"/>
        <v>46533</v>
      </c>
      <c r="AS478" s="5">
        <v>1874</v>
      </c>
      <c r="AT478" s="7">
        <v>46020</v>
      </c>
      <c r="AU478" s="5"/>
      <c r="AV478" s="17"/>
      <c r="AW478" s="17"/>
      <c r="AX478" s="5"/>
      <c r="AY478" s="5"/>
      <c r="AZ478" s="13"/>
      <c r="BA478" s="12"/>
      <c r="BB478" s="7"/>
      <c r="BC478" s="14"/>
      <c r="BD478" s="14"/>
      <c r="BF478" s="12"/>
      <c r="BG478" s="14"/>
      <c r="BH478" s="19">
        <v>46023</v>
      </c>
      <c r="BI478" s="5"/>
      <c r="BM478" s="18"/>
      <c r="BN478" s="18"/>
      <c r="BO478" s="18"/>
      <c r="BP478" s="18"/>
      <c r="BQ478" s="5"/>
      <c r="BR478" s="18"/>
      <c r="BS478" s="18"/>
      <c r="BT478" s="35"/>
    </row>
    <row r="479" spans="1:72" ht="43.5" x14ac:dyDescent="0.35">
      <c r="A479" s="5">
        <v>478</v>
      </c>
      <c r="B479" s="5"/>
      <c r="C479" s="5" t="s">
        <v>78</v>
      </c>
      <c r="D479" s="5">
        <v>25</v>
      </c>
      <c r="E479" s="5">
        <v>1</v>
      </c>
      <c r="F479" s="8" t="s">
        <v>1093</v>
      </c>
      <c r="G479" s="8"/>
      <c r="H479" s="5"/>
      <c r="I479" s="5" t="e" cm="1">
        <f t="array" ref="I479">_xlfn.IFS(
  H479="Mahuva", "Mahuva",
  H479="Jesar", "Mahuva",
  H479="Palitana", "Palitana",
  H479="Gariyadhar", "Palitana",
  H479="Talaja", "Talaja",
  H479="Vallabhipur", "Vallabhipur",
  H479="Umrala", "Vallabhipur",
  H479="Shihor", "Shihor",
  H479="Ghogha", "Bhavnagar",
  H479="Bhavnagar", "Bhavnagar"
)</f>
        <v>#N/A</v>
      </c>
      <c r="J479" s="5"/>
      <c r="K479" s="5"/>
      <c r="M479" s="5"/>
      <c r="N479" s="7">
        <v>46004</v>
      </c>
      <c r="O479" s="7">
        <v>46013</v>
      </c>
      <c r="P479" s="7">
        <v>46014</v>
      </c>
      <c r="Q479" s="7">
        <f t="shared" si="93"/>
        <v>46133</v>
      </c>
      <c r="S479" s="33"/>
      <c r="U479" s="10"/>
      <c r="V479" s="10" t="str">
        <f t="shared" si="94"/>
        <v>Equals</v>
      </c>
      <c r="W479" s="11" t="str" cm="1">
        <f t="array" ref="W479">NumberToWords(T479)</f>
        <v>Zero Rupees Only</v>
      </c>
      <c r="X479" s="10" t="str">
        <f t="shared" si="105"/>
        <v>Division</v>
      </c>
      <c r="Z479" s="9">
        <f t="shared" si="96"/>
        <v>0</v>
      </c>
      <c r="AB479" s="8">
        <f>_xlfn.XLOOKUP(AA479, 'Agency List'!A$2:A$145, 'Agency List'!B$2:B$145, "Not Found")</f>
        <v>0</v>
      </c>
      <c r="AC479" s="8">
        <f>_xlfn.XLOOKUP(AA479, 'Agency List'!A$2:A$145, 'Agency List'!C$2:C$145, "Not Found")</f>
        <v>0</v>
      </c>
      <c r="AD479" s="8">
        <f>_xlfn.XLOOKUP(AA479, 'Agency List'!A$2:A$145, 'Agency List'!D$2:D$145, "Not Found")</f>
        <v>0</v>
      </c>
      <c r="AE479" s="7"/>
      <c r="AF479" s="5"/>
      <c r="AG479" s="5" t="str">
        <f t="shared" si="97"/>
        <v>Bandhkam</v>
      </c>
      <c r="AH479" s="55"/>
      <c r="AI479" s="49"/>
      <c r="AJ479" s="20"/>
      <c r="AL479" s="16"/>
      <c r="AM479" s="12">
        <f t="shared" si="98"/>
        <v>0</v>
      </c>
      <c r="AN479" s="7">
        <f t="shared" si="99"/>
        <v>450</v>
      </c>
      <c r="AO479" s="12">
        <f t="shared" si="100"/>
        <v>0</v>
      </c>
      <c r="AP479" s="12">
        <f t="shared" si="101"/>
        <v>0</v>
      </c>
      <c r="AQ479" s="15">
        <f t="shared" si="102"/>
        <v>35</v>
      </c>
      <c r="AR479" s="7">
        <f t="shared" si="103"/>
        <v>390</v>
      </c>
      <c r="AS479" s="5"/>
      <c r="AU479" s="5"/>
      <c r="AV479" s="17"/>
      <c r="AW479" s="17"/>
      <c r="AX479" s="5"/>
      <c r="AY479" s="5"/>
      <c r="AZ479" s="13"/>
      <c r="BA479" s="12"/>
      <c r="BB479" s="7"/>
      <c r="BC479" s="14"/>
      <c r="BD479" s="14"/>
      <c r="BF479" s="12"/>
      <c r="BG479" s="14"/>
      <c r="BH479" s="19"/>
      <c r="BI479" s="5"/>
      <c r="BM479" s="18"/>
      <c r="BN479" s="18"/>
      <c r="BO479" s="18"/>
      <c r="BP479" s="18"/>
      <c r="BQ479" s="5"/>
      <c r="BR479" s="18"/>
      <c r="BS479" s="18"/>
      <c r="BT479" s="35">
        <f t="shared" ref="BT479:BT510" si="106">EDATE(BH479,AL479)-1</f>
        <v>-1</v>
      </c>
    </row>
    <row r="480" spans="1:72" ht="43.5" x14ac:dyDescent="0.35">
      <c r="A480" s="5">
        <v>479</v>
      </c>
      <c r="B480" s="5"/>
      <c r="C480" s="5" t="s">
        <v>78</v>
      </c>
      <c r="D480" s="5">
        <v>25</v>
      </c>
      <c r="E480" s="5">
        <v>2</v>
      </c>
      <c r="F480" s="8" t="s">
        <v>1123</v>
      </c>
      <c r="G480" s="8"/>
      <c r="H480" s="5" t="s">
        <v>12</v>
      </c>
      <c r="I480" s="5" t="str" cm="1">
        <f t="array" ref="I480">_xlfn.IFS(
  H480="Mahuva", "Mahuva",
  H480="Jesar", "Mahuva",
  H480="Palitana", "Palitana",
  H480="Gariyadhar", "Palitana",
  H480="Talaja", "Talaja",
  H480="Vallabhipur", "Vallabhipur",
  H480="Umrala", "Vallabhipur",
  H480="Shihor", "Shihor",
  H480="Ghogha", "Bhavnagar",
  H480="Bhavnagar", "Bhavnagar"
)</f>
        <v>Mahuva</v>
      </c>
      <c r="J480" s="5" t="s">
        <v>21</v>
      </c>
      <c r="K480" s="5"/>
      <c r="L480" s="5">
        <v>253503</v>
      </c>
      <c r="M480" s="5"/>
      <c r="N480" s="7">
        <v>46004</v>
      </c>
      <c r="O480" s="7">
        <v>46013</v>
      </c>
      <c r="P480" s="7">
        <v>46014</v>
      </c>
      <c r="Q480" s="7">
        <f t="shared" si="93"/>
        <v>46133</v>
      </c>
      <c r="R480" s="9">
        <v>13652083.23</v>
      </c>
      <c r="S480" s="33"/>
      <c r="T480" s="9">
        <v>11563314.5</v>
      </c>
      <c r="U480" s="10">
        <v>-15.3</v>
      </c>
      <c r="V480" s="10" t="str">
        <f t="shared" si="94"/>
        <v>Below</v>
      </c>
      <c r="W480" s="11" t="str" cm="1">
        <f t="array" ref="W480">NumberToWords(T480)</f>
        <v>One Crore Fifteen Lakh Sixty Three Thousand Three Hundred Fourteen Rupees and Five Paise Only</v>
      </c>
      <c r="X480" s="10" t="str">
        <f t="shared" si="105"/>
        <v>Circle</v>
      </c>
      <c r="Z480" s="9">
        <f t="shared" si="96"/>
        <v>11563314.5</v>
      </c>
      <c r="AA480" s="5" t="s">
        <v>1124</v>
      </c>
      <c r="AB480" s="8">
        <f>_xlfn.XLOOKUP(AA480, 'Agency List'!A$2:A$145, 'Agency List'!B$2:B$145, "Not Found")</f>
        <v>0</v>
      </c>
      <c r="AC480" s="8" t="str">
        <f>_xlfn.XLOOKUP(AA480, 'Agency List'!A$2:A$145, 'Agency List'!C$2:C$145, "Not Found")</f>
        <v>Vaniya Sheri, At. Village Trapaj, Ta. Talaja, Dist. Bhavnagar</v>
      </c>
      <c r="AD480" s="8">
        <f>_xlfn.XLOOKUP(AA480, 'Agency List'!A$2:A$145, 'Agency List'!D$2:D$145, "Not Found")</f>
        <v>8140888999</v>
      </c>
      <c r="AE480" s="7"/>
      <c r="AF480" s="5"/>
      <c r="AG480" s="5" t="str">
        <f t="shared" si="97"/>
        <v>Karobari</v>
      </c>
      <c r="AH480" s="55"/>
      <c r="AI480" s="49" t="s">
        <v>69</v>
      </c>
      <c r="AJ480" s="20" t="s">
        <v>1126</v>
      </c>
      <c r="AK480" s="7">
        <v>46038</v>
      </c>
      <c r="AL480" s="16">
        <v>6</v>
      </c>
      <c r="AM480" s="12">
        <f t="shared" si="98"/>
        <v>579000</v>
      </c>
      <c r="AN480" s="7">
        <f t="shared" si="99"/>
        <v>47432</v>
      </c>
      <c r="AO480" s="12">
        <f t="shared" si="100"/>
        <v>35500</v>
      </c>
      <c r="AP480" s="12">
        <f t="shared" si="101"/>
        <v>145000</v>
      </c>
      <c r="AQ480" s="15">
        <f t="shared" si="102"/>
        <v>46297</v>
      </c>
      <c r="AR480" s="7">
        <f t="shared" si="103"/>
        <v>47372</v>
      </c>
      <c r="AS480" s="5">
        <v>112</v>
      </c>
      <c r="AT480" s="7">
        <v>46052</v>
      </c>
      <c r="AU480" s="5"/>
      <c r="AV480" s="17"/>
      <c r="AW480" s="17"/>
      <c r="AX480" s="5"/>
      <c r="AY480" s="5"/>
      <c r="AZ480" s="13"/>
      <c r="BA480" s="12"/>
      <c r="BB480" s="7"/>
      <c r="BC480" s="14"/>
      <c r="BD480" s="14"/>
      <c r="BF480" s="12"/>
      <c r="BG480" s="14"/>
      <c r="BH480" s="19">
        <v>46082</v>
      </c>
      <c r="BI480" s="5"/>
      <c r="BM480" s="18"/>
      <c r="BN480" s="18"/>
      <c r="BO480" s="18"/>
      <c r="BP480" s="18"/>
      <c r="BQ480" s="5"/>
      <c r="BR480" s="18"/>
      <c r="BS480" s="18"/>
      <c r="BT480" s="35">
        <f t="shared" si="106"/>
        <v>46265</v>
      </c>
    </row>
    <row r="481" spans="1:72" ht="29" x14ac:dyDescent="0.35">
      <c r="A481" s="5">
        <v>480</v>
      </c>
      <c r="B481" s="5"/>
      <c r="C481" s="5" t="s">
        <v>78</v>
      </c>
      <c r="D481" s="5">
        <v>25</v>
      </c>
      <c r="E481" s="5">
        <v>3</v>
      </c>
      <c r="F481" s="8" t="s">
        <v>1098</v>
      </c>
      <c r="G481" s="8"/>
      <c r="H481" s="5"/>
      <c r="I481" s="5" t="e" cm="1">
        <f t="array" ref="I481">_xlfn.IFS(
  H481="Mahuva", "Mahuva",
  H481="Jesar", "Mahuva",
  H481="Palitana", "Palitana",
  H481="Gariyadhar", "Palitana",
  H481="Talaja", "Talaja",
  H481="Vallabhipur", "Vallabhipur",
  H481="Umrala", "Vallabhipur",
  H481="Shihor", "Shihor",
  H481="Ghogha", "Bhavnagar",
  H481="Bhavnagar", "Bhavnagar"
)</f>
        <v>#N/A</v>
      </c>
      <c r="J481" s="5"/>
      <c r="K481" s="5"/>
      <c r="M481" s="5"/>
      <c r="N481" s="7">
        <v>46004</v>
      </c>
      <c r="O481" s="7">
        <v>46013</v>
      </c>
      <c r="P481" s="7">
        <v>46014</v>
      </c>
      <c r="Q481" s="7">
        <f t="shared" si="93"/>
        <v>46133</v>
      </c>
      <c r="S481" s="33"/>
      <c r="U481" s="10"/>
      <c r="V481" s="10" t="str">
        <f t="shared" si="94"/>
        <v>Equals</v>
      </c>
      <c r="W481" s="11" t="str" cm="1">
        <f t="array" ref="W481">NumberToWords(T481)</f>
        <v>Zero Rupees Only</v>
      </c>
      <c r="X481" s="10" t="str">
        <f t="shared" si="105"/>
        <v>Division</v>
      </c>
      <c r="Z481" s="9">
        <f t="shared" si="96"/>
        <v>0</v>
      </c>
      <c r="AB481" s="8">
        <f>_xlfn.XLOOKUP(AA481, 'Agency List'!A$2:A$145, 'Agency List'!B$2:B$145, "Not Found")</f>
        <v>0</v>
      </c>
      <c r="AC481" s="8">
        <f>_xlfn.XLOOKUP(AA481, 'Agency List'!A$2:A$145, 'Agency List'!C$2:C$145, "Not Found")</f>
        <v>0</v>
      </c>
      <c r="AD481" s="8">
        <f>_xlfn.XLOOKUP(AA481, 'Agency List'!A$2:A$145, 'Agency List'!D$2:D$145, "Not Found")</f>
        <v>0</v>
      </c>
      <c r="AE481" s="7"/>
      <c r="AF481" s="5"/>
      <c r="AG481" s="5" t="str">
        <f t="shared" si="97"/>
        <v>Bandhkam</v>
      </c>
      <c r="AH481" s="55"/>
      <c r="AI481" s="49"/>
      <c r="AJ481" s="20"/>
      <c r="AL481" s="16"/>
      <c r="AM481" s="12">
        <f t="shared" si="98"/>
        <v>0</v>
      </c>
      <c r="AN481" s="7">
        <f t="shared" si="99"/>
        <v>450</v>
      </c>
      <c r="AO481" s="12">
        <f t="shared" si="100"/>
        <v>0</v>
      </c>
      <c r="AP481" s="12">
        <f t="shared" si="101"/>
        <v>0</v>
      </c>
      <c r="AQ481" s="15">
        <f t="shared" si="102"/>
        <v>35</v>
      </c>
      <c r="AR481" s="7">
        <f t="shared" si="103"/>
        <v>390</v>
      </c>
      <c r="AS481" s="5"/>
      <c r="AU481" s="5"/>
      <c r="AV481" s="17"/>
      <c r="AW481" s="17"/>
      <c r="AX481" s="5"/>
      <c r="AY481" s="5"/>
      <c r="AZ481" s="13"/>
      <c r="BA481" s="12"/>
      <c r="BB481" s="7"/>
      <c r="BC481" s="14"/>
      <c r="BD481" s="14"/>
      <c r="BF481" s="12"/>
      <c r="BG481" s="14"/>
      <c r="BH481" s="19"/>
      <c r="BI481" s="5"/>
      <c r="BM481" s="18"/>
      <c r="BN481" s="18"/>
      <c r="BO481" s="18"/>
      <c r="BP481" s="18"/>
      <c r="BQ481" s="5"/>
      <c r="BR481" s="18"/>
      <c r="BS481" s="18"/>
      <c r="BT481" s="35">
        <f t="shared" si="106"/>
        <v>-1</v>
      </c>
    </row>
    <row r="482" spans="1:72" ht="29" x14ac:dyDescent="0.35">
      <c r="A482" s="5">
        <v>481</v>
      </c>
      <c r="B482" s="5"/>
      <c r="C482" s="5" t="s">
        <v>78</v>
      </c>
      <c r="D482" s="5">
        <v>25</v>
      </c>
      <c r="E482" s="5">
        <v>4</v>
      </c>
      <c r="F482" s="8" t="s">
        <v>1094</v>
      </c>
      <c r="G482" s="8"/>
      <c r="H482" s="5"/>
      <c r="I482" s="5" t="e" cm="1">
        <f t="array" ref="I482">_xlfn.IFS(
  H482="Mahuva", "Mahuva",
  H482="Jesar", "Mahuva",
  H482="Palitana", "Palitana",
  H482="Gariyadhar", "Palitana",
  H482="Talaja", "Talaja",
  H482="Vallabhipur", "Vallabhipur",
  H482="Umrala", "Vallabhipur",
  H482="Shihor", "Shihor",
  H482="Ghogha", "Bhavnagar",
  H482="Bhavnagar", "Bhavnagar"
)</f>
        <v>#N/A</v>
      </c>
      <c r="J482" s="5"/>
      <c r="K482" s="5"/>
      <c r="M482" s="5"/>
      <c r="N482" s="7">
        <v>46004</v>
      </c>
      <c r="O482" s="7">
        <v>46013</v>
      </c>
      <c r="P482" s="7">
        <v>46014</v>
      </c>
      <c r="Q482" s="7">
        <f t="shared" si="93"/>
        <v>46133</v>
      </c>
      <c r="S482" s="33"/>
      <c r="U482" s="10"/>
      <c r="V482" s="10" t="str">
        <f t="shared" si="94"/>
        <v>Equals</v>
      </c>
      <c r="W482" s="11" t="str" cm="1">
        <f t="array" ref="W482">NumberToWords(T482)</f>
        <v>Zero Rupees Only</v>
      </c>
      <c r="X482" s="10" t="str">
        <f t="shared" si="105"/>
        <v>Division</v>
      </c>
      <c r="Z482" s="9">
        <f t="shared" si="96"/>
        <v>0</v>
      </c>
      <c r="AB482" s="8">
        <f>_xlfn.XLOOKUP(AA482, 'Agency List'!A$2:A$145, 'Agency List'!B$2:B$145, "Not Found")</f>
        <v>0</v>
      </c>
      <c r="AC482" s="8">
        <f>_xlfn.XLOOKUP(AA482, 'Agency List'!A$2:A$145, 'Agency List'!C$2:C$145, "Not Found")</f>
        <v>0</v>
      </c>
      <c r="AD482" s="8">
        <f>_xlfn.XLOOKUP(AA482, 'Agency List'!A$2:A$145, 'Agency List'!D$2:D$145, "Not Found")</f>
        <v>0</v>
      </c>
      <c r="AE482" s="7"/>
      <c r="AF482" s="5"/>
      <c r="AG482" s="5" t="str">
        <f t="shared" si="97"/>
        <v>Bandhkam</v>
      </c>
      <c r="AH482" s="55"/>
      <c r="AI482" s="49"/>
      <c r="AJ482" s="20"/>
      <c r="AL482" s="16"/>
      <c r="AM482" s="12">
        <f t="shared" si="98"/>
        <v>0</v>
      </c>
      <c r="AN482" s="7">
        <f t="shared" si="99"/>
        <v>450</v>
      </c>
      <c r="AO482" s="12">
        <f t="shared" si="100"/>
        <v>0</v>
      </c>
      <c r="AP482" s="12">
        <f t="shared" si="101"/>
        <v>0</v>
      </c>
      <c r="AQ482" s="15">
        <f t="shared" si="102"/>
        <v>35</v>
      </c>
      <c r="AR482" s="7">
        <f t="shared" si="103"/>
        <v>390</v>
      </c>
      <c r="AS482" s="5"/>
      <c r="AU482" s="5"/>
      <c r="AV482" s="17"/>
      <c r="AW482" s="17"/>
      <c r="AX482" s="5"/>
      <c r="AY482" s="5"/>
      <c r="AZ482" s="13"/>
      <c r="BA482" s="12"/>
      <c r="BB482" s="7"/>
      <c r="BC482" s="14"/>
      <c r="BD482" s="14"/>
      <c r="BF482" s="12"/>
      <c r="BG482" s="14"/>
      <c r="BH482" s="19"/>
      <c r="BI482" s="5"/>
      <c r="BM482" s="18"/>
      <c r="BN482" s="18"/>
      <c r="BO482" s="18"/>
      <c r="BP482" s="18"/>
      <c r="BQ482" s="5"/>
      <c r="BR482" s="18"/>
      <c r="BS482" s="18"/>
      <c r="BT482" s="35">
        <f t="shared" si="106"/>
        <v>-1</v>
      </c>
    </row>
    <row r="483" spans="1:72" ht="43.5" x14ac:dyDescent="0.35">
      <c r="A483" s="5">
        <v>482</v>
      </c>
      <c r="B483" s="5"/>
      <c r="C483" s="5" t="s">
        <v>78</v>
      </c>
      <c r="D483" s="5">
        <v>25</v>
      </c>
      <c r="E483" s="5">
        <v>5</v>
      </c>
      <c r="F483" s="8" t="s">
        <v>1095</v>
      </c>
      <c r="G483" s="8"/>
      <c r="H483" s="5" t="s">
        <v>11</v>
      </c>
      <c r="I483" s="5" t="str" cm="1">
        <f t="array" ref="I483">_xlfn.IFS(
  H483="Mahuva", "Mahuva",
  H483="Jesar", "Mahuva",
  H483="Palitana", "Palitana",
  H483="Gariyadhar", "Palitana",
  H483="Talaja", "Talaja",
  H483="Vallabhipur", "Vallabhipur",
  H483="Umrala", "Vallabhipur",
  H483="Shihor", "Shihor",
  H483="Ghogha", "Bhavnagar",
  H483="Bhavnagar", "Bhavnagar"
)</f>
        <v>Vallabhipur</v>
      </c>
      <c r="J483" s="5" t="s">
        <v>256</v>
      </c>
      <c r="K483" s="5" t="s">
        <v>1102</v>
      </c>
      <c r="L483" s="5">
        <v>253521</v>
      </c>
      <c r="M483" s="5"/>
      <c r="N483" s="7">
        <v>46004</v>
      </c>
      <c r="O483" s="7">
        <v>46016</v>
      </c>
      <c r="P483" s="7">
        <v>46017</v>
      </c>
      <c r="Q483" s="7">
        <f t="shared" si="93"/>
        <v>46136</v>
      </c>
      <c r="R483" s="9">
        <v>7732500.0199999996</v>
      </c>
      <c r="S483" s="33"/>
      <c r="T483" s="9">
        <v>7075237.5199999996</v>
      </c>
      <c r="U483" s="10">
        <v>-8.5</v>
      </c>
      <c r="V483" s="10" t="str">
        <f t="shared" si="94"/>
        <v>Below</v>
      </c>
      <c r="W483" s="11" t="str" cm="1">
        <f t="array" ref="W483">NumberToWords(T483)</f>
        <v>Seventy Lakh Seventy Five Thousand Two Hundred Thirty Seven Rupees and Fifty Two Paise Only</v>
      </c>
      <c r="X483" s="10" t="str">
        <f t="shared" si="105"/>
        <v>Circle</v>
      </c>
      <c r="Z483" s="9">
        <f t="shared" si="96"/>
        <v>7075237.5199999996</v>
      </c>
      <c r="AA483" s="5" t="s">
        <v>1103</v>
      </c>
      <c r="AB483" s="8">
        <f>_xlfn.XLOOKUP(AA483, 'Agency List'!A$2:A$145, 'Agency List'!B$2:B$145, "Not Found")</f>
        <v>0</v>
      </c>
      <c r="AC483" s="8" t="str">
        <f>_xlfn.XLOOKUP(AA483, 'Agency List'!A$2:A$145, 'Agency List'!C$2:C$145, "Not Found")</f>
        <v>33/A, First Floor, Nutan Shopping Center, Jilla Panchayat Road, Amreli - 365601</v>
      </c>
      <c r="AD483" s="8">
        <f>_xlfn.XLOOKUP(AA483, 'Agency List'!A$2:A$145, 'Agency List'!D$2:D$145, "Not Found")</f>
        <v>8780135063</v>
      </c>
      <c r="AE483" s="7">
        <v>46034</v>
      </c>
      <c r="AF483" s="5"/>
      <c r="AG483" s="5" t="str">
        <f t="shared" si="97"/>
        <v>Karobari</v>
      </c>
      <c r="AH483" s="55"/>
      <c r="AI483" s="49" t="s">
        <v>69</v>
      </c>
      <c r="AJ483" s="20" t="s">
        <v>1117</v>
      </c>
      <c r="AK483" s="7">
        <v>46038</v>
      </c>
      <c r="AL483" s="16">
        <v>9</v>
      </c>
      <c r="AM483" s="12">
        <f t="shared" si="98"/>
        <v>354000</v>
      </c>
      <c r="AN483" s="7">
        <f t="shared" si="99"/>
        <v>46802</v>
      </c>
      <c r="AO483" s="12">
        <f t="shared" si="100"/>
        <v>17400</v>
      </c>
      <c r="AP483" s="12">
        <f t="shared" si="101"/>
        <v>0</v>
      </c>
      <c r="AQ483" s="15">
        <f t="shared" si="102"/>
        <v>46387</v>
      </c>
      <c r="AR483" s="7">
        <f t="shared" si="103"/>
        <v>46742</v>
      </c>
      <c r="AS483" s="5">
        <v>110</v>
      </c>
      <c r="AT483" s="7">
        <v>46052</v>
      </c>
      <c r="AU483" s="5"/>
      <c r="AV483" s="17"/>
      <c r="AW483" s="17"/>
      <c r="AX483" s="5"/>
      <c r="AY483" s="5"/>
      <c r="AZ483" s="13"/>
      <c r="BA483" s="12"/>
      <c r="BB483" s="7"/>
      <c r="BC483" s="14"/>
      <c r="BD483" s="14"/>
      <c r="BF483" s="12"/>
      <c r="BG483" s="14"/>
      <c r="BH483" s="19">
        <v>46082</v>
      </c>
      <c r="BI483" s="5"/>
      <c r="BM483" s="18"/>
      <c r="BN483" s="18"/>
      <c r="BO483" s="18"/>
      <c r="BP483" s="18"/>
      <c r="BQ483" s="5"/>
      <c r="BR483" s="18"/>
      <c r="BS483" s="18"/>
      <c r="BT483" s="35">
        <f t="shared" si="106"/>
        <v>46356</v>
      </c>
    </row>
    <row r="484" spans="1:72" ht="43.5" x14ac:dyDescent="0.35">
      <c r="A484" s="5">
        <v>483</v>
      </c>
      <c r="B484" s="5"/>
      <c r="C484" s="5" t="s">
        <v>78</v>
      </c>
      <c r="D484" s="5">
        <v>25</v>
      </c>
      <c r="E484" s="5">
        <v>6</v>
      </c>
      <c r="F484" s="8" t="s">
        <v>1096</v>
      </c>
      <c r="G484" s="8"/>
      <c r="H484" s="5"/>
      <c r="I484" s="5" t="e" cm="1">
        <f t="array" ref="I484">_xlfn.IFS(
  H484="Mahuva", "Mahuva",
  H484="Jesar", "Mahuva",
  H484="Palitana", "Palitana",
  H484="Gariyadhar", "Palitana",
  H484="Talaja", "Talaja",
  H484="Vallabhipur", "Vallabhipur",
  H484="Umrala", "Vallabhipur",
  H484="Shihor", "Shihor",
  H484="Ghogha", "Bhavnagar",
  H484="Bhavnagar", "Bhavnagar"
)</f>
        <v>#N/A</v>
      </c>
      <c r="J484" s="5"/>
      <c r="K484" s="5"/>
      <c r="M484" s="5"/>
      <c r="Q484" s="7">
        <f t="shared" si="93"/>
        <v>120</v>
      </c>
      <c r="S484" s="33"/>
      <c r="U484" s="10"/>
      <c r="V484" s="10" t="str">
        <f t="shared" si="94"/>
        <v>Equals</v>
      </c>
      <c r="W484" s="11" t="str" cm="1">
        <f t="array" ref="W484">NumberToWords(T484)</f>
        <v>Zero Rupees Only</v>
      </c>
      <c r="X484" s="10" t="str">
        <f t="shared" si="105"/>
        <v>Division</v>
      </c>
      <c r="Z484" s="9">
        <f t="shared" si="96"/>
        <v>0</v>
      </c>
      <c r="AB484" s="8">
        <f>_xlfn.XLOOKUP(AA484, 'Agency List'!A$2:A$145, 'Agency List'!B$2:B$145, "Not Found")</f>
        <v>0</v>
      </c>
      <c r="AC484" s="8">
        <f>_xlfn.XLOOKUP(AA484, 'Agency List'!A$2:A$145, 'Agency List'!C$2:C$145, "Not Found")</f>
        <v>0</v>
      </c>
      <c r="AD484" s="8">
        <f>_xlfn.XLOOKUP(AA484, 'Agency List'!A$2:A$145, 'Agency List'!D$2:D$145, "Not Found")</f>
        <v>0</v>
      </c>
      <c r="AE484" s="7"/>
      <c r="AF484" s="5"/>
      <c r="AG484" s="5" t="str">
        <f t="shared" si="97"/>
        <v>Bandhkam</v>
      </c>
      <c r="AH484" s="55"/>
      <c r="AI484" s="49"/>
      <c r="AJ484" s="20"/>
      <c r="AL484" s="16"/>
      <c r="AM484" s="12">
        <f t="shared" si="98"/>
        <v>0</v>
      </c>
      <c r="AN484" s="7">
        <f t="shared" si="99"/>
        <v>450</v>
      </c>
      <c r="AO484" s="12">
        <f t="shared" si="100"/>
        <v>0</v>
      </c>
      <c r="AP484" s="12">
        <f t="shared" si="101"/>
        <v>0</v>
      </c>
      <c r="AQ484" s="15">
        <f t="shared" si="102"/>
        <v>35</v>
      </c>
      <c r="AR484" s="7">
        <f t="shared" si="103"/>
        <v>390</v>
      </c>
      <c r="AS484" s="5"/>
      <c r="AU484" s="5"/>
      <c r="AV484" s="17"/>
      <c r="AW484" s="17"/>
      <c r="AX484" s="5"/>
      <c r="AY484" s="5"/>
      <c r="AZ484" s="13"/>
      <c r="BA484" s="12"/>
      <c r="BB484" s="7"/>
      <c r="BC484" s="14"/>
      <c r="BD484" s="14"/>
      <c r="BF484" s="12"/>
      <c r="BG484" s="14"/>
      <c r="BH484" s="19"/>
      <c r="BI484" s="5"/>
      <c r="BM484" s="18"/>
      <c r="BN484" s="18"/>
      <c r="BO484" s="18"/>
      <c r="BP484" s="18"/>
      <c r="BQ484" s="5"/>
      <c r="BR484" s="18"/>
      <c r="BS484" s="18"/>
      <c r="BT484" s="35">
        <f t="shared" si="106"/>
        <v>-1</v>
      </c>
    </row>
    <row r="485" spans="1:72" ht="58" x14ac:dyDescent="0.35">
      <c r="A485" s="5">
        <v>484</v>
      </c>
      <c r="B485" s="5"/>
      <c r="C485" s="5" t="s">
        <v>78</v>
      </c>
      <c r="D485" s="5">
        <v>25</v>
      </c>
      <c r="E485" s="5">
        <v>7</v>
      </c>
      <c r="F485" s="8" t="s">
        <v>1114</v>
      </c>
      <c r="G485" s="8"/>
      <c r="H485" s="5" t="s">
        <v>11</v>
      </c>
      <c r="I485" s="5" t="str" cm="1">
        <f t="array" ref="I485">_xlfn.IFS(
  H485="Mahuva", "Mahuva",
  H485="Jesar", "Mahuva",
  H485="Palitana", "Palitana",
  H485="Gariyadhar", "Palitana",
  H485="Talaja", "Talaja",
  H485="Vallabhipur", "Vallabhipur",
  H485="Umrala", "Vallabhipur",
  H485="Shihor", "Shihor",
  H485="Ghogha", "Bhavnagar",
  H485="Bhavnagar", "Bhavnagar"
)</f>
        <v>Vallabhipur</v>
      </c>
      <c r="J485" s="5" t="s">
        <v>256</v>
      </c>
      <c r="K485" s="5" t="s">
        <v>1102</v>
      </c>
      <c r="L485" s="5">
        <v>253529</v>
      </c>
      <c r="M485" s="5"/>
      <c r="N485" s="7">
        <v>46004</v>
      </c>
      <c r="O485" s="7">
        <v>46016</v>
      </c>
      <c r="P485" s="7">
        <v>46017</v>
      </c>
      <c r="Q485" s="7">
        <f t="shared" si="93"/>
        <v>46136</v>
      </c>
      <c r="R485" s="9">
        <v>6437354.8300000001</v>
      </c>
      <c r="S485" s="33"/>
      <c r="T485" s="9">
        <v>5951334.54</v>
      </c>
      <c r="U485" s="10">
        <v>-7.55</v>
      </c>
      <c r="V485" s="10" t="str">
        <f t="shared" si="94"/>
        <v>Below</v>
      </c>
      <c r="W485" s="11" t="str" cm="1">
        <f t="array" ref="W485">NumberToWords(T485)</f>
        <v>Fifty Nine Lakh Fifty One Thousand Three Hundred Thirty Four Rupees and Fifty Four Paise Only</v>
      </c>
      <c r="X485" s="10" t="str">
        <f t="shared" si="105"/>
        <v>Circle</v>
      </c>
      <c r="Z485" s="9">
        <f t="shared" si="96"/>
        <v>5951334.54</v>
      </c>
      <c r="AA485" s="5" t="s">
        <v>1104</v>
      </c>
      <c r="AB485" s="8">
        <f>_xlfn.XLOOKUP(AA485, 'Agency List'!A$2:A$145, 'Agency List'!B$2:B$145, "Not Found")</f>
        <v>0</v>
      </c>
      <c r="AC485" s="8" t="str">
        <f>_xlfn.XLOOKUP(AA485, 'Agency List'!A$2:A$145, 'Agency List'!C$2:C$145, "Not Found")</f>
        <v>411, Silver Stone Arcade, Near Kanthariya Hanuman Temple, Singanpor Causeway Road, Katargam, Surat - 395004</v>
      </c>
      <c r="AD485" s="8">
        <f>_xlfn.XLOOKUP(AA485, 'Agency List'!A$2:A$145, 'Agency List'!D$2:D$145, "Not Found")</f>
        <v>9722525712</v>
      </c>
      <c r="AE485" s="7">
        <v>46034</v>
      </c>
      <c r="AF485" s="5"/>
      <c r="AG485" s="5" t="str">
        <f t="shared" si="97"/>
        <v>Karobari</v>
      </c>
      <c r="AH485" s="55"/>
      <c r="AI485" s="49" t="s">
        <v>69</v>
      </c>
      <c r="AJ485" s="20" t="s">
        <v>1116</v>
      </c>
      <c r="AK485" s="7">
        <v>46038</v>
      </c>
      <c r="AL485" s="16">
        <v>6</v>
      </c>
      <c r="AM485" s="12">
        <f t="shared" si="98"/>
        <v>298000</v>
      </c>
      <c r="AN485" s="7">
        <f t="shared" si="99"/>
        <v>46712</v>
      </c>
      <c r="AO485" s="12">
        <f t="shared" si="100"/>
        <v>14700</v>
      </c>
      <c r="AP485" s="12">
        <f t="shared" si="101"/>
        <v>0</v>
      </c>
      <c r="AQ485" s="15">
        <f t="shared" si="102"/>
        <v>46297</v>
      </c>
      <c r="AR485" s="7">
        <f t="shared" si="103"/>
        <v>46652</v>
      </c>
      <c r="AS485" s="5">
        <v>109</v>
      </c>
      <c r="AT485" s="7">
        <v>46052</v>
      </c>
      <c r="AU485" s="5"/>
      <c r="AV485" s="17"/>
      <c r="AW485" s="17"/>
      <c r="AX485" s="5"/>
      <c r="AY485" s="5"/>
      <c r="AZ485" s="13"/>
      <c r="BA485" s="12"/>
      <c r="BB485" s="7"/>
      <c r="BC485" s="14"/>
      <c r="BD485" s="14"/>
      <c r="BF485" s="12"/>
      <c r="BG485" s="14"/>
      <c r="BH485" s="19">
        <v>46082</v>
      </c>
      <c r="BI485" s="5"/>
      <c r="BM485" s="18"/>
      <c r="BN485" s="18"/>
      <c r="BO485" s="18"/>
      <c r="BP485" s="18"/>
      <c r="BQ485" s="5"/>
      <c r="BR485" s="18"/>
      <c r="BS485" s="18"/>
      <c r="BT485" s="35">
        <f t="shared" si="106"/>
        <v>46265</v>
      </c>
    </row>
    <row r="486" spans="1:72" ht="58" x14ac:dyDescent="0.35">
      <c r="A486" s="5">
        <v>485</v>
      </c>
      <c r="B486" s="5"/>
      <c r="C486" s="5" t="s">
        <v>78</v>
      </c>
      <c r="D486" s="5">
        <v>25</v>
      </c>
      <c r="E486" s="5">
        <v>8</v>
      </c>
      <c r="F486" s="8" t="s">
        <v>1120</v>
      </c>
      <c r="G486" s="8"/>
      <c r="H486" s="5" t="s">
        <v>4</v>
      </c>
      <c r="I486" s="5" t="str" cm="1">
        <f t="array" ref="I486">_xlfn.IFS(
  H486="Mahuva", "Mahuva",
  H486="Jesar", "Mahuva",
  H486="Palitana", "Palitana",
  H486="Gariyadhar", "Palitana",
  H486="Talaja", "Talaja",
  H486="Vallabhipur", "Vallabhipur",
  H486="Umrala", "Vallabhipur",
  H486="Shihor", "Shihor",
  H486="Ghogha", "Bhavnagar",
  H486="Bhavnagar", "Bhavnagar"
)</f>
        <v>Talaja</v>
      </c>
      <c r="J486" s="5" t="s">
        <v>21</v>
      </c>
      <c r="K486" s="5"/>
      <c r="L486" s="5">
        <v>253535</v>
      </c>
      <c r="M486" s="5"/>
      <c r="N486" s="7">
        <v>46004</v>
      </c>
      <c r="O486" s="7">
        <v>46016</v>
      </c>
      <c r="P486" s="7">
        <v>46017</v>
      </c>
      <c r="Q486" s="7">
        <f t="shared" si="93"/>
        <v>46136</v>
      </c>
      <c r="R486" s="9">
        <v>8044386.5800000001</v>
      </c>
      <c r="S486" s="33"/>
      <c r="T486" s="9">
        <v>7508630.4299999997</v>
      </c>
      <c r="U486" s="10">
        <v>-6.66</v>
      </c>
      <c r="V486" s="10" t="str">
        <f t="shared" si="94"/>
        <v>Below</v>
      </c>
      <c r="W486" s="11" t="str" cm="1">
        <f t="array" ref="W486">NumberToWords(T486)</f>
        <v>Seventy Five Lakh Eight Thousand Six Hundred Thirty Rupees and Forty Three Paise Only</v>
      </c>
      <c r="X486" s="10" t="str">
        <f t="shared" si="105"/>
        <v>Circle</v>
      </c>
      <c r="Z486" s="9">
        <f t="shared" si="96"/>
        <v>7508630.4299999997</v>
      </c>
      <c r="AA486" s="5" t="s">
        <v>1121</v>
      </c>
      <c r="AB486" s="8" t="str">
        <f>_xlfn.XLOOKUP(AA486, 'Agency List'!A$2:A$145, 'Agency List'!B$2:B$145, "Not Found")</f>
        <v>BHADRESHSINH BHAGWATSING GOHIL</v>
      </c>
      <c r="AC486" s="8" t="str">
        <f>_xlfn.XLOOKUP(AA486, 'Agency List'!A$2:A$145, 'Agency List'!C$2:C$145, "Not Found")</f>
        <v>A/8, AKSHARDEEP COMPLEX, OPP. DEEPAK MEMORIAL HALL, SANSKAR MANDAL, BHAVNAGAR-364002</v>
      </c>
      <c r="AD486" s="8">
        <f>_xlfn.XLOOKUP(AA486, 'Agency List'!A$2:A$145, 'Agency List'!D$2:D$145, "Not Found")</f>
        <v>9925209999</v>
      </c>
      <c r="AE486" s="7">
        <v>46034</v>
      </c>
      <c r="AF486" s="5"/>
      <c r="AG486" s="5" t="str">
        <f t="shared" si="97"/>
        <v>Karobari</v>
      </c>
      <c r="AH486" s="55"/>
      <c r="AI486" s="49" t="s">
        <v>69</v>
      </c>
      <c r="AJ486" s="20" t="s">
        <v>1122</v>
      </c>
      <c r="AK486" s="7">
        <v>46038</v>
      </c>
      <c r="AL486" s="16">
        <v>3</v>
      </c>
      <c r="AM486" s="12">
        <f t="shared" si="98"/>
        <v>376000</v>
      </c>
      <c r="AN486" s="7">
        <f t="shared" si="99"/>
        <v>46622</v>
      </c>
      <c r="AO486" s="12">
        <f t="shared" si="100"/>
        <v>18500</v>
      </c>
      <c r="AP486" s="12">
        <f t="shared" si="101"/>
        <v>0</v>
      </c>
      <c r="AQ486" s="15">
        <f t="shared" si="102"/>
        <v>46207</v>
      </c>
      <c r="AR486" s="7">
        <f t="shared" si="103"/>
        <v>46562</v>
      </c>
      <c r="AS486" s="5">
        <v>111</v>
      </c>
      <c r="AT486" s="7">
        <v>46052</v>
      </c>
      <c r="AU486" s="5"/>
      <c r="AV486" s="17"/>
      <c r="AW486" s="17"/>
      <c r="AX486" s="5"/>
      <c r="AY486" s="5"/>
      <c r="AZ486" s="13"/>
      <c r="BA486" s="12"/>
      <c r="BB486" s="7"/>
      <c r="BC486" s="14"/>
      <c r="BD486" s="14"/>
      <c r="BF486" s="12"/>
      <c r="BG486" s="14"/>
      <c r="BH486" s="19">
        <v>46082</v>
      </c>
      <c r="BI486" s="5"/>
      <c r="BM486" s="18"/>
      <c r="BN486" s="18"/>
      <c r="BO486" s="18"/>
      <c r="BP486" s="18"/>
      <c r="BQ486" s="5"/>
      <c r="BR486" s="18"/>
      <c r="BS486" s="18"/>
      <c r="BT486" s="35">
        <f t="shared" si="106"/>
        <v>46173</v>
      </c>
    </row>
    <row r="487" spans="1:72" ht="43.5" x14ac:dyDescent="0.35">
      <c r="A487" s="5">
        <v>486</v>
      </c>
      <c r="B487" s="5"/>
      <c r="C487" s="5" t="s">
        <v>78</v>
      </c>
      <c r="D487" s="5">
        <v>26</v>
      </c>
      <c r="E487" s="5">
        <v>1</v>
      </c>
      <c r="F487" s="8" t="s">
        <v>1105</v>
      </c>
      <c r="G487" s="8"/>
      <c r="H487" s="5" t="s">
        <v>4</v>
      </c>
      <c r="I487" s="5" t="str" cm="1">
        <f t="array" ref="I487">_xlfn.IFS(
  H487="Mahuva", "Mahuva",
  H487="Jesar", "Mahuva",
  H487="Palitana", "Palitana",
  H487="Gariyadhar", "Palitana",
  H487="Talaja", "Talaja",
  H487="Vallabhipur", "Vallabhipur",
  H487="Umrala", "Vallabhipur",
  H487="Shihor", "Shihor",
  H487="Ghogha", "Bhavnagar",
  H487="Bhavnagar", "Bhavnagar"
)</f>
        <v>Talaja</v>
      </c>
      <c r="J487" s="5" t="s">
        <v>256</v>
      </c>
      <c r="K487" s="5" t="s">
        <v>418</v>
      </c>
      <c r="L487" s="5">
        <v>258837</v>
      </c>
      <c r="M487" s="5">
        <v>2</v>
      </c>
      <c r="N487" s="7">
        <v>46005</v>
      </c>
      <c r="O487" s="7">
        <v>46013</v>
      </c>
      <c r="P487" s="7">
        <v>46014</v>
      </c>
      <c r="Q487" s="7">
        <f t="shared" si="93"/>
        <v>46133</v>
      </c>
      <c r="R487" s="9">
        <v>3343492.09</v>
      </c>
      <c r="S487" s="33"/>
      <c r="T487" s="9">
        <v>2948625.67</v>
      </c>
      <c r="U487" s="10">
        <v>-11.81</v>
      </c>
      <c r="V487" s="10" t="str">
        <f t="shared" si="94"/>
        <v>Below</v>
      </c>
      <c r="W487" s="11" t="str" cm="1">
        <f t="array" ref="W487">NumberToWords(T487)</f>
        <v>Twenty Nine Lakh Forty Eight Thousand Six Hundred Twenty Five Rupees and Sixty Seven Paise Only</v>
      </c>
      <c r="X487" s="10" t="str">
        <f t="shared" si="105"/>
        <v>Division</v>
      </c>
      <c r="Z487" s="9">
        <f t="shared" si="96"/>
        <v>2948625.67</v>
      </c>
      <c r="AA487" s="5" t="s">
        <v>1106</v>
      </c>
      <c r="AB487" s="8" t="str">
        <f>_xlfn.XLOOKUP(AA487, 'Agency List'!A$2:A$145, 'Agency List'!B$2:B$145, "Not Found")</f>
        <v>Not Found</v>
      </c>
      <c r="AC487" s="8" t="str">
        <f>_xlfn.XLOOKUP(AA487, 'Agency List'!A$2:A$145, 'Agency List'!C$2:C$145, "Not Found")</f>
        <v>Not Found</v>
      </c>
      <c r="AD487" s="8" t="str">
        <f>_xlfn.XLOOKUP(AA487, 'Agency List'!A$2:A$145, 'Agency List'!D$2:D$145, "Not Found")</f>
        <v>Not Found</v>
      </c>
      <c r="AE487" s="7"/>
      <c r="AF487" s="5"/>
      <c r="AG487" s="5" t="str">
        <f t="shared" si="97"/>
        <v>Karobari</v>
      </c>
      <c r="AH487" s="55"/>
      <c r="AI487" s="49"/>
      <c r="AJ487" s="20"/>
      <c r="AL487" s="16"/>
      <c r="AM487" s="12">
        <f t="shared" si="98"/>
        <v>148000</v>
      </c>
      <c r="AN487" s="7">
        <f t="shared" si="99"/>
        <v>450</v>
      </c>
      <c r="AO487" s="12">
        <f t="shared" si="100"/>
        <v>7900</v>
      </c>
      <c r="AP487" s="12">
        <f t="shared" si="101"/>
        <v>13000</v>
      </c>
      <c r="AQ487" s="15">
        <f t="shared" si="102"/>
        <v>35</v>
      </c>
      <c r="AR487" s="7">
        <f t="shared" si="103"/>
        <v>390</v>
      </c>
      <c r="AS487" s="5"/>
      <c r="AU487" s="5"/>
      <c r="AV487" s="17"/>
      <c r="AW487" s="17"/>
      <c r="AX487" s="5"/>
      <c r="AY487" s="5"/>
      <c r="AZ487" s="13"/>
      <c r="BA487" s="12"/>
      <c r="BB487" s="7"/>
      <c r="BC487" s="14"/>
      <c r="BD487" s="14"/>
      <c r="BF487" s="12"/>
      <c r="BG487" s="14"/>
      <c r="BH487" s="19"/>
      <c r="BI487" s="5"/>
      <c r="BM487" s="18"/>
      <c r="BN487" s="18"/>
      <c r="BO487" s="18"/>
      <c r="BP487" s="18"/>
      <c r="BQ487" s="5"/>
      <c r="BR487" s="18"/>
      <c r="BS487" s="18"/>
      <c r="BT487" s="35">
        <f t="shared" si="106"/>
        <v>-1</v>
      </c>
    </row>
    <row r="488" spans="1:72" ht="43.5" x14ac:dyDescent="0.35">
      <c r="A488" s="5">
        <v>487</v>
      </c>
      <c r="B488" s="5"/>
      <c r="C488" s="5" t="s">
        <v>78</v>
      </c>
      <c r="D488" s="5">
        <v>26</v>
      </c>
      <c r="E488" s="5">
        <v>2</v>
      </c>
      <c r="F488" s="8" t="s">
        <v>1107</v>
      </c>
      <c r="G488" s="8"/>
      <c r="H488" s="5" t="s">
        <v>4</v>
      </c>
      <c r="I488" s="5" t="str" cm="1">
        <f t="array" ref="I488">_xlfn.IFS(
  H488="Mahuva", "Mahuva",
  H488="Jesar", "Mahuva",
  H488="Palitana", "Palitana",
  H488="Gariyadhar", "Palitana",
  H488="Talaja", "Talaja",
  H488="Vallabhipur", "Vallabhipur",
  H488="Umrala", "Vallabhipur",
  H488="Shihor", "Shihor",
  H488="Ghogha", "Bhavnagar",
  H488="Bhavnagar", "Bhavnagar"
)</f>
        <v>Talaja</v>
      </c>
      <c r="J488" s="5" t="s">
        <v>256</v>
      </c>
      <c r="K488" s="5" t="s">
        <v>418</v>
      </c>
      <c r="L488" s="5">
        <v>258844</v>
      </c>
      <c r="M488" s="5">
        <v>2</v>
      </c>
      <c r="N488" s="7">
        <v>46005</v>
      </c>
      <c r="O488" s="7">
        <v>46013</v>
      </c>
      <c r="P488" s="7">
        <v>46014</v>
      </c>
      <c r="Q488" s="7">
        <f t="shared" si="93"/>
        <v>46133</v>
      </c>
      <c r="R488" s="9">
        <v>2067497.06</v>
      </c>
      <c r="S488" s="33"/>
      <c r="T488" s="9">
        <v>1807199.18</v>
      </c>
      <c r="U488" s="10">
        <v>-12.59</v>
      </c>
      <c r="V488" s="10" t="str">
        <f t="shared" si="94"/>
        <v>Below</v>
      </c>
      <c r="W488" s="11" t="str" cm="1">
        <f t="array" ref="W488">NumberToWords(T488)</f>
        <v>Eighteen Lakh Seven Thousand One Hundred Ninety Nine Rupees and Eighteen Paise Only</v>
      </c>
      <c r="X488" s="10" t="str">
        <f t="shared" si="105"/>
        <v>Division</v>
      </c>
      <c r="Z488" s="9">
        <f t="shared" si="96"/>
        <v>1807199.18</v>
      </c>
      <c r="AA488" s="5" t="s">
        <v>1108</v>
      </c>
      <c r="AB488" s="8" t="str">
        <f>_xlfn.XLOOKUP(AA488, 'Agency List'!A$2:A$145, 'Agency List'!B$2:B$145, "Not Found")</f>
        <v>Not Found</v>
      </c>
      <c r="AC488" s="8" t="str">
        <f>_xlfn.XLOOKUP(AA488, 'Agency List'!A$2:A$145, 'Agency List'!C$2:C$145, "Not Found")</f>
        <v>Not Found</v>
      </c>
      <c r="AD488" s="8" t="str">
        <f>_xlfn.XLOOKUP(AA488, 'Agency List'!A$2:A$145, 'Agency List'!D$2:D$145, "Not Found")</f>
        <v>Not Found</v>
      </c>
      <c r="AE488" s="7"/>
      <c r="AF488" s="5"/>
      <c r="AG488" s="5" t="str">
        <f t="shared" si="97"/>
        <v>Bandhkam</v>
      </c>
      <c r="AH488" s="55"/>
      <c r="AI488" s="49"/>
      <c r="AJ488" s="20"/>
      <c r="AL488" s="16"/>
      <c r="AM488" s="12">
        <f t="shared" si="98"/>
        <v>91000</v>
      </c>
      <c r="AN488" s="7">
        <f t="shared" si="99"/>
        <v>450</v>
      </c>
      <c r="AO488" s="12">
        <f t="shared" si="100"/>
        <v>5000</v>
      </c>
      <c r="AP488" s="12">
        <f t="shared" si="101"/>
        <v>11000</v>
      </c>
      <c r="AQ488" s="15">
        <f t="shared" si="102"/>
        <v>35</v>
      </c>
      <c r="AR488" s="7">
        <f t="shared" si="103"/>
        <v>390</v>
      </c>
      <c r="AS488" s="5"/>
      <c r="AU488" s="5"/>
      <c r="AV488" s="17"/>
      <c r="AW488" s="17"/>
      <c r="AX488" s="5"/>
      <c r="AY488" s="5"/>
      <c r="AZ488" s="13"/>
      <c r="BA488" s="12"/>
      <c r="BB488" s="7"/>
      <c r="BC488" s="14"/>
      <c r="BD488" s="14"/>
      <c r="BF488" s="12"/>
      <c r="BG488" s="14"/>
      <c r="BH488" s="19"/>
      <c r="BI488" s="5"/>
      <c r="BM488" s="18"/>
      <c r="BN488" s="18"/>
      <c r="BO488" s="18"/>
      <c r="BP488" s="18"/>
      <c r="BQ488" s="5"/>
      <c r="BR488" s="18"/>
      <c r="BS488" s="18"/>
      <c r="BT488" s="35">
        <f t="shared" si="106"/>
        <v>-1</v>
      </c>
    </row>
    <row r="489" spans="1:72" ht="43.5" x14ac:dyDescent="0.35">
      <c r="A489" s="5">
        <v>488</v>
      </c>
      <c r="B489" s="5"/>
      <c r="C489" s="5" t="s">
        <v>78</v>
      </c>
      <c r="D489" s="5">
        <v>26</v>
      </c>
      <c r="E489" s="5">
        <v>3</v>
      </c>
      <c r="F489" s="8" t="s">
        <v>1109</v>
      </c>
      <c r="G489" s="8"/>
      <c r="H489" s="5" t="s">
        <v>4</v>
      </c>
      <c r="I489" s="5" t="str" cm="1">
        <f t="array" ref="I489">_xlfn.IFS(
  H489="Mahuva", "Mahuva",
  H489="Jesar", "Mahuva",
  H489="Palitana", "Palitana",
  H489="Gariyadhar", "Palitana",
  H489="Talaja", "Talaja",
  H489="Vallabhipur", "Vallabhipur",
  H489="Umrala", "Vallabhipur",
  H489="Shihor", "Shihor",
  H489="Ghogha", "Bhavnagar",
  H489="Bhavnagar", "Bhavnagar"
)</f>
        <v>Talaja</v>
      </c>
      <c r="J489" s="5" t="s">
        <v>256</v>
      </c>
      <c r="K489" s="5" t="s">
        <v>418</v>
      </c>
      <c r="L489" s="5">
        <v>258852</v>
      </c>
      <c r="M489" s="5">
        <v>2</v>
      </c>
      <c r="N489" s="7">
        <v>46005</v>
      </c>
      <c r="O489" s="7">
        <v>46013</v>
      </c>
      <c r="P489" s="7">
        <v>46014</v>
      </c>
      <c r="Q489" s="7">
        <f t="shared" si="93"/>
        <v>46133</v>
      </c>
      <c r="R489" s="9">
        <v>2067497.06</v>
      </c>
      <c r="S489" s="33"/>
      <c r="T489" s="9">
        <v>1808853.18</v>
      </c>
      <c r="U489" s="10">
        <v>-12.51</v>
      </c>
      <c r="V489" s="10" t="str">
        <f t="shared" si="94"/>
        <v>Below</v>
      </c>
      <c r="W489" s="11" t="str" cm="1">
        <f t="array" ref="W489">NumberToWords(T489)</f>
        <v>Eighteen Lakh Eight Thousand Eight Hundred Fifty Three Rupees and Eighteen Paise Only</v>
      </c>
      <c r="X489" s="10" t="str">
        <f t="shared" si="105"/>
        <v>Division</v>
      </c>
      <c r="Z489" s="9">
        <f t="shared" si="96"/>
        <v>1808853.18</v>
      </c>
      <c r="AA489" s="5" t="s">
        <v>1108</v>
      </c>
      <c r="AB489" s="8" t="str">
        <f>_xlfn.XLOOKUP(AA489, 'Agency List'!A$2:A$145, 'Agency List'!B$2:B$145, "Not Found")</f>
        <v>Not Found</v>
      </c>
      <c r="AC489" s="8" t="str">
        <f>_xlfn.XLOOKUP(AA489, 'Agency List'!A$2:A$145, 'Agency List'!C$2:C$145, "Not Found")</f>
        <v>Not Found</v>
      </c>
      <c r="AD489" s="8" t="str">
        <f>_xlfn.XLOOKUP(AA489, 'Agency List'!A$2:A$145, 'Agency List'!D$2:D$145, "Not Found")</f>
        <v>Not Found</v>
      </c>
      <c r="AE489" s="7"/>
      <c r="AF489" s="5"/>
      <c r="AG489" s="5" t="str">
        <f t="shared" si="97"/>
        <v>Bandhkam</v>
      </c>
      <c r="AH489" s="55"/>
      <c r="AI489" s="49"/>
      <c r="AJ489" s="20"/>
      <c r="AL489" s="16"/>
      <c r="AM489" s="12">
        <f t="shared" si="98"/>
        <v>91000</v>
      </c>
      <c r="AN489" s="7">
        <f t="shared" si="99"/>
        <v>450</v>
      </c>
      <c r="AO489" s="12">
        <f t="shared" si="100"/>
        <v>5000</v>
      </c>
      <c r="AP489" s="12">
        <f t="shared" si="101"/>
        <v>11000</v>
      </c>
      <c r="AQ489" s="15">
        <f t="shared" si="102"/>
        <v>35</v>
      </c>
      <c r="AR489" s="7">
        <f t="shared" si="103"/>
        <v>390</v>
      </c>
      <c r="AS489" s="5"/>
      <c r="AU489" s="5"/>
      <c r="AV489" s="17"/>
      <c r="AW489" s="17"/>
      <c r="AX489" s="5"/>
      <c r="AY489" s="5"/>
      <c r="AZ489" s="13"/>
      <c r="BA489" s="12"/>
      <c r="BB489" s="7"/>
      <c r="BC489" s="14"/>
      <c r="BD489" s="14"/>
      <c r="BF489" s="12"/>
      <c r="BG489" s="14"/>
      <c r="BH489" s="19"/>
      <c r="BI489" s="5"/>
      <c r="BM489" s="18"/>
      <c r="BN489" s="18"/>
      <c r="BO489" s="18"/>
      <c r="BP489" s="18"/>
      <c r="BQ489" s="5"/>
      <c r="BR489" s="18"/>
      <c r="BS489" s="18"/>
      <c r="BT489" s="35">
        <f t="shared" si="106"/>
        <v>-1</v>
      </c>
    </row>
    <row r="490" spans="1:72" ht="43.5" x14ac:dyDescent="0.35">
      <c r="A490" s="5">
        <v>489</v>
      </c>
      <c r="B490" s="5"/>
      <c r="C490" s="5" t="s">
        <v>78</v>
      </c>
      <c r="D490" s="5">
        <v>26</v>
      </c>
      <c r="E490" s="5">
        <v>4</v>
      </c>
      <c r="F490" s="8" t="s">
        <v>1110</v>
      </c>
      <c r="G490" s="8"/>
      <c r="H490" s="5" t="s">
        <v>3</v>
      </c>
      <c r="I490" s="5" t="str" cm="1">
        <f t="array" ref="I490">_xlfn.IFS(
  H490="Mahuva", "Mahuva",
  H490="Jesar", "Mahuva",
  H490="Palitana", "Palitana",
  H490="Gariyadhar", "Palitana",
  H490="Talaja", "Talaja",
  H490="Vallabhipur", "Vallabhipur",
  H490="Umrala", "Vallabhipur",
  H490="Shihor", "Shihor",
  H490="Ghogha", "Bhavnagar",
  H490="Bhavnagar", "Bhavnagar"
)</f>
        <v>Palitana</v>
      </c>
      <c r="J490" s="5" t="s">
        <v>256</v>
      </c>
      <c r="K490" s="5" t="s">
        <v>418</v>
      </c>
      <c r="L490" s="5">
        <v>258858</v>
      </c>
      <c r="M490" s="5">
        <v>2</v>
      </c>
      <c r="N490" s="7">
        <v>46005</v>
      </c>
      <c r="O490" s="7">
        <v>46013</v>
      </c>
      <c r="P490" s="7">
        <v>46014</v>
      </c>
      <c r="Q490" s="7">
        <f t="shared" si="93"/>
        <v>46133</v>
      </c>
      <c r="R490" s="9">
        <v>2067497.06</v>
      </c>
      <c r="S490" s="33"/>
      <c r="T490" s="9">
        <v>1860954.1</v>
      </c>
      <c r="U490" s="10">
        <v>-9.99</v>
      </c>
      <c r="V490" s="10" t="str">
        <f t="shared" si="94"/>
        <v>Below</v>
      </c>
      <c r="W490" s="11" t="str" cm="1">
        <f t="array" ref="W490">NumberToWords(T490)</f>
        <v>Eighteen Lakh Sixty Thousand Nine Hundred Fifty Four Rupees and One Paise Only</v>
      </c>
      <c r="X490" s="10" t="str">
        <f t="shared" si="105"/>
        <v>Division</v>
      </c>
      <c r="Z490" s="9">
        <f t="shared" si="96"/>
        <v>1860954.1</v>
      </c>
      <c r="AA490" s="5" t="s">
        <v>1111</v>
      </c>
      <c r="AB490" s="8" t="str">
        <f>_xlfn.XLOOKUP(AA490, 'Agency List'!A$2:A$145, 'Agency List'!B$2:B$145, "Not Found")</f>
        <v>Not Found</v>
      </c>
      <c r="AC490" s="8" t="str">
        <f>_xlfn.XLOOKUP(AA490, 'Agency List'!A$2:A$145, 'Agency List'!C$2:C$145, "Not Found")</f>
        <v>Not Found</v>
      </c>
      <c r="AD490" s="8" t="str">
        <f>_xlfn.XLOOKUP(AA490, 'Agency List'!A$2:A$145, 'Agency List'!D$2:D$145, "Not Found")</f>
        <v>Not Found</v>
      </c>
      <c r="AE490" s="7"/>
      <c r="AF490" s="5"/>
      <c r="AG490" s="5" t="str">
        <f t="shared" si="97"/>
        <v>Bandhkam</v>
      </c>
      <c r="AH490" s="55"/>
      <c r="AI490" s="49"/>
      <c r="AJ490" s="20"/>
      <c r="AL490" s="16"/>
      <c r="AM490" s="12">
        <f t="shared" si="98"/>
        <v>94000</v>
      </c>
      <c r="AN490" s="7">
        <f t="shared" si="99"/>
        <v>450</v>
      </c>
      <c r="AO490" s="12">
        <f t="shared" si="100"/>
        <v>4700</v>
      </c>
      <c r="AP490" s="12">
        <f t="shared" si="101"/>
        <v>0</v>
      </c>
      <c r="AQ490" s="15">
        <f t="shared" si="102"/>
        <v>35</v>
      </c>
      <c r="AR490" s="7">
        <f t="shared" si="103"/>
        <v>390</v>
      </c>
      <c r="AS490" s="5"/>
      <c r="AU490" s="5"/>
      <c r="AV490" s="17"/>
      <c r="AW490" s="17"/>
      <c r="AX490" s="5"/>
      <c r="AY490" s="5"/>
      <c r="AZ490" s="13"/>
      <c r="BA490" s="12"/>
      <c r="BB490" s="7"/>
      <c r="BC490" s="14"/>
      <c r="BD490" s="14"/>
      <c r="BF490" s="12"/>
      <c r="BG490" s="14"/>
      <c r="BH490" s="19"/>
      <c r="BI490" s="5"/>
      <c r="BM490" s="18"/>
      <c r="BN490" s="18"/>
      <c r="BO490" s="18"/>
      <c r="BP490" s="18"/>
      <c r="BQ490" s="5"/>
      <c r="BR490" s="18"/>
      <c r="BS490" s="18"/>
      <c r="BT490" s="35">
        <f t="shared" si="106"/>
        <v>-1</v>
      </c>
    </row>
    <row r="491" spans="1:72" ht="43.5" x14ac:dyDescent="0.35">
      <c r="A491" s="5">
        <v>490</v>
      </c>
      <c r="B491" s="5"/>
      <c r="C491" s="5" t="s">
        <v>78</v>
      </c>
      <c r="D491" s="5">
        <v>26</v>
      </c>
      <c r="E491" s="5">
        <v>5</v>
      </c>
      <c r="F491" s="8" t="s">
        <v>1112</v>
      </c>
      <c r="G491" s="8"/>
      <c r="H491" s="5" t="s">
        <v>278</v>
      </c>
      <c r="I491" s="5" t="str" cm="1">
        <f t="array" ref="I491">_xlfn.IFS(
  H491="Mahuva", "Mahuva",
  H491="Jesar", "Mahuva",
  H491="Palitana", "Palitana",
  H491="Gariyadhar", "Palitana",
  H491="Talaja", "Talaja",
  H491="Vallabhipur", "Vallabhipur",
  H491="Umrala", "Vallabhipur",
  H491="Shihor", "Shihor",
  H491="Ghogha", "Bhavnagar",
  H491="Bhavnagar", "Bhavnagar"
)</f>
        <v>Mahuva</v>
      </c>
      <c r="J491" s="5" t="s">
        <v>256</v>
      </c>
      <c r="K491" s="5" t="s">
        <v>418</v>
      </c>
      <c r="M491" s="5">
        <v>1</v>
      </c>
      <c r="N491" s="7">
        <v>46005</v>
      </c>
      <c r="O491" s="7">
        <v>46013</v>
      </c>
      <c r="P491" s="7">
        <v>46014</v>
      </c>
      <c r="Q491" s="7">
        <f t="shared" si="93"/>
        <v>46133</v>
      </c>
      <c r="S491" s="33"/>
      <c r="U491" s="10"/>
      <c r="V491" s="10" t="str">
        <f t="shared" si="94"/>
        <v>Equals</v>
      </c>
      <c r="W491" s="11" t="str" cm="1">
        <f t="array" ref="W491">NumberToWords(T491)</f>
        <v>Zero Rupees Only</v>
      </c>
      <c r="X491" s="10" t="str">
        <f t="shared" si="105"/>
        <v>Division</v>
      </c>
      <c r="Z491" s="9">
        <f t="shared" si="96"/>
        <v>0</v>
      </c>
      <c r="AB491" s="8">
        <f>_xlfn.XLOOKUP(AA491, 'Agency List'!A$2:A$145, 'Agency List'!B$2:B$145, "Not Found")</f>
        <v>0</v>
      </c>
      <c r="AC491" s="8">
        <f>_xlfn.XLOOKUP(AA491, 'Agency List'!A$2:A$145, 'Agency List'!C$2:C$145, "Not Found")</f>
        <v>0</v>
      </c>
      <c r="AD491" s="8">
        <f>_xlfn.XLOOKUP(AA491, 'Agency List'!A$2:A$145, 'Agency List'!D$2:D$145, "Not Found")</f>
        <v>0</v>
      </c>
      <c r="AE491" s="7"/>
      <c r="AF491" s="5"/>
      <c r="AG491" s="5" t="str">
        <f t="shared" si="97"/>
        <v>Bandhkam</v>
      </c>
      <c r="AH491" s="55"/>
      <c r="AI491" s="49"/>
      <c r="AJ491" s="20"/>
      <c r="AL491" s="16"/>
      <c r="AM491" s="12">
        <f t="shared" si="98"/>
        <v>0</v>
      </c>
      <c r="AN491" s="7">
        <f t="shared" si="99"/>
        <v>450</v>
      </c>
      <c r="AO491" s="12">
        <f t="shared" si="100"/>
        <v>0</v>
      </c>
      <c r="AP491" s="12">
        <f t="shared" si="101"/>
        <v>0</v>
      </c>
      <c r="AQ491" s="15">
        <f t="shared" si="102"/>
        <v>35</v>
      </c>
      <c r="AR491" s="7">
        <f t="shared" si="103"/>
        <v>390</v>
      </c>
      <c r="AS491" s="5"/>
      <c r="AU491" s="5"/>
      <c r="AV491" s="17"/>
      <c r="AW491" s="17"/>
      <c r="AX491" s="5"/>
      <c r="AY491" s="5"/>
      <c r="AZ491" s="13"/>
      <c r="BA491" s="12"/>
      <c r="BB491" s="7"/>
      <c r="BC491" s="14"/>
      <c r="BD491" s="14"/>
      <c r="BF491" s="12"/>
      <c r="BG491" s="14"/>
      <c r="BH491" s="19"/>
      <c r="BI491" s="5"/>
      <c r="BM491" s="18"/>
      <c r="BN491" s="18"/>
      <c r="BO491" s="18"/>
      <c r="BP491" s="18"/>
      <c r="BQ491" s="5"/>
      <c r="BR491" s="18"/>
      <c r="BS491" s="18"/>
      <c r="BT491" s="35">
        <f t="shared" si="106"/>
        <v>-1</v>
      </c>
    </row>
    <row r="492" spans="1:72" ht="43.5" x14ac:dyDescent="0.35">
      <c r="A492" s="5">
        <v>491</v>
      </c>
      <c r="B492" s="5"/>
      <c r="C492" s="5" t="s">
        <v>78</v>
      </c>
      <c r="D492" s="5">
        <v>26</v>
      </c>
      <c r="E492" s="5">
        <v>6</v>
      </c>
      <c r="F492" s="8" t="s">
        <v>1113</v>
      </c>
      <c r="G492" s="8"/>
      <c r="H492" s="5" t="s">
        <v>332</v>
      </c>
      <c r="I492" s="5" t="str" cm="1">
        <f t="array" ref="I492">_xlfn.IFS(
  H492="Mahuva", "Mahuva",
  H492="Jesar", "Mahuva",
  H492="Palitana", "Palitana",
  H492="Gariyadhar", "Palitana",
  H492="Talaja", "Talaja",
  H492="Vallabhipur", "Vallabhipur",
  H492="Umrala", "Vallabhipur",
  H492="Shihor", "Shihor",
  H492="Ghogha", "Bhavnagar",
  H492="Bhavnagar", "Bhavnagar"
)</f>
        <v>Bhavnagar</v>
      </c>
      <c r="J492" s="5" t="s">
        <v>256</v>
      </c>
      <c r="K492" s="5" t="s">
        <v>706</v>
      </c>
      <c r="M492" s="5">
        <v>1</v>
      </c>
      <c r="N492" s="7">
        <v>46005</v>
      </c>
      <c r="O492" s="7">
        <v>46013</v>
      </c>
      <c r="P492" s="7">
        <v>46014</v>
      </c>
      <c r="Q492" s="7">
        <f t="shared" si="93"/>
        <v>46133</v>
      </c>
      <c r="S492" s="33"/>
      <c r="U492" s="10"/>
      <c r="V492" s="10" t="str">
        <f t="shared" si="94"/>
        <v>Equals</v>
      </c>
      <c r="W492" s="11" t="str" cm="1">
        <f t="array" ref="W492">NumberToWords(T492)</f>
        <v>Zero Rupees Only</v>
      </c>
      <c r="X492" s="10" t="str">
        <f t="shared" si="105"/>
        <v>Division</v>
      </c>
      <c r="Z492" s="9">
        <f t="shared" si="96"/>
        <v>0</v>
      </c>
      <c r="AB492" s="8">
        <f>_xlfn.XLOOKUP(AA492, 'Agency List'!A$2:A$145, 'Agency List'!B$2:B$145, "Not Found")</f>
        <v>0</v>
      </c>
      <c r="AC492" s="8">
        <f>_xlfn.XLOOKUP(AA492, 'Agency List'!A$2:A$145, 'Agency List'!C$2:C$145, "Not Found")</f>
        <v>0</v>
      </c>
      <c r="AD492" s="8">
        <f>_xlfn.XLOOKUP(AA492, 'Agency List'!A$2:A$145, 'Agency List'!D$2:D$145, "Not Found")</f>
        <v>0</v>
      </c>
      <c r="AE492" s="7"/>
      <c r="AF492" s="5"/>
      <c r="AG492" s="5" t="str">
        <f t="shared" si="97"/>
        <v>Bandhkam</v>
      </c>
      <c r="AH492" s="55"/>
      <c r="AI492" s="49"/>
      <c r="AJ492" s="20"/>
      <c r="AL492" s="16"/>
      <c r="AM492" s="12">
        <f t="shared" si="98"/>
        <v>0</v>
      </c>
      <c r="AN492" s="7">
        <f t="shared" si="99"/>
        <v>450</v>
      </c>
      <c r="AO492" s="12">
        <f t="shared" si="100"/>
        <v>0</v>
      </c>
      <c r="AP492" s="12">
        <f t="shared" si="101"/>
        <v>0</v>
      </c>
      <c r="AQ492" s="15">
        <f t="shared" si="102"/>
        <v>35</v>
      </c>
      <c r="AR492" s="7">
        <f t="shared" si="103"/>
        <v>390</v>
      </c>
      <c r="AS492" s="5"/>
      <c r="AU492" s="5"/>
      <c r="AV492" s="17"/>
      <c r="AW492" s="17"/>
      <c r="AX492" s="5"/>
      <c r="AY492" s="5"/>
      <c r="AZ492" s="13"/>
      <c r="BA492" s="12"/>
      <c r="BB492" s="7"/>
      <c r="BC492" s="14"/>
      <c r="BD492" s="14"/>
      <c r="BF492" s="12"/>
      <c r="BG492" s="14"/>
      <c r="BH492" s="19"/>
      <c r="BI492" s="5"/>
      <c r="BM492" s="18"/>
      <c r="BN492" s="18"/>
      <c r="BO492" s="18"/>
      <c r="BP492" s="18"/>
      <c r="BQ492" s="5"/>
      <c r="BR492" s="18"/>
      <c r="BS492" s="18"/>
      <c r="BT492" s="35">
        <f t="shared" si="106"/>
        <v>-1</v>
      </c>
    </row>
    <row r="493" spans="1:72" x14ac:dyDescent="0.35">
      <c r="A493" s="5">
        <v>492</v>
      </c>
      <c r="B493" s="5"/>
      <c r="C493" s="5" t="s">
        <v>78</v>
      </c>
      <c r="D493" s="5">
        <v>27</v>
      </c>
      <c r="E493" s="5">
        <v>1</v>
      </c>
      <c r="F493" s="8"/>
      <c r="G493" s="8"/>
      <c r="H493" s="5"/>
      <c r="I493" s="5" t="e" cm="1">
        <f t="array" ref="I493">_xlfn.IFS(
  H493="Mahuva", "Mahuva",
  H493="Jesar", "Mahuva",
  H493="Palitana", "Palitana",
  H493="Gariyadhar", "Palitana",
  H493="Talaja", "Talaja",
  H493="Vallabhipur", "Vallabhipur",
  H493="Umrala", "Vallabhipur",
  H493="Shihor", "Shihor",
  H493="Ghogha", "Bhavnagar",
  H493="Bhavnagar", "Bhavnagar"
)</f>
        <v>#N/A</v>
      </c>
      <c r="J493" s="5"/>
      <c r="K493" s="5"/>
      <c r="M493" s="5"/>
      <c r="Q493" s="7">
        <f t="shared" si="93"/>
        <v>120</v>
      </c>
      <c r="S493" s="33"/>
      <c r="U493" s="10"/>
      <c r="V493" s="10" t="str">
        <f t="shared" si="94"/>
        <v>Equals</v>
      </c>
      <c r="W493" s="11" t="str" cm="1">
        <f t="array" ref="W493">NumberToWords(T493)</f>
        <v>Zero Rupees Only</v>
      </c>
      <c r="X493" s="10" t="str">
        <f t="shared" si="105"/>
        <v>Division</v>
      </c>
      <c r="Z493" s="9">
        <f t="shared" si="96"/>
        <v>0</v>
      </c>
      <c r="AB493" s="8">
        <f>_xlfn.XLOOKUP(AA493, 'Agency List'!A$2:A$145, 'Agency List'!B$2:B$145, "Not Found")</f>
        <v>0</v>
      </c>
      <c r="AC493" s="8">
        <f>_xlfn.XLOOKUP(AA493, 'Agency List'!A$2:A$145, 'Agency List'!C$2:C$145, "Not Found")</f>
        <v>0</v>
      </c>
      <c r="AD493" s="8">
        <f>_xlfn.XLOOKUP(AA493, 'Agency List'!A$2:A$145, 'Agency List'!D$2:D$145, "Not Found")</f>
        <v>0</v>
      </c>
      <c r="AE493" s="7"/>
      <c r="AF493" s="5"/>
      <c r="AG493" s="5" t="str">
        <f t="shared" si="97"/>
        <v>Bandhkam</v>
      </c>
      <c r="AH493" s="55"/>
      <c r="AI493" s="49"/>
      <c r="AJ493" s="20"/>
      <c r="AL493" s="16"/>
      <c r="AM493" s="12">
        <f t="shared" si="98"/>
        <v>0</v>
      </c>
      <c r="AN493" s="7">
        <f t="shared" si="99"/>
        <v>450</v>
      </c>
      <c r="AO493" s="12">
        <f t="shared" si="100"/>
        <v>0</v>
      </c>
      <c r="AP493" s="12">
        <f t="shared" si="101"/>
        <v>0</v>
      </c>
      <c r="AQ493" s="15">
        <f t="shared" si="102"/>
        <v>35</v>
      </c>
      <c r="AR493" s="7">
        <f t="shared" si="103"/>
        <v>390</v>
      </c>
      <c r="AS493" s="5"/>
      <c r="AU493" s="5"/>
      <c r="AV493" s="17"/>
      <c r="AW493" s="17"/>
      <c r="AX493" s="5"/>
      <c r="AY493" s="5"/>
      <c r="AZ493" s="13"/>
      <c r="BA493" s="12"/>
      <c r="BB493" s="7"/>
      <c r="BC493" s="14"/>
      <c r="BD493" s="14"/>
      <c r="BF493" s="12"/>
      <c r="BG493" s="14"/>
      <c r="BH493" s="19"/>
      <c r="BI493" s="5"/>
      <c r="BM493" s="18"/>
      <c r="BN493" s="18"/>
      <c r="BO493" s="18"/>
      <c r="BP493" s="18"/>
      <c r="BQ493" s="5"/>
      <c r="BR493" s="18"/>
      <c r="BS493" s="18"/>
      <c r="BT493" s="35">
        <f t="shared" si="106"/>
        <v>-1</v>
      </c>
    </row>
    <row r="494" spans="1:72" x14ac:dyDescent="0.35">
      <c r="A494" s="5">
        <v>493</v>
      </c>
      <c r="B494" s="5"/>
      <c r="C494" s="5" t="s">
        <v>78</v>
      </c>
      <c r="D494" s="5">
        <v>27</v>
      </c>
      <c r="E494" s="5">
        <v>2</v>
      </c>
      <c r="F494" s="8"/>
      <c r="G494" s="8"/>
      <c r="H494" s="5"/>
      <c r="I494" s="5" t="e" cm="1">
        <f t="array" ref="I494">_xlfn.IFS(
  H494="Mahuva", "Mahuva",
  H494="Jesar", "Mahuva",
  H494="Palitana", "Palitana",
  H494="Gariyadhar", "Palitana",
  H494="Talaja", "Talaja",
  H494="Vallabhipur", "Vallabhipur",
  H494="Umrala", "Vallabhipur",
  H494="Shihor", "Shihor",
  H494="Ghogha", "Bhavnagar",
  H494="Bhavnagar", "Bhavnagar"
)</f>
        <v>#N/A</v>
      </c>
      <c r="J494" s="5"/>
      <c r="K494" s="5"/>
      <c r="M494" s="5"/>
      <c r="Q494" s="7">
        <f t="shared" si="93"/>
        <v>120</v>
      </c>
      <c r="S494" s="33"/>
      <c r="U494" s="10"/>
      <c r="V494" s="10" t="str">
        <f t="shared" si="94"/>
        <v>Equals</v>
      </c>
      <c r="W494" s="11" t="str" cm="1">
        <f t="array" ref="W494">NumberToWords(T494)</f>
        <v>Zero Rupees Only</v>
      </c>
      <c r="X494" s="10" t="str">
        <f t="shared" si="105"/>
        <v>Division</v>
      </c>
      <c r="Z494" s="9">
        <f t="shared" si="96"/>
        <v>0</v>
      </c>
      <c r="AB494" s="8">
        <f>_xlfn.XLOOKUP(AA494, 'Agency List'!A$2:A$145, 'Agency List'!B$2:B$145, "Not Found")</f>
        <v>0</v>
      </c>
      <c r="AC494" s="8">
        <f>_xlfn.XLOOKUP(AA494, 'Agency List'!A$2:A$145, 'Agency List'!C$2:C$145, "Not Found")</f>
        <v>0</v>
      </c>
      <c r="AD494" s="8">
        <f>_xlfn.XLOOKUP(AA494, 'Agency List'!A$2:A$145, 'Agency List'!D$2:D$145, "Not Found")</f>
        <v>0</v>
      </c>
      <c r="AE494" s="7"/>
      <c r="AF494" s="5"/>
      <c r="AG494" s="5" t="str">
        <f t="shared" si="97"/>
        <v>Bandhkam</v>
      </c>
      <c r="AH494" s="55"/>
      <c r="AI494" s="49"/>
      <c r="AJ494" s="20"/>
      <c r="AL494" s="16"/>
      <c r="AM494" s="12">
        <f t="shared" si="98"/>
        <v>0</v>
      </c>
      <c r="AN494" s="7">
        <f t="shared" si="99"/>
        <v>450</v>
      </c>
      <c r="AO494" s="12">
        <f t="shared" si="100"/>
        <v>0</v>
      </c>
      <c r="AP494" s="12">
        <f t="shared" si="101"/>
        <v>0</v>
      </c>
      <c r="AQ494" s="15">
        <f t="shared" si="102"/>
        <v>35</v>
      </c>
      <c r="AR494" s="7">
        <f t="shared" si="103"/>
        <v>390</v>
      </c>
      <c r="AS494" s="5"/>
      <c r="AU494" s="5"/>
      <c r="AV494" s="17"/>
      <c r="AW494" s="17"/>
      <c r="AX494" s="5"/>
      <c r="AY494" s="5"/>
      <c r="AZ494" s="13"/>
      <c r="BA494" s="12"/>
      <c r="BB494" s="7"/>
      <c r="BC494" s="14"/>
      <c r="BD494" s="14"/>
      <c r="BF494" s="12"/>
      <c r="BG494" s="14"/>
      <c r="BH494" s="19"/>
      <c r="BI494" s="5"/>
      <c r="BM494" s="18"/>
      <c r="BN494" s="18"/>
      <c r="BO494" s="18"/>
      <c r="BP494" s="18"/>
      <c r="BQ494" s="5"/>
      <c r="BR494" s="18"/>
      <c r="BS494" s="18"/>
      <c r="BT494" s="35">
        <f t="shared" si="106"/>
        <v>-1</v>
      </c>
    </row>
    <row r="495" spans="1:72" x14ac:dyDescent="0.35">
      <c r="A495" s="5">
        <v>494</v>
      </c>
      <c r="B495" s="5"/>
      <c r="C495" s="5" t="s">
        <v>78</v>
      </c>
      <c r="D495" s="5">
        <v>27</v>
      </c>
      <c r="E495" s="5">
        <v>3</v>
      </c>
      <c r="F495" s="8"/>
      <c r="G495" s="8"/>
      <c r="H495" s="5"/>
      <c r="I495" s="5" t="e" cm="1">
        <f t="array" ref="I495">_xlfn.IFS(
  H495="Mahuva", "Mahuva",
  H495="Jesar", "Mahuva",
  H495="Palitana", "Palitana",
  H495="Gariyadhar", "Palitana",
  H495="Talaja", "Talaja",
  H495="Vallabhipur", "Vallabhipur",
  H495="Umrala", "Vallabhipur",
  H495="Shihor", "Shihor",
  H495="Ghogha", "Bhavnagar",
  H495="Bhavnagar", "Bhavnagar"
)</f>
        <v>#N/A</v>
      </c>
      <c r="J495" s="5"/>
      <c r="K495" s="5"/>
      <c r="M495" s="5"/>
      <c r="Q495" s="7">
        <f t="shared" si="93"/>
        <v>120</v>
      </c>
      <c r="S495" s="33"/>
      <c r="U495" s="10"/>
      <c r="V495" s="10" t="str">
        <f t="shared" si="94"/>
        <v>Equals</v>
      </c>
      <c r="W495" s="11" t="str" cm="1">
        <f t="array" ref="W495">NumberToWords(T495)</f>
        <v>Zero Rupees Only</v>
      </c>
      <c r="X495" s="10" t="str">
        <f t="shared" si="105"/>
        <v>Division</v>
      </c>
      <c r="Z495" s="9">
        <f t="shared" si="96"/>
        <v>0</v>
      </c>
      <c r="AB495" s="8">
        <f>_xlfn.XLOOKUP(AA495, 'Agency List'!A$2:A$145, 'Agency List'!B$2:B$145, "Not Found")</f>
        <v>0</v>
      </c>
      <c r="AC495" s="8">
        <f>_xlfn.XLOOKUP(AA495, 'Agency List'!A$2:A$145, 'Agency List'!C$2:C$145, "Not Found")</f>
        <v>0</v>
      </c>
      <c r="AD495" s="8">
        <f>_xlfn.XLOOKUP(AA495, 'Agency List'!A$2:A$145, 'Agency List'!D$2:D$145, "Not Found")</f>
        <v>0</v>
      </c>
      <c r="AE495" s="7"/>
      <c r="AF495" s="5"/>
      <c r="AG495" s="5" t="str">
        <f t="shared" si="97"/>
        <v>Bandhkam</v>
      </c>
      <c r="AH495" s="55"/>
      <c r="AI495" s="49"/>
      <c r="AJ495" s="20"/>
      <c r="AL495" s="16"/>
      <c r="AM495" s="12">
        <f t="shared" si="98"/>
        <v>0</v>
      </c>
      <c r="AN495" s="7">
        <f t="shared" si="99"/>
        <v>450</v>
      </c>
      <c r="AO495" s="12">
        <f t="shared" si="100"/>
        <v>0</v>
      </c>
      <c r="AP495" s="12">
        <f t="shared" si="101"/>
        <v>0</v>
      </c>
      <c r="AQ495" s="15">
        <f t="shared" si="102"/>
        <v>35</v>
      </c>
      <c r="AR495" s="7">
        <f t="shared" si="103"/>
        <v>390</v>
      </c>
      <c r="AS495" s="5"/>
      <c r="AU495" s="5"/>
      <c r="AV495" s="17"/>
      <c r="AW495" s="17"/>
      <c r="AX495" s="5"/>
      <c r="AY495" s="5"/>
      <c r="AZ495" s="13"/>
      <c r="BA495" s="12"/>
      <c r="BB495" s="7"/>
      <c r="BC495" s="14"/>
      <c r="BD495" s="14"/>
      <c r="BF495" s="12"/>
      <c r="BG495" s="14"/>
      <c r="BH495" s="19"/>
      <c r="BI495" s="5"/>
      <c r="BM495" s="18"/>
      <c r="BN495" s="18"/>
      <c r="BO495" s="18"/>
      <c r="BP495" s="18"/>
      <c r="BQ495" s="5"/>
      <c r="BR495" s="18"/>
      <c r="BS495" s="18"/>
      <c r="BT495" s="35">
        <f t="shared" si="106"/>
        <v>-1</v>
      </c>
    </row>
    <row r="496" spans="1:72" x14ac:dyDescent="0.35">
      <c r="A496" s="5">
        <v>495</v>
      </c>
      <c r="B496" s="5"/>
      <c r="C496" s="5" t="s">
        <v>78</v>
      </c>
      <c r="D496" s="5">
        <v>27</v>
      </c>
      <c r="E496" s="5">
        <v>4</v>
      </c>
      <c r="F496" s="8"/>
      <c r="G496" s="8"/>
      <c r="H496" s="5"/>
      <c r="I496" s="5" t="e" cm="1">
        <f t="array" ref="I496">_xlfn.IFS(
  H496="Mahuva", "Mahuva",
  H496="Jesar", "Mahuva",
  H496="Palitana", "Palitana",
  H496="Gariyadhar", "Palitana",
  H496="Talaja", "Talaja",
  H496="Vallabhipur", "Vallabhipur",
  H496="Umrala", "Vallabhipur",
  H496="Shihor", "Shihor",
  H496="Ghogha", "Bhavnagar",
  H496="Bhavnagar", "Bhavnagar"
)</f>
        <v>#N/A</v>
      </c>
      <c r="J496" s="5"/>
      <c r="K496" s="5"/>
      <c r="M496" s="5"/>
      <c r="Q496" s="7">
        <f t="shared" si="93"/>
        <v>120</v>
      </c>
      <c r="S496" s="33"/>
      <c r="U496" s="10"/>
      <c r="V496" s="10" t="str">
        <f t="shared" si="94"/>
        <v>Equals</v>
      </c>
      <c r="W496" s="11" t="str" cm="1">
        <f t="array" ref="W496">NumberToWords(T496)</f>
        <v>Zero Rupees Only</v>
      </c>
      <c r="X496" s="10" t="str">
        <f t="shared" si="105"/>
        <v>Division</v>
      </c>
      <c r="Z496" s="9">
        <f t="shared" si="96"/>
        <v>0</v>
      </c>
      <c r="AB496" s="8">
        <f>_xlfn.XLOOKUP(AA496, 'Agency List'!A$2:A$145, 'Agency List'!B$2:B$145, "Not Found")</f>
        <v>0</v>
      </c>
      <c r="AC496" s="8">
        <f>_xlfn.XLOOKUP(AA496, 'Agency List'!A$2:A$145, 'Agency List'!C$2:C$145, "Not Found")</f>
        <v>0</v>
      </c>
      <c r="AD496" s="8">
        <f>_xlfn.XLOOKUP(AA496, 'Agency List'!A$2:A$145, 'Agency List'!D$2:D$145, "Not Found")</f>
        <v>0</v>
      </c>
      <c r="AE496" s="7"/>
      <c r="AF496" s="5"/>
      <c r="AG496" s="5" t="str">
        <f t="shared" si="97"/>
        <v>Bandhkam</v>
      </c>
      <c r="AH496" s="55"/>
      <c r="AI496" s="49"/>
      <c r="AJ496" s="20"/>
      <c r="AL496" s="16"/>
      <c r="AM496" s="12">
        <f t="shared" si="98"/>
        <v>0</v>
      </c>
      <c r="AN496" s="7">
        <f t="shared" si="99"/>
        <v>450</v>
      </c>
      <c r="AO496" s="12">
        <f t="shared" si="100"/>
        <v>0</v>
      </c>
      <c r="AP496" s="12">
        <f t="shared" si="101"/>
        <v>0</v>
      </c>
      <c r="AQ496" s="15">
        <f t="shared" si="102"/>
        <v>35</v>
      </c>
      <c r="AR496" s="7">
        <f t="shared" si="103"/>
        <v>390</v>
      </c>
      <c r="AS496" s="5"/>
      <c r="AU496" s="5"/>
      <c r="AV496" s="17"/>
      <c r="AW496" s="17"/>
      <c r="AX496" s="5"/>
      <c r="AY496" s="5"/>
      <c r="AZ496" s="13"/>
      <c r="BA496" s="12"/>
      <c r="BB496" s="7"/>
      <c r="BC496" s="14"/>
      <c r="BD496" s="14"/>
      <c r="BF496" s="12"/>
      <c r="BG496" s="14"/>
      <c r="BH496" s="19"/>
      <c r="BI496" s="5"/>
      <c r="BM496" s="18"/>
      <c r="BN496" s="18"/>
      <c r="BO496" s="18"/>
      <c r="BP496" s="18"/>
      <c r="BQ496" s="5"/>
      <c r="BR496" s="18"/>
      <c r="BS496" s="18"/>
      <c r="BT496" s="35">
        <f t="shared" si="106"/>
        <v>-1</v>
      </c>
    </row>
    <row r="497" spans="1:72" x14ac:dyDescent="0.35">
      <c r="A497" s="5">
        <v>496</v>
      </c>
      <c r="B497" s="5"/>
      <c r="C497" s="5" t="s">
        <v>78</v>
      </c>
      <c r="D497" s="5">
        <v>27</v>
      </c>
      <c r="E497" s="5">
        <v>5</v>
      </c>
      <c r="F497" s="8"/>
      <c r="G497" s="8"/>
      <c r="H497" s="5"/>
      <c r="I497" s="5" t="e" cm="1">
        <f t="array" ref="I497">_xlfn.IFS(
  H497="Mahuva", "Mahuva",
  H497="Jesar", "Mahuva",
  H497="Palitana", "Palitana",
  H497="Gariyadhar", "Palitana",
  H497="Talaja", "Talaja",
  H497="Vallabhipur", "Vallabhipur",
  H497="Umrala", "Vallabhipur",
  H497="Shihor", "Shihor",
  H497="Ghogha", "Bhavnagar",
  H497="Bhavnagar", "Bhavnagar"
)</f>
        <v>#N/A</v>
      </c>
      <c r="J497" s="5"/>
      <c r="K497" s="5"/>
      <c r="M497" s="5"/>
      <c r="Q497" s="7">
        <f t="shared" si="93"/>
        <v>120</v>
      </c>
      <c r="S497" s="33"/>
      <c r="U497" s="10"/>
      <c r="V497" s="10" t="str">
        <f t="shared" si="94"/>
        <v>Equals</v>
      </c>
      <c r="W497" s="11" t="str" cm="1">
        <f t="array" ref="W497">NumberToWords(T497)</f>
        <v>Zero Rupees Only</v>
      </c>
      <c r="X497" s="10" t="str">
        <f t="shared" si="105"/>
        <v>Division</v>
      </c>
      <c r="Z497" s="9">
        <f t="shared" si="96"/>
        <v>0</v>
      </c>
      <c r="AB497" s="8">
        <f>_xlfn.XLOOKUP(AA497, 'Agency List'!A$2:A$145, 'Agency List'!B$2:B$145, "Not Found")</f>
        <v>0</v>
      </c>
      <c r="AC497" s="8">
        <f>_xlfn.XLOOKUP(AA497, 'Agency List'!A$2:A$145, 'Agency List'!C$2:C$145, "Not Found")</f>
        <v>0</v>
      </c>
      <c r="AD497" s="8">
        <f>_xlfn.XLOOKUP(AA497, 'Agency List'!A$2:A$145, 'Agency List'!D$2:D$145, "Not Found")</f>
        <v>0</v>
      </c>
      <c r="AE497" s="7"/>
      <c r="AF497" s="5"/>
      <c r="AG497" s="5" t="str">
        <f t="shared" si="97"/>
        <v>Bandhkam</v>
      </c>
      <c r="AH497" s="55"/>
      <c r="AI497" s="49"/>
      <c r="AJ497" s="20"/>
      <c r="AL497" s="16"/>
      <c r="AM497" s="12">
        <f t="shared" si="98"/>
        <v>0</v>
      </c>
      <c r="AN497" s="7">
        <f t="shared" si="99"/>
        <v>450</v>
      </c>
      <c r="AO497" s="12">
        <f t="shared" si="100"/>
        <v>0</v>
      </c>
      <c r="AP497" s="12">
        <f t="shared" si="101"/>
        <v>0</v>
      </c>
      <c r="AQ497" s="15">
        <f t="shared" si="102"/>
        <v>35</v>
      </c>
      <c r="AR497" s="7">
        <f t="shared" si="103"/>
        <v>390</v>
      </c>
      <c r="AS497" s="5"/>
      <c r="AU497" s="5"/>
      <c r="AV497" s="17"/>
      <c r="AW497" s="17"/>
      <c r="AX497" s="5"/>
      <c r="AY497" s="5"/>
      <c r="AZ497" s="13"/>
      <c r="BA497" s="12"/>
      <c r="BB497" s="7"/>
      <c r="BC497" s="14"/>
      <c r="BD497" s="14"/>
      <c r="BF497" s="12"/>
      <c r="BG497" s="14"/>
      <c r="BH497" s="19"/>
      <c r="BI497" s="5"/>
      <c r="BM497" s="18"/>
      <c r="BN497" s="18"/>
      <c r="BO497" s="18"/>
      <c r="BP497" s="18"/>
      <c r="BQ497" s="5"/>
      <c r="BR497" s="18"/>
      <c r="BS497" s="18"/>
      <c r="BT497" s="35">
        <f t="shared" si="106"/>
        <v>-1</v>
      </c>
    </row>
    <row r="498" spans="1:72" x14ac:dyDescent="0.35">
      <c r="A498" s="5">
        <v>497</v>
      </c>
      <c r="B498" s="5"/>
      <c r="C498" s="5" t="s">
        <v>78</v>
      </c>
      <c r="D498" s="5">
        <v>27</v>
      </c>
      <c r="E498" s="5">
        <v>6</v>
      </c>
      <c r="F498" s="8"/>
      <c r="G498" s="8"/>
      <c r="H498" s="5"/>
      <c r="I498" s="5" t="e" cm="1">
        <f t="array" ref="I498">_xlfn.IFS(
  H498="Mahuva", "Mahuva",
  H498="Jesar", "Mahuva",
  H498="Palitana", "Palitana",
  H498="Gariyadhar", "Palitana",
  H498="Talaja", "Talaja",
  H498="Vallabhipur", "Vallabhipur",
  H498="Umrala", "Vallabhipur",
  H498="Shihor", "Shihor",
  H498="Ghogha", "Bhavnagar",
  H498="Bhavnagar", "Bhavnagar"
)</f>
        <v>#N/A</v>
      </c>
      <c r="J498" s="5"/>
      <c r="K498" s="5"/>
      <c r="M498" s="5"/>
      <c r="Q498" s="7">
        <f t="shared" si="93"/>
        <v>120</v>
      </c>
      <c r="S498" s="33"/>
      <c r="U498" s="10"/>
      <c r="V498" s="10" t="str">
        <f t="shared" si="94"/>
        <v>Equals</v>
      </c>
      <c r="W498" s="11" t="str" cm="1">
        <f t="array" ref="W498">NumberToWords(T498)</f>
        <v>Zero Rupees Only</v>
      </c>
      <c r="X498" s="10" t="str">
        <f t="shared" si="105"/>
        <v>Division</v>
      </c>
      <c r="Z498" s="9">
        <f t="shared" si="96"/>
        <v>0</v>
      </c>
      <c r="AB498" s="8">
        <f>_xlfn.XLOOKUP(AA498, 'Agency List'!A$2:A$145, 'Agency List'!B$2:B$145, "Not Found")</f>
        <v>0</v>
      </c>
      <c r="AC498" s="8">
        <f>_xlfn.XLOOKUP(AA498, 'Agency List'!A$2:A$145, 'Agency List'!C$2:C$145, "Not Found")</f>
        <v>0</v>
      </c>
      <c r="AD498" s="8">
        <f>_xlfn.XLOOKUP(AA498, 'Agency List'!A$2:A$145, 'Agency List'!D$2:D$145, "Not Found")</f>
        <v>0</v>
      </c>
      <c r="AE498" s="7"/>
      <c r="AF498" s="5"/>
      <c r="AG498" s="5" t="str">
        <f t="shared" si="97"/>
        <v>Bandhkam</v>
      </c>
      <c r="AH498" s="55"/>
      <c r="AI498" s="49"/>
      <c r="AJ498" s="20"/>
      <c r="AL498" s="16"/>
      <c r="AM498" s="12">
        <f t="shared" si="98"/>
        <v>0</v>
      </c>
      <c r="AN498" s="7">
        <f t="shared" si="99"/>
        <v>450</v>
      </c>
      <c r="AO498" s="12">
        <f t="shared" si="100"/>
        <v>0</v>
      </c>
      <c r="AP498" s="12">
        <f t="shared" si="101"/>
        <v>0</v>
      </c>
      <c r="AQ498" s="15">
        <f t="shared" si="102"/>
        <v>35</v>
      </c>
      <c r="AR498" s="7">
        <f t="shared" si="103"/>
        <v>390</v>
      </c>
      <c r="AS498" s="5"/>
      <c r="AU498" s="5"/>
      <c r="AV498" s="17"/>
      <c r="AW498" s="17"/>
      <c r="AX498" s="5"/>
      <c r="AY498" s="5"/>
      <c r="AZ498" s="13"/>
      <c r="BA498" s="12"/>
      <c r="BB498" s="7"/>
      <c r="BC498" s="14"/>
      <c r="BD498" s="14"/>
      <c r="BF498" s="12"/>
      <c r="BG498" s="14"/>
      <c r="BH498" s="19"/>
      <c r="BI498" s="5"/>
      <c r="BM498" s="18"/>
      <c r="BN498" s="18"/>
      <c r="BO498" s="18"/>
      <c r="BP498" s="18"/>
      <c r="BQ498" s="5"/>
      <c r="BR498" s="18"/>
      <c r="BS498" s="18"/>
      <c r="BT498" s="35">
        <f t="shared" si="106"/>
        <v>-1</v>
      </c>
    </row>
    <row r="499" spans="1:72" x14ac:dyDescent="0.35">
      <c r="A499" s="5"/>
      <c r="B499" s="5"/>
      <c r="C499" s="5"/>
      <c r="D499" s="5"/>
      <c r="E499" s="5"/>
      <c r="F499" s="8"/>
      <c r="G499" s="8"/>
      <c r="H499" s="5"/>
      <c r="I499" s="5" t="e" cm="1">
        <f t="array" ref="I499">_xlfn.IFS(
  H499="Mahuva", "Mahuva",
  H499="Jesar", "Mahuva",
  H499="Palitana", "Palitana",
  H499="Gariyadhar", "Palitana",
  H499="Talaja", "Talaja",
  H499="Vallabhipur", "Vallabhipur",
  H499="Umrala", "Vallabhipur",
  H499="Shihor", "Shihor",
  H499="Ghogha", "Bhavnagar",
  H499="Bhavnagar", "Bhavnagar"
)</f>
        <v>#N/A</v>
      </c>
      <c r="J499" s="5"/>
      <c r="K499" s="5"/>
      <c r="M499" s="5"/>
      <c r="Q499" s="7">
        <f t="shared" si="93"/>
        <v>120</v>
      </c>
      <c r="S499" s="33"/>
      <c r="U499" s="10"/>
      <c r="V499" s="10" t="str">
        <f t="shared" si="94"/>
        <v>Equals</v>
      </c>
      <c r="W499" s="11" t="str" cm="1">
        <f t="array" ref="W499">NumberToWords(T499)</f>
        <v>Zero Rupees Only</v>
      </c>
      <c r="X499" s="10" t="str">
        <f t="shared" si="105"/>
        <v>Division</v>
      </c>
      <c r="Z499" s="9">
        <f t="shared" si="96"/>
        <v>0</v>
      </c>
      <c r="AB499" s="8">
        <f>_xlfn.XLOOKUP(AA499, 'Agency List'!A$2:A$145, 'Agency List'!B$2:B$145, "Not Found")</f>
        <v>0</v>
      </c>
      <c r="AC499" s="8">
        <f>_xlfn.XLOOKUP(AA499, 'Agency List'!A$2:A$145, 'Agency List'!C$2:C$145, "Not Found")</f>
        <v>0</v>
      </c>
      <c r="AD499" s="8">
        <f>_xlfn.XLOOKUP(AA499, 'Agency List'!A$2:A$145, 'Agency List'!D$2:D$145, "Not Found")</f>
        <v>0</v>
      </c>
      <c r="AE499" s="7"/>
      <c r="AF499" s="5"/>
      <c r="AG499" s="5" t="str">
        <f t="shared" si="97"/>
        <v>Bandhkam</v>
      </c>
      <c r="AH499" s="55"/>
      <c r="AI499" s="49"/>
      <c r="AJ499" s="20"/>
      <c r="AL499" s="16"/>
      <c r="AM499" s="12">
        <f t="shared" si="98"/>
        <v>0</v>
      </c>
      <c r="AN499" s="7">
        <f t="shared" si="99"/>
        <v>450</v>
      </c>
      <c r="AO499" s="12">
        <f t="shared" si="100"/>
        <v>0</v>
      </c>
      <c r="AP499" s="12">
        <f t="shared" si="101"/>
        <v>0</v>
      </c>
      <c r="AQ499" s="15">
        <f t="shared" si="102"/>
        <v>35</v>
      </c>
      <c r="AR499" s="7">
        <f t="shared" si="103"/>
        <v>390</v>
      </c>
      <c r="AS499" s="5"/>
      <c r="AU499" s="5"/>
      <c r="AV499" s="17"/>
      <c r="AW499" s="17"/>
      <c r="AX499" s="5"/>
      <c r="AY499" s="5"/>
      <c r="AZ499" s="13"/>
      <c r="BA499" s="12"/>
      <c r="BB499" s="7"/>
      <c r="BC499" s="14"/>
      <c r="BD499" s="14"/>
      <c r="BF499" s="12"/>
      <c r="BG499" s="14"/>
      <c r="BH499" s="19"/>
      <c r="BI499" s="5"/>
      <c r="BM499" s="18"/>
      <c r="BN499" s="18"/>
      <c r="BO499" s="18"/>
      <c r="BP499" s="18"/>
      <c r="BQ499" s="5"/>
      <c r="BR499" s="18"/>
      <c r="BS499" s="18"/>
      <c r="BT499" s="35">
        <f t="shared" si="106"/>
        <v>-1</v>
      </c>
    </row>
    <row r="500" spans="1:72" x14ac:dyDescent="0.35">
      <c r="A500" s="5"/>
      <c r="B500" s="5"/>
      <c r="C500" s="5"/>
      <c r="D500" s="5"/>
      <c r="E500" s="5"/>
      <c r="F500" s="8"/>
      <c r="G500" s="8"/>
      <c r="H500" s="5"/>
      <c r="I500" s="5" t="e" cm="1">
        <f t="array" ref="I500">_xlfn.IFS(
  H500="Mahuva", "Mahuva",
  H500="Jesar", "Mahuva",
  H500="Palitana", "Palitana",
  H500="Gariyadhar", "Palitana",
  H500="Talaja", "Talaja",
  H500="Vallabhipur", "Vallabhipur",
  H500="Umrala", "Vallabhipur",
  H500="Shihor", "Shihor",
  H500="Ghogha", "Bhavnagar",
  H500="Bhavnagar", "Bhavnagar"
)</f>
        <v>#N/A</v>
      </c>
      <c r="J500" s="5"/>
      <c r="K500" s="5"/>
      <c r="M500" s="5"/>
      <c r="Q500" s="7">
        <f t="shared" si="93"/>
        <v>120</v>
      </c>
      <c r="S500" s="33"/>
      <c r="U500" s="10"/>
      <c r="V500" s="10" t="str">
        <f t="shared" si="94"/>
        <v>Equals</v>
      </c>
      <c r="W500" s="11" t="str" cm="1">
        <f t="array" ref="W500">NumberToWords(T500)</f>
        <v>Zero Rupees Only</v>
      </c>
      <c r="X500" s="10" t="str">
        <f t="shared" si="105"/>
        <v>Division</v>
      </c>
      <c r="Z500" s="9">
        <f t="shared" si="96"/>
        <v>0</v>
      </c>
      <c r="AB500" s="8">
        <f>_xlfn.XLOOKUP(AA500, 'Agency List'!A$2:A$145, 'Agency List'!B$2:B$145, "Not Found")</f>
        <v>0</v>
      </c>
      <c r="AC500" s="8">
        <f>_xlfn.XLOOKUP(AA500, 'Agency List'!A$2:A$145, 'Agency List'!C$2:C$145, "Not Found")</f>
        <v>0</v>
      </c>
      <c r="AD500" s="8">
        <f>_xlfn.XLOOKUP(AA500, 'Agency List'!A$2:A$145, 'Agency List'!D$2:D$145, "Not Found")</f>
        <v>0</v>
      </c>
      <c r="AE500" s="7"/>
      <c r="AF500" s="5"/>
      <c r="AG500" s="5" t="str">
        <f t="shared" si="97"/>
        <v>Bandhkam</v>
      </c>
      <c r="AH500" s="55"/>
      <c r="AI500" s="49"/>
      <c r="AJ500" s="20"/>
      <c r="AL500" s="16"/>
      <c r="AM500" s="12">
        <f t="shared" si="98"/>
        <v>0</v>
      </c>
      <c r="AN500" s="7">
        <f t="shared" si="99"/>
        <v>450</v>
      </c>
      <c r="AO500" s="12">
        <f t="shared" si="100"/>
        <v>0</v>
      </c>
      <c r="AP500" s="12">
        <f t="shared" si="101"/>
        <v>0</v>
      </c>
      <c r="AQ500" s="15">
        <f t="shared" si="102"/>
        <v>35</v>
      </c>
      <c r="AR500" s="7">
        <f t="shared" si="103"/>
        <v>390</v>
      </c>
      <c r="AS500" s="5"/>
      <c r="AU500" s="5"/>
      <c r="AV500" s="17"/>
      <c r="AW500" s="17"/>
      <c r="AX500" s="5"/>
      <c r="AY500" s="5"/>
      <c r="AZ500" s="13"/>
      <c r="BA500" s="12"/>
      <c r="BB500" s="7"/>
      <c r="BC500" s="14"/>
      <c r="BD500" s="14"/>
      <c r="BF500" s="12"/>
      <c r="BG500" s="14"/>
      <c r="BH500" s="19"/>
      <c r="BI500" s="5"/>
      <c r="BM500" s="18"/>
      <c r="BN500" s="18"/>
      <c r="BO500" s="18"/>
      <c r="BP500" s="18"/>
      <c r="BQ500" s="5"/>
      <c r="BR500" s="18"/>
      <c r="BS500" s="18"/>
      <c r="BT500" s="35">
        <f t="shared" si="106"/>
        <v>-1</v>
      </c>
    </row>
    <row r="501" spans="1:72" x14ac:dyDescent="0.35">
      <c r="A501" s="5"/>
      <c r="B501" s="5"/>
      <c r="C501" s="5"/>
      <c r="D501" s="5"/>
      <c r="E501" s="5"/>
      <c r="F501" s="8"/>
      <c r="G501" s="8"/>
      <c r="H501" s="5"/>
      <c r="I501" s="5" t="e" cm="1">
        <f t="array" ref="I501">_xlfn.IFS(
  H501="Mahuva", "Mahuva",
  H501="Jesar", "Mahuva",
  H501="Palitana", "Palitana",
  H501="Gariyadhar", "Palitana",
  H501="Talaja", "Talaja",
  H501="Vallabhipur", "Vallabhipur",
  H501="Umrala", "Vallabhipur",
  H501="Shihor", "Shihor",
  H501="Ghogha", "Bhavnagar",
  H501="Bhavnagar", "Bhavnagar"
)</f>
        <v>#N/A</v>
      </c>
      <c r="J501" s="5"/>
      <c r="K501" s="5"/>
      <c r="M501" s="5"/>
      <c r="Q501" s="7">
        <f t="shared" si="93"/>
        <v>120</v>
      </c>
      <c r="S501" s="33"/>
      <c r="U501" s="10"/>
      <c r="V501" s="10" t="str">
        <f t="shared" si="94"/>
        <v>Equals</v>
      </c>
      <c r="W501" s="11" t="str" cm="1">
        <f t="array" ref="W501">NumberToWords(T501)</f>
        <v>Zero Rupees Only</v>
      </c>
      <c r="X501" s="10" t="str">
        <f t="shared" si="105"/>
        <v>Division</v>
      </c>
      <c r="Z501" s="9">
        <f t="shared" si="96"/>
        <v>0</v>
      </c>
      <c r="AB501" s="8">
        <f>_xlfn.XLOOKUP(AA501, 'Agency List'!A$2:A$145, 'Agency List'!B$2:B$145, "Not Found")</f>
        <v>0</v>
      </c>
      <c r="AC501" s="8">
        <f>_xlfn.XLOOKUP(AA501, 'Agency List'!A$2:A$145, 'Agency List'!C$2:C$145, "Not Found")</f>
        <v>0</v>
      </c>
      <c r="AD501" s="8">
        <f>_xlfn.XLOOKUP(AA501, 'Agency List'!A$2:A$145, 'Agency List'!D$2:D$145, "Not Found")</f>
        <v>0</v>
      </c>
      <c r="AE501" s="7"/>
      <c r="AF501" s="5"/>
      <c r="AG501" s="5" t="str">
        <f t="shared" si="97"/>
        <v>Bandhkam</v>
      </c>
      <c r="AH501" s="55"/>
      <c r="AI501" s="49"/>
      <c r="AJ501" s="20"/>
      <c r="AL501" s="16"/>
      <c r="AM501" s="12">
        <f t="shared" si="98"/>
        <v>0</v>
      </c>
      <c r="AN501" s="7">
        <f t="shared" si="99"/>
        <v>450</v>
      </c>
      <c r="AO501" s="12">
        <f t="shared" si="100"/>
        <v>0</v>
      </c>
      <c r="AP501" s="12">
        <f t="shared" si="101"/>
        <v>0</v>
      </c>
      <c r="AQ501" s="15">
        <f t="shared" si="102"/>
        <v>35</v>
      </c>
      <c r="AR501" s="7">
        <f t="shared" si="103"/>
        <v>390</v>
      </c>
      <c r="AS501" s="5"/>
      <c r="AU501" s="5"/>
      <c r="AV501" s="17"/>
      <c r="AW501" s="17"/>
      <c r="AX501" s="5"/>
      <c r="AY501" s="5"/>
      <c r="AZ501" s="13"/>
      <c r="BA501" s="12"/>
      <c r="BB501" s="7"/>
      <c r="BC501" s="14"/>
      <c r="BD501" s="14"/>
      <c r="BF501" s="12"/>
      <c r="BG501" s="14"/>
      <c r="BH501" s="19"/>
      <c r="BI501" s="5"/>
      <c r="BM501" s="18"/>
      <c r="BN501" s="18"/>
      <c r="BO501" s="18"/>
      <c r="BP501" s="18"/>
      <c r="BQ501" s="5"/>
      <c r="BR501" s="18"/>
      <c r="BS501" s="18"/>
      <c r="BT501" s="35">
        <f t="shared" si="106"/>
        <v>-1</v>
      </c>
    </row>
    <row r="502" spans="1:72" x14ac:dyDescent="0.35">
      <c r="A502" s="5"/>
      <c r="B502" s="5"/>
      <c r="C502" s="5"/>
      <c r="D502" s="5"/>
      <c r="E502" s="5"/>
      <c r="F502" s="8"/>
      <c r="G502" s="8"/>
      <c r="H502" s="5"/>
      <c r="I502" s="5" t="e" cm="1">
        <f t="array" ref="I502">_xlfn.IFS(
  H502="Mahuva", "Mahuva",
  H502="Jesar", "Mahuva",
  H502="Palitana", "Palitana",
  H502="Gariyadhar", "Palitana",
  H502="Talaja", "Talaja",
  H502="Vallabhipur", "Vallabhipur",
  H502="Umrala", "Vallabhipur",
  H502="Shihor", "Shihor",
  H502="Ghogha", "Bhavnagar",
  H502="Bhavnagar", "Bhavnagar"
)</f>
        <v>#N/A</v>
      </c>
      <c r="J502" s="5"/>
      <c r="K502" s="5"/>
      <c r="M502" s="5"/>
      <c r="Q502" s="7">
        <f t="shared" si="93"/>
        <v>120</v>
      </c>
      <c r="S502" s="33"/>
      <c r="U502" s="10"/>
      <c r="V502" s="10" t="str">
        <f t="shared" si="94"/>
        <v>Equals</v>
      </c>
      <c r="W502" s="11" t="str" cm="1">
        <f t="array" ref="W502">NumberToWords(T502)</f>
        <v>Zero Rupees Only</v>
      </c>
      <c r="X502" s="10" t="str">
        <f t="shared" si="105"/>
        <v>Division</v>
      </c>
      <c r="Z502" s="9">
        <f t="shared" si="96"/>
        <v>0</v>
      </c>
      <c r="AB502" s="8">
        <f>_xlfn.XLOOKUP(AA502, 'Agency List'!A$2:A$145, 'Agency List'!B$2:B$145, "Not Found")</f>
        <v>0</v>
      </c>
      <c r="AC502" s="8">
        <f>_xlfn.XLOOKUP(AA502, 'Agency List'!A$2:A$145, 'Agency List'!C$2:C$145, "Not Found")</f>
        <v>0</v>
      </c>
      <c r="AD502" s="8">
        <f>_xlfn.XLOOKUP(AA502, 'Agency List'!A$2:A$145, 'Agency List'!D$2:D$145, "Not Found")</f>
        <v>0</v>
      </c>
      <c r="AE502" s="7"/>
      <c r="AF502" s="5"/>
      <c r="AG502" s="5" t="str">
        <f t="shared" si="97"/>
        <v>Bandhkam</v>
      </c>
      <c r="AH502" s="55"/>
      <c r="AI502" s="49"/>
      <c r="AJ502" s="20"/>
      <c r="AL502" s="16"/>
      <c r="AM502" s="12">
        <f t="shared" si="98"/>
        <v>0</v>
      </c>
      <c r="AN502" s="7">
        <f t="shared" si="99"/>
        <v>450</v>
      </c>
      <c r="AO502" s="12">
        <f t="shared" si="100"/>
        <v>0</v>
      </c>
      <c r="AP502" s="12">
        <f t="shared" si="101"/>
        <v>0</v>
      </c>
      <c r="AQ502" s="15">
        <f t="shared" si="102"/>
        <v>35</v>
      </c>
      <c r="AR502" s="7">
        <f t="shared" si="103"/>
        <v>390</v>
      </c>
      <c r="AS502" s="5"/>
      <c r="AU502" s="5"/>
      <c r="AV502" s="17"/>
      <c r="AW502" s="17"/>
      <c r="AX502" s="5"/>
      <c r="AY502" s="5"/>
      <c r="AZ502" s="13"/>
      <c r="BA502" s="12"/>
      <c r="BB502" s="7"/>
      <c r="BC502" s="14"/>
      <c r="BD502" s="14"/>
      <c r="BF502" s="12"/>
      <c r="BG502" s="14"/>
      <c r="BH502" s="19"/>
      <c r="BI502" s="5"/>
      <c r="BM502" s="18"/>
      <c r="BN502" s="18"/>
      <c r="BO502" s="18"/>
      <c r="BP502" s="18"/>
      <c r="BQ502" s="5"/>
      <c r="BR502" s="18"/>
      <c r="BS502" s="18"/>
      <c r="BT502" s="35">
        <f t="shared" si="106"/>
        <v>-1</v>
      </c>
    </row>
    <row r="503" spans="1:72" x14ac:dyDescent="0.35">
      <c r="A503" s="5"/>
      <c r="B503" s="5"/>
      <c r="C503" s="5"/>
      <c r="D503" s="5"/>
      <c r="E503" s="5"/>
      <c r="F503" s="8"/>
      <c r="G503" s="8"/>
      <c r="H503" s="5"/>
      <c r="I503" s="5" t="e" cm="1">
        <f t="array" ref="I503">_xlfn.IFS(
  H503="Mahuva", "Mahuva",
  H503="Jesar", "Mahuva",
  H503="Palitana", "Palitana",
  H503="Gariyadhar", "Palitana",
  H503="Talaja", "Talaja",
  H503="Vallabhipur", "Vallabhipur",
  H503="Umrala", "Vallabhipur",
  H503="Shihor", "Shihor",
  H503="Ghogha", "Bhavnagar",
  H503="Bhavnagar", "Bhavnagar"
)</f>
        <v>#N/A</v>
      </c>
      <c r="J503" s="5"/>
      <c r="K503" s="5"/>
      <c r="M503" s="5"/>
      <c r="Q503" s="7">
        <f t="shared" si="93"/>
        <v>120</v>
      </c>
      <c r="S503" s="33"/>
      <c r="U503" s="10"/>
      <c r="V503" s="10" t="str">
        <f t="shared" si="94"/>
        <v>Equals</v>
      </c>
      <c r="W503" s="11" t="str" cm="1">
        <f t="array" ref="W503">NumberToWords(T503)</f>
        <v>Zero Rupees Only</v>
      </c>
      <c r="X503" s="10" t="str">
        <f t="shared" si="105"/>
        <v>Division</v>
      </c>
      <c r="Z503" s="9">
        <f t="shared" si="96"/>
        <v>0</v>
      </c>
      <c r="AB503" s="8">
        <f>_xlfn.XLOOKUP(AA503, 'Agency List'!A$2:A$145, 'Agency List'!B$2:B$145, "Not Found")</f>
        <v>0</v>
      </c>
      <c r="AC503" s="8">
        <f>_xlfn.XLOOKUP(AA503, 'Agency List'!A$2:A$145, 'Agency List'!C$2:C$145, "Not Found")</f>
        <v>0</v>
      </c>
      <c r="AD503" s="8">
        <f>_xlfn.XLOOKUP(AA503, 'Agency List'!A$2:A$145, 'Agency List'!D$2:D$145, "Not Found")</f>
        <v>0</v>
      </c>
      <c r="AE503" s="7"/>
      <c r="AF503" s="5"/>
      <c r="AG503" s="5" t="str">
        <f t="shared" si="97"/>
        <v>Bandhkam</v>
      </c>
      <c r="AH503" s="55"/>
      <c r="AI503" s="49"/>
      <c r="AJ503" s="20"/>
      <c r="AL503" s="16"/>
      <c r="AM503" s="12">
        <f t="shared" si="98"/>
        <v>0</v>
      </c>
      <c r="AN503" s="7">
        <f t="shared" si="99"/>
        <v>450</v>
      </c>
      <c r="AO503" s="12">
        <f t="shared" si="100"/>
        <v>0</v>
      </c>
      <c r="AP503" s="12">
        <f t="shared" si="101"/>
        <v>0</v>
      </c>
      <c r="AQ503" s="15">
        <f t="shared" si="102"/>
        <v>35</v>
      </c>
      <c r="AR503" s="7">
        <f t="shared" si="103"/>
        <v>390</v>
      </c>
      <c r="AS503" s="5"/>
      <c r="AU503" s="5"/>
      <c r="AV503" s="17"/>
      <c r="AW503" s="17"/>
      <c r="AX503" s="5"/>
      <c r="AY503" s="5"/>
      <c r="AZ503" s="13"/>
      <c r="BA503" s="12"/>
      <c r="BB503" s="7"/>
      <c r="BC503" s="14"/>
      <c r="BD503" s="14"/>
      <c r="BF503" s="12"/>
      <c r="BG503" s="14"/>
      <c r="BH503" s="19"/>
      <c r="BI503" s="5"/>
      <c r="BM503" s="18"/>
      <c r="BN503" s="18"/>
      <c r="BO503" s="18"/>
      <c r="BP503" s="18"/>
      <c r="BQ503" s="5"/>
      <c r="BR503" s="18"/>
      <c r="BS503" s="18"/>
      <c r="BT503" s="35">
        <f t="shared" si="106"/>
        <v>-1</v>
      </c>
    </row>
    <row r="504" spans="1:72" x14ac:dyDescent="0.35">
      <c r="A504" s="5"/>
      <c r="B504" s="5"/>
      <c r="C504" s="5"/>
      <c r="D504" s="5"/>
      <c r="E504" s="5"/>
      <c r="F504" s="8"/>
      <c r="G504" s="8"/>
      <c r="H504" s="5"/>
      <c r="I504" s="5" t="e" cm="1">
        <f t="array" ref="I504">_xlfn.IFS(
  H504="Mahuva", "Mahuva",
  H504="Jesar", "Mahuva",
  H504="Palitana", "Palitana",
  H504="Gariyadhar", "Palitana",
  H504="Talaja", "Talaja",
  H504="Vallabhipur", "Vallabhipur",
  H504="Umrala", "Vallabhipur",
  H504="Shihor", "Shihor",
  H504="Ghogha", "Bhavnagar",
  H504="Bhavnagar", "Bhavnagar"
)</f>
        <v>#N/A</v>
      </c>
      <c r="J504" s="5"/>
      <c r="K504" s="5"/>
      <c r="M504" s="5"/>
      <c r="Q504" s="7">
        <f t="shared" si="93"/>
        <v>120</v>
      </c>
      <c r="S504" s="33"/>
      <c r="U504" s="10"/>
      <c r="V504" s="10" t="str">
        <f t="shared" si="94"/>
        <v>Equals</v>
      </c>
      <c r="W504" s="11" t="str" cm="1">
        <f t="array" ref="W504">NumberToWords(T504)</f>
        <v>Zero Rupees Only</v>
      </c>
      <c r="X504" s="10" t="str">
        <f t="shared" si="105"/>
        <v>Division</v>
      </c>
      <c r="Z504" s="9">
        <f t="shared" si="96"/>
        <v>0</v>
      </c>
      <c r="AB504" s="8">
        <f>_xlfn.XLOOKUP(AA504, 'Agency List'!A$2:A$145, 'Agency List'!B$2:B$145, "Not Found")</f>
        <v>0</v>
      </c>
      <c r="AC504" s="8">
        <f>_xlfn.XLOOKUP(AA504, 'Agency List'!A$2:A$145, 'Agency List'!C$2:C$145, "Not Found")</f>
        <v>0</v>
      </c>
      <c r="AD504" s="8">
        <f>_xlfn.XLOOKUP(AA504, 'Agency List'!A$2:A$145, 'Agency List'!D$2:D$145, "Not Found")</f>
        <v>0</v>
      </c>
      <c r="AE504" s="7"/>
      <c r="AF504" s="5"/>
      <c r="AG504" s="5" t="str">
        <f t="shared" si="97"/>
        <v>Bandhkam</v>
      </c>
      <c r="AH504" s="55"/>
      <c r="AI504" s="49"/>
      <c r="AJ504" s="20"/>
      <c r="AL504" s="16"/>
      <c r="AM504" s="12">
        <f t="shared" si="98"/>
        <v>0</v>
      </c>
      <c r="AN504" s="7">
        <f t="shared" si="99"/>
        <v>450</v>
      </c>
      <c r="AO504" s="12">
        <f t="shared" si="100"/>
        <v>0</v>
      </c>
      <c r="AP504" s="12">
        <f t="shared" si="101"/>
        <v>0</v>
      </c>
      <c r="AQ504" s="15">
        <f t="shared" si="102"/>
        <v>35</v>
      </c>
      <c r="AR504" s="7">
        <f t="shared" si="103"/>
        <v>390</v>
      </c>
      <c r="AS504" s="5"/>
      <c r="AU504" s="5"/>
      <c r="AV504" s="17"/>
      <c r="AW504" s="17"/>
      <c r="AX504" s="5"/>
      <c r="AY504" s="5"/>
      <c r="AZ504" s="13"/>
      <c r="BA504" s="12"/>
      <c r="BB504" s="7"/>
      <c r="BC504" s="14"/>
      <c r="BD504" s="14"/>
      <c r="BF504" s="12"/>
      <c r="BG504" s="14"/>
      <c r="BH504" s="19"/>
      <c r="BI504" s="5"/>
      <c r="BM504" s="18"/>
      <c r="BN504" s="18"/>
      <c r="BO504" s="18"/>
      <c r="BP504" s="18"/>
      <c r="BQ504" s="5"/>
      <c r="BR504" s="18"/>
      <c r="BS504" s="18"/>
      <c r="BT504" s="35">
        <f t="shared" si="106"/>
        <v>-1</v>
      </c>
    </row>
    <row r="505" spans="1:72" x14ac:dyDescent="0.35">
      <c r="A505" s="5"/>
      <c r="B505" s="5"/>
      <c r="C505" s="5"/>
      <c r="D505" s="5"/>
      <c r="E505" s="5"/>
      <c r="F505" s="8"/>
      <c r="G505" s="8"/>
      <c r="H505" s="5"/>
      <c r="I505" s="5" t="e" cm="1">
        <f t="array" ref="I505">_xlfn.IFS(
  H505="Mahuva", "Mahuva",
  H505="Jesar", "Mahuva",
  H505="Palitana", "Palitana",
  H505="Gariyadhar", "Palitana",
  H505="Talaja", "Talaja",
  H505="Vallabhipur", "Vallabhipur",
  H505="Umrala", "Vallabhipur",
  H505="Shihor", "Shihor",
  H505="Ghogha", "Bhavnagar",
  H505="Bhavnagar", "Bhavnagar"
)</f>
        <v>#N/A</v>
      </c>
      <c r="J505" s="5"/>
      <c r="K505" s="5"/>
      <c r="M505" s="5"/>
      <c r="Q505" s="7">
        <f t="shared" si="93"/>
        <v>120</v>
      </c>
      <c r="S505" s="33"/>
      <c r="U505" s="10"/>
      <c r="V505" s="10" t="str">
        <f t="shared" si="94"/>
        <v>Equals</v>
      </c>
      <c r="W505" s="11" t="str" cm="1">
        <f t="array" ref="W505">NumberToWords(T505)</f>
        <v>Zero Rupees Only</v>
      </c>
      <c r="X505" s="10" t="str">
        <f t="shared" si="105"/>
        <v>Division</v>
      </c>
      <c r="Z505" s="9">
        <f t="shared" si="96"/>
        <v>0</v>
      </c>
      <c r="AB505" s="8">
        <f>_xlfn.XLOOKUP(AA505, 'Agency List'!A$2:A$145, 'Agency List'!B$2:B$145, "Not Found")</f>
        <v>0</v>
      </c>
      <c r="AC505" s="8">
        <f>_xlfn.XLOOKUP(AA505, 'Agency List'!A$2:A$145, 'Agency List'!C$2:C$145, "Not Found")</f>
        <v>0</v>
      </c>
      <c r="AD505" s="8">
        <f>_xlfn.XLOOKUP(AA505, 'Agency List'!A$2:A$145, 'Agency List'!D$2:D$145, "Not Found")</f>
        <v>0</v>
      </c>
      <c r="AE505" s="7"/>
      <c r="AF505" s="5"/>
      <c r="AG505" s="5" t="str">
        <f t="shared" si="97"/>
        <v>Bandhkam</v>
      </c>
      <c r="AH505" s="55"/>
      <c r="AI505" s="49"/>
      <c r="AJ505" s="20"/>
      <c r="AL505" s="16"/>
      <c r="AM505" s="12">
        <f t="shared" si="98"/>
        <v>0</v>
      </c>
      <c r="AN505" s="7">
        <f t="shared" si="99"/>
        <v>450</v>
      </c>
      <c r="AO505" s="12">
        <f t="shared" si="100"/>
        <v>0</v>
      </c>
      <c r="AP505" s="12">
        <f t="shared" si="101"/>
        <v>0</v>
      </c>
      <c r="AQ505" s="15">
        <f t="shared" si="102"/>
        <v>35</v>
      </c>
      <c r="AR505" s="7">
        <f t="shared" si="103"/>
        <v>390</v>
      </c>
      <c r="AS505" s="5"/>
      <c r="AU505" s="5"/>
      <c r="AV505" s="17"/>
      <c r="AW505" s="17"/>
      <c r="AX505" s="5"/>
      <c r="AY505" s="5"/>
      <c r="AZ505" s="13"/>
      <c r="BA505" s="12"/>
      <c r="BB505" s="7"/>
      <c r="BC505" s="14"/>
      <c r="BD505" s="14"/>
      <c r="BF505" s="12"/>
      <c r="BG505" s="14"/>
      <c r="BH505" s="19"/>
      <c r="BI505" s="5"/>
      <c r="BM505" s="18"/>
      <c r="BN505" s="18"/>
      <c r="BO505" s="18"/>
      <c r="BP505" s="18"/>
      <c r="BQ505" s="5"/>
      <c r="BR505" s="18"/>
      <c r="BS505" s="18"/>
      <c r="BT505" s="35">
        <f t="shared" si="106"/>
        <v>-1</v>
      </c>
    </row>
    <row r="506" spans="1:72" x14ac:dyDescent="0.35">
      <c r="A506" s="5"/>
      <c r="B506" s="5"/>
      <c r="C506" s="5"/>
      <c r="D506" s="5"/>
      <c r="E506" s="5"/>
      <c r="F506" s="8"/>
      <c r="G506" s="8"/>
      <c r="H506" s="5"/>
      <c r="I506" s="5" t="e" cm="1">
        <f t="array" ref="I506">_xlfn.IFS(
  H506="Mahuva", "Mahuva",
  H506="Jesar", "Mahuva",
  H506="Palitana", "Palitana",
  H506="Gariyadhar", "Palitana",
  H506="Talaja", "Talaja",
  H506="Vallabhipur", "Vallabhipur",
  H506="Umrala", "Vallabhipur",
  H506="Shihor", "Shihor",
  H506="Ghogha", "Bhavnagar",
  H506="Bhavnagar", "Bhavnagar"
)</f>
        <v>#N/A</v>
      </c>
      <c r="J506" s="5"/>
      <c r="K506" s="5"/>
      <c r="M506" s="5"/>
      <c r="Q506" s="7">
        <f t="shared" si="93"/>
        <v>120</v>
      </c>
      <c r="S506" s="33"/>
      <c r="U506" s="10"/>
      <c r="V506" s="10" t="str">
        <f t="shared" si="94"/>
        <v>Equals</v>
      </c>
      <c r="W506" s="11" t="str" cm="1">
        <f t="array" ref="W506">NumberToWords(T506)</f>
        <v>Zero Rupees Only</v>
      </c>
      <c r="X506" s="10" t="str">
        <f t="shared" si="105"/>
        <v>Division</v>
      </c>
      <c r="Z506" s="9">
        <f t="shared" si="96"/>
        <v>0</v>
      </c>
      <c r="AB506" s="8">
        <f>_xlfn.XLOOKUP(AA506, 'Agency List'!A$2:A$145, 'Agency List'!B$2:B$145, "Not Found")</f>
        <v>0</v>
      </c>
      <c r="AC506" s="8">
        <f>_xlfn.XLOOKUP(AA506, 'Agency List'!A$2:A$145, 'Agency List'!C$2:C$145, "Not Found")</f>
        <v>0</v>
      </c>
      <c r="AD506" s="8">
        <f>_xlfn.XLOOKUP(AA506, 'Agency List'!A$2:A$145, 'Agency List'!D$2:D$145, "Not Found")</f>
        <v>0</v>
      </c>
      <c r="AE506" s="7"/>
      <c r="AF506" s="5"/>
      <c r="AG506" s="5" t="str">
        <f t="shared" si="97"/>
        <v>Bandhkam</v>
      </c>
      <c r="AH506" s="55"/>
      <c r="AI506" s="49"/>
      <c r="AJ506" s="20"/>
      <c r="AL506" s="16"/>
      <c r="AM506" s="12">
        <f t="shared" si="98"/>
        <v>0</v>
      </c>
      <c r="AN506" s="7">
        <f t="shared" si="99"/>
        <v>450</v>
      </c>
      <c r="AO506" s="12">
        <f t="shared" si="100"/>
        <v>0</v>
      </c>
      <c r="AP506" s="12">
        <f t="shared" si="101"/>
        <v>0</v>
      </c>
      <c r="AQ506" s="15">
        <f t="shared" si="102"/>
        <v>35</v>
      </c>
      <c r="AR506" s="7">
        <f t="shared" si="103"/>
        <v>390</v>
      </c>
      <c r="AS506" s="5"/>
      <c r="AU506" s="5"/>
      <c r="AV506" s="17"/>
      <c r="AW506" s="17"/>
      <c r="AX506" s="5"/>
      <c r="AY506" s="5"/>
      <c r="AZ506" s="13"/>
      <c r="BA506" s="12"/>
      <c r="BB506" s="7"/>
      <c r="BC506" s="14"/>
      <c r="BD506" s="14"/>
      <c r="BF506" s="12"/>
      <c r="BG506" s="14"/>
      <c r="BH506" s="19"/>
      <c r="BI506" s="5"/>
      <c r="BM506" s="18"/>
      <c r="BN506" s="18"/>
      <c r="BO506" s="18"/>
      <c r="BP506" s="18"/>
      <c r="BQ506" s="5"/>
      <c r="BR506" s="18"/>
      <c r="BS506" s="18"/>
      <c r="BT506" s="35">
        <f t="shared" si="106"/>
        <v>-1</v>
      </c>
    </row>
    <row r="507" spans="1:72" x14ac:dyDescent="0.35">
      <c r="A507" s="5"/>
      <c r="B507" s="5"/>
      <c r="C507" s="5"/>
      <c r="D507" s="5"/>
      <c r="E507" s="5"/>
      <c r="F507" s="8"/>
      <c r="G507" s="8"/>
      <c r="H507" s="5"/>
      <c r="I507" s="5" t="e" cm="1">
        <f t="array" ref="I507">_xlfn.IFS(
  H507="Mahuva", "Mahuva",
  H507="Jesar", "Mahuva",
  H507="Palitana", "Palitana",
  H507="Gariyadhar", "Palitana",
  H507="Talaja", "Talaja",
  H507="Vallabhipur", "Vallabhipur",
  H507="Umrala", "Vallabhipur",
  H507="Shihor", "Shihor",
  H507="Ghogha", "Bhavnagar",
  H507="Bhavnagar", "Bhavnagar"
)</f>
        <v>#N/A</v>
      </c>
      <c r="J507" s="5"/>
      <c r="K507" s="5"/>
      <c r="M507" s="5"/>
      <c r="Q507" s="7">
        <f t="shared" si="93"/>
        <v>120</v>
      </c>
      <c r="S507" s="33"/>
      <c r="U507" s="10"/>
      <c r="V507" s="10" t="str">
        <f t="shared" si="94"/>
        <v>Equals</v>
      </c>
      <c r="W507" s="11" t="str" cm="1">
        <f t="array" ref="W507">NumberToWords(T507)</f>
        <v>Zero Rupees Only</v>
      </c>
      <c r="X507" s="10" t="str">
        <f t="shared" si="105"/>
        <v>Division</v>
      </c>
      <c r="Z507" s="9">
        <f t="shared" si="96"/>
        <v>0</v>
      </c>
      <c r="AB507" s="8">
        <f>_xlfn.XLOOKUP(AA507, 'Agency List'!A$2:A$145, 'Agency List'!B$2:B$145, "Not Found")</f>
        <v>0</v>
      </c>
      <c r="AC507" s="8">
        <f>_xlfn.XLOOKUP(AA507, 'Agency List'!A$2:A$145, 'Agency List'!C$2:C$145, "Not Found")</f>
        <v>0</v>
      </c>
      <c r="AD507" s="8">
        <f>_xlfn.XLOOKUP(AA507, 'Agency List'!A$2:A$145, 'Agency List'!D$2:D$145, "Not Found")</f>
        <v>0</v>
      </c>
      <c r="AE507" s="7"/>
      <c r="AF507" s="5"/>
      <c r="AG507" s="5" t="str">
        <f t="shared" si="97"/>
        <v>Bandhkam</v>
      </c>
      <c r="AH507" s="55"/>
      <c r="AI507" s="49"/>
      <c r="AJ507" s="20"/>
      <c r="AL507" s="16"/>
      <c r="AM507" s="12">
        <f t="shared" si="98"/>
        <v>0</v>
      </c>
      <c r="AN507" s="7">
        <f t="shared" si="99"/>
        <v>450</v>
      </c>
      <c r="AO507" s="12">
        <f t="shared" si="100"/>
        <v>0</v>
      </c>
      <c r="AP507" s="12">
        <f t="shared" si="101"/>
        <v>0</v>
      </c>
      <c r="AQ507" s="15">
        <f t="shared" si="102"/>
        <v>35</v>
      </c>
      <c r="AR507" s="7">
        <f t="shared" si="103"/>
        <v>390</v>
      </c>
      <c r="AS507" s="5"/>
      <c r="AU507" s="5"/>
      <c r="AV507" s="17"/>
      <c r="AW507" s="17"/>
      <c r="AX507" s="5"/>
      <c r="AY507" s="5"/>
      <c r="AZ507" s="13"/>
      <c r="BA507" s="12"/>
      <c r="BB507" s="7"/>
      <c r="BC507" s="14"/>
      <c r="BD507" s="14"/>
      <c r="BF507" s="12"/>
      <c r="BG507" s="14"/>
      <c r="BH507" s="19"/>
      <c r="BI507" s="5"/>
      <c r="BM507" s="18"/>
      <c r="BN507" s="18"/>
      <c r="BO507" s="18"/>
      <c r="BP507" s="18"/>
      <c r="BQ507" s="5"/>
      <c r="BR507" s="18"/>
      <c r="BS507" s="18"/>
      <c r="BT507" s="35">
        <f t="shared" si="106"/>
        <v>-1</v>
      </c>
    </row>
    <row r="508" spans="1:72" x14ac:dyDescent="0.35">
      <c r="A508" s="5"/>
      <c r="B508" s="5"/>
      <c r="C508" s="5"/>
      <c r="D508" s="5"/>
      <c r="E508" s="5"/>
      <c r="F508" s="8"/>
      <c r="G508" s="8"/>
      <c r="H508" s="5"/>
      <c r="I508" s="5" t="e" cm="1">
        <f t="array" ref="I508">_xlfn.IFS(
  H508="Mahuva", "Mahuva",
  H508="Jesar", "Mahuva",
  H508="Palitana", "Palitana",
  H508="Gariyadhar", "Palitana",
  H508="Talaja", "Talaja",
  H508="Vallabhipur", "Vallabhipur",
  H508="Umrala", "Vallabhipur",
  H508="Shihor", "Shihor",
  H508="Ghogha", "Bhavnagar",
  H508="Bhavnagar", "Bhavnagar"
)</f>
        <v>#N/A</v>
      </c>
      <c r="J508" s="5"/>
      <c r="K508" s="5"/>
      <c r="M508" s="5"/>
      <c r="Q508" s="7">
        <f t="shared" si="93"/>
        <v>120</v>
      </c>
      <c r="S508" s="33"/>
      <c r="U508" s="10"/>
      <c r="V508" s="10" t="str">
        <f t="shared" si="94"/>
        <v>Equals</v>
      </c>
      <c r="W508" s="11" t="str" cm="1">
        <f t="array" ref="W508">NumberToWords(T508)</f>
        <v>Zero Rupees Only</v>
      </c>
      <c r="X508" s="10" t="str">
        <f t="shared" si="105"/>
        <v>Division</v>
      </c>
      <c r="Z508" s="9">
        <f t="shared" si="96"/>
        <v>0</v>
      </c>
      <c r="AB508" s="8">
        <f>_xlfn.XLOOKUP(AA508, 'Agency List'!A$2:A$145, 'Agency List'!B$2:B$145, "Not Found")</f>
        <v>0</v>
      </c>
      <c r="AC508" s="8">
        <f>_xlfn.XLOOKUP(AA508, 'Agency List'!A$2:A$145, 'Agency List'!C$2:C$145, "Not Found")</f>
        <v>0</v>
      </c>
      <c r="AD508" s="8">
        <f>_xlfn.XLOOKUP(AA508, 'Agency List'!A$2:A$145, 'Agency List'!D$2:D$145, "Not Found")</f>
        <v>0</v>
      </c>
      <c r="AE508" s="7"/>
      <c r="AF508" s="5"/>
      <c r="AG508" s="5" t="str">
        <f t="shared" si="97"/>
        <v>Bandhkam</v>
      </c>
      <c r="AH508" s="55"/>
      <c r="AI508" s="49"/>
      <c r="AJ508" s="20"/>
      <c r="AL508" s="16"/>
      <c r="AM508" s="12">
        <f t="shared" si="98"/>
        <v>0</v>
      </c>
      <c r="AN508" s="7">
        <f t="shared" si="99"/>
        <v>450</v>
      </c>
      <c r="AO508" s="12">
        <f t="shared" si="100"/>
        <v>0</v>
      </c>
      <c r="AP508" s="12">
        <f t="shared" si="101"/>
        <v>0</v>
      </c>
      <c r="AQ508" s="15">
        <f t="shared" si="102"/>
        <v>35</v>
      </c>
      <c r="AR508" s="7">
        <f t="shared" si="103"/>
        <v>390</v>
      </c>
      <c r="AS508" s="5"/>
      <c r="AU508" s="5"/>
      <c r="AV508" s="17"/>
      <c r="AW508" s="17"/>
      <c r="AX508" s="5"/>
      <c r="AY508" s="5"/>
      <c r="AZ508" s="13"/>
      <c r="BA508" s="12"/>
      <c r="BB508" s="7"/>
      <c r="BC508" s="14"/>
      <c r="BD508" s="14"/>
      <c r="BF508" s="12"/>
      <c r="BG508" s="14"/>
      <c r="BH508" s="19"/>
      <c r="BI508" s="5"/>
      <c r="BM508" s="18"/>
      <c r="BN508" s="18"/>
      <c r="BO508" s="18"/>
      <c r="BP508" s="18"/>
      <c r="BQ508" s="5"/>
      <c r="BR508" s="18"/>
      <c r="BS508" s="18"/>
      <c r="BT508" s="35">
        <f t="shared" si="106"/>
        <v>-1</v>
      </c>
    </row>
    <row r="509" spans="1:72" x14ac:dyDescent="0.35">
      <c r="A509" s="5"/>
      <c r="B509" s="5"/>
      <c r="C509" s="5"/>
      <c r="D509" s="5"/>
      <c r="E509" s="5"/>
      <c r="F509" s="8"/>
      <c r="G509" s="8"/>
      <c r="H509" s="5"/>
      <c r="I509" s="5" t="e" cm="1">
        <f t="array" ref="I509">_xlfn.IFS(
  H509="Mahuva", "Mahuva",
  H509="Jesar", "Mahuva",
  H509="Palitana", "Palitana",
  H509="Gariyadhar", "Palitana",
  H509="Talaja", "Talaja",
  H509="Vallabhipur", "Vallabhipur",
  H509="Umrala", "Vallabhipur",
  H509="Shihor", "Shihor",
  H509="Ghogha", "Bhavnagar",
  H509="Bhavnagar", "Bhavnagar"
)</f>
        <v>#N/A</v>
      </c>
      <c r="J509" s="5"/>
      <c r="K509" s="5"/>
      <c r="M509" s="5"/>
      <c r="Q509" s="7">
        <f t="shared" si="93"/>
        <v>120</v>
      </c>
      <c r="S509" s="33"/>
      <c r="U509" s="10"/>
      <c r="V509" s="10" t="str">
        <f t="shared" si="94"/>
        <v>Equals</v>
      </c>
      <c r="W509" s="11" t="str" cm="1">
        <f t="array" ref="W509">NumberToWords(T509)</f>
        <v>Zero Rupees Only</v>
      </c>
      <c r="X509" s="10" t="str">
        <f t="shared" si="105"/>
        <v>Division</v>
      </c>
      <c r="Z509" s="9">
        <f t="shared" si="96"/>
        <v>0</v>
      </c>
      <c r="AB509" s="8">
        <f>_xlfn.XLOOKUP(AA509, 'Agency List'!A$2:A$145, 'Agency List'!B$2:B$145, "Not Found")</f>
        <v>0</v>
      </c>
      <c r="AC509" s="8">
        <f>_xlfn.XLOOKUP(AA509, 'Agency List'!A$2:A$145, 'Agency List'!C$2:C$145, "Not Found")</f>
        <v>0</v>
      </c>
      <c r="AD509" s="8">
        <f>_xlfn.XLOOKUP(AA509, 'Agency List'!A$2:A$145, 'Agency List'!D$2:D$145, "Not Found")</f>
        <v>0</v>
      </c>
      <c r="AE509" s="7"/>
      <c r="AF509" s="5"/>
      <c r="AG509" s="5" t="str">
        <f t="shared" si="97"/>
        <v>Bandhkam</v>
      </c>
      <c r="AH509" s="55"/>
      <c r="AI509" s="49"/>
      <c r="AJ509" s="20"/>
      <c r="AL509" s="16"/>
      <c r="AM509" s="12">
        <f t="shared" si="98"/>
        <v>0</v>
      </c>
      <c r="AN509" s="7">
        <f t="shared" si="99"/>
        <v>450</v>
      </c>
      <c r="AO509" s="12">
        <f t="shared" si="100"/>
        <v>0</v>
      </c>
      <c r="AP509" s="12">
        <f t="shared" si="101"/>
        <v>0</v>
      </c>
      <c r="AQ509" s="15">
        <f t="shared" si="102"/>
        <v>35</v>
      </c>
      <c r="AR509" s="7">
        <f t="shared" si="103"/>
        <v>390</v>
      </c>
      <c r="AS509" s="5"/>
      <c r="AU509" s="5"/>
      <c r="AV509" s="17"/>
      <c r="AW509" s="17"/>
      <c r="AX509" s="5"/>
      <c r="AY509" s="5"/>
      <c r="AZ509" s="13"/>
      <c r="BA509" s="12"/>
      <c r="BB509" s="7"/>
      <c r="BC509" s="14"/>
      <c r="BD509" s="14"/>
      <c r="BF509" s="12"/>
      <c r="BG509" s="14"/>
      <c r="BH509" s="19"/>
      <c r="BI509" s="5"/>
      <c r="BM509" s="18"/>
      <c r="BN509" s="18"/>
      <c r="BO509" s="18"/>
      <c r="BP509" s="18"/>
      <c r="BQ509" s="5"/>
      <c r="BR509" s="18"/>
      <c r="BS509" s="18"/>
      <c r="BT509" s="35">
        <f t="shared" si="106"/>
        <v>-1</v>
      </c>
    </row>
    <row r="510" spans="1:72" x14ac:dyDescent="0.35">
      <c r="A510" s="5"/>
      <c r="B510" s="5"/>
      <c r="C510" s="5"/>
      <c r="D510" s="5"/>
      <c r="E510" s="5"/>
      <c r="F510" s="8"/>
      <c r="G510" s="8"/>
      <c r="H510" s="5"/>
      <c r="I510" s="5" t="e" cm="1">
        <f t="array" ref="I510">_xlfn.IFS(
  H510="Mahuva", "Mahuva",
  H510="Jesar", "Mahuva",
  H510="Palitana", "Palitana",
  H510="Gariyadhar", "Palitana",
  H510="Talaja", "Talaja",
  H510="Vallabhipur", "Vallabhipur",
  H510="Umrala", "Vallabhipur",
  H510="Shihor", "Shihor",
  H510="Ghogha", "Bhavnagar",
  H510="Bhavnagar", "Bhavnagar"
)</f>
        <v>#N/A</v>
      </c>
      <c r="J510" s="5"/>
      <c r="K510" s="5"/>
      <c r="M510" s="5"/>
      <c r="Q510" s="7">
        <f t="shared" si="93"/>
        <v>120</v>
      </c>
      <c r="S510" s="33"/>
      <c r="U510" s="10"/>
      <c r="V510" s="10" t="str">
        <f t="shared" si="94"/>
        <v>Equals</v>
      </c>
      <c r="W510" s="11" t="str" cm="1">
        <f t="array" ref="W510">NumberToWords(T510)</f>
        <v>Zero Rupees Only</v>
      </c>
      <c r="X510" s="10" t="str">
        <f t="shared" si="105"/>
        <v>Division</v>
      </c>
      <c r="Z510" s="9">
        <f t="shared" si="96"/>
        <v>0</v>
      </c>
      <c r="AB510" s="8">
        <f>_xlfn.XLOOKUP(AA510, 'Agency List'!A$2:A$145, 'Agency List'!B$2:B$145, "Not Found")</f>
        <v>0</v>
      </c>
      <c r="AC510" s="8">
        <f>_xlfn.XLOOKUP(AA510, 'Agency List'!A$2:A$145, 'Agency List'!C$2:C$145, "Not Found")</f>
        <v>0</v>
      </c>
      <c r="AD510" s="8">
        <f>_xlfn.XLOOKUP(AA510, 'Agency List'!A$2:A$145, 'Agency List'!D$2:D$145, "Not Found")</f>
        <v>0</v>
      </c>
      <c r="AE510" s="7"/>
      <c r="AF510" s="5"/>
      <c r="AG510" s="5" t="str">
        <f t="shared" si="97"/>
        <v>Bandhkam</v>
      </c>
      <c r="AH510" s="55"/>
      <c r="AI510" s="49"/>
      <c r="AJ510" s="20"/>
      <c r="AL510" s="16"/>
      <c r="AM510" s="12">
        <f t="shared" si="98"/>
        <v>0</v>
      </c>
      <c r="AN510" s="7">
        <f t="shared" si="99"/>
        <v>450</v>
      </c>
      <c r="AO510" s="12">
        <f t="shared" si="100"/>
        <v>0</v>
      </c>
      <c r="AP510" s="12">
        <f t="shared" si="101"/>
        <v>0</v>
      </c>
      <c r="AQ510" s="15">
        <f t="shared" si="102"/>
        <v>35</v>
      </c>
      <c r="AR510" s="7">
        <f t="shared" si="103"/>
        <v>390</v>
      </c>
      <c r="AS510" s="5"/>
      <c r="AU510" s="5"/>
      <c r="AV510" s="17"/>
      <c r="AW510" s="17"/>
      <c r="AX510" s="5"/>
      <c r="AY510" s="5"/>
      <c r="AZ510" s="13"/>
      <c r="BA510" s="12"/>
      <c r="BB510" s="7"/>
      <c r="BC510" s="14"/>
      <c r="BD510" s="14"/>
      <c r="BF510" s="12"/>
      <c r="BG510" s="14"/>
      <c r="BH510" s="19"/>
      <c r="BI510" s="5"/>
      <c r="BM510" s="18"/>
      <c r="BN510" s="18"/>
      <c r="BO510" s="18"/>
      <c r="BP510" s="18"/>
      <c r="BQ510" s="5"/>
      <c r="BR510" s="18"/>
      <c r="BS510" s="18"/>
      <c r="BT510" s="35">
        <f t="shared" si="106"/>
        <v>-1</v>
      </c>
    </row>
    <row r="511" spans="1:72" x14ac:dyDescent="0.35">
      <c r="A511" s="5"/>
      <c r="B511" s="5"/>
      <c r="C511" s="5"/>
      <c r="D511" s="5"/>
      <c r="E511" s="5"/>
      <c r="F511" s="8"/>
      <c r="G511" s="8"/>
      <c r="H511" s="5"/>
      <c r="I511" s="5" t="e" cm="1">
        <f t="array" ref="I511">_xlfn.IFS(
  H511="Mahuva", "Mahuva",
  H511="Jesar", "Mahuva",
  H511="Palitana", "Palitana",
  H511="Gariyadhar", "Palitana",
  H511="Talaja", "Talaja",
  H511="Vallabhipur", "Vallabhipur",
  H511="Umrala", "Vallabhipur",
  H511="Shihor", "Shihor",
  H511="Ghogha", "Bhavnagar",
  H511="Bhavnagar", "Bhavnagar"
)</f>
        <v>#N/A</v>
      </c>
      <c r="J511" s="5"/>
      <c r="K511" s="5"/>
      <c r="M511" s="5"/>
      <c r="Q511" s="7">
        <f t="shared" si="93"/>
        <v>120</v>
      </c>
      <c r="S511" s="33"/>
      <c r="U511" s="10"/>
      <c r="V511" s="10" t="str">
        <f t="shared" si="94"/>
        <v>Equals</v>
      </c>
      <c r="W511" s="11" t="str" cm="1">
        <f t="array" ref="W511">NumberToWords(T511)</f>
        <v>Zero Rupees Only</v>
      </c>
      <c r="X511" s="10" t="str">
        <f t="shared" si="105"/>
        <v>Division</v>
      </c>
      <c r="Z511" s="9">
        <f t="shared" si="96"/>
        <v>0</v>
      </c>
      <c r="AB511" s="8">
        <f>_xlfn.XLOOKUP(AA511, 'Agency List'!A$2:A$145, 'Agency List'!B$2:B$145, "Not Found")</f>
        <v>0</v>
      </c>
      <c r="AC511" s="8">
        <f>_xlfn.XLOOKUP(AA511, 'Agency List'!A$2:A$145, 'Agency List'!C$2:C$145, "Not Found")</f>
        <v>0</v>
      </c>
      <c r="AD511" s="8">
        <f>_xlfn.XLOOKUP(AA511, 'Agency List'!A$2:A$145, 'Agency List'!D$2:D$145, "Not Found")</f>
        <v>0</v>
      </c>
      <c r="AE511" s="7"/>
      <c r="AF511" s="5"/>
      <c r="AG511" s="5" t="str">
        <f t="shared" si="97"/>
        <v>Bandhkam</v>
      </c>
      <c r="AH511" s="55"/>
      <c r="AI511" s="49"/>
      <c r="AJ511" s="20"/>
      <c r="AL511" s="16"/>
      <c r="AM511" s="12">
        <f t="shared" si="98"/>
        <v>0</v>
      </c>
      <c r="AN511" s="7">
        <f t="shared" si="99"/>
        <v>450</v>
      </c>
      <c r="AO511" s="12">
        <f t="shared" si="100"/>
        <v>0</v>
      </c>
      <c r="AP511" s="12">
        <f t="shared" si="101"/>
        <v>0</v>
      </c>
      <c r="AQ511" s="15">
        <f t="shared" si="102"/>
        <v>35</v>
      </c>
      <c r="AR511" s="7">
        <f t="shared" si="103"/>
        <v>390</v>
      </c>
      <c r="AS511" s="5"/>
      <c r="AU511" s="5"/>
      <c r="AV511" s="17"/>
      <c r="AW511" s="17"/>
      <c r="AX511" s="5"/>
      <c r="AY511" s="5"/>
      <c r="AZ511" s="13"/>
      <c r="BA511" s="12"/>
      <c r="BB511" s="7"/>
      <c r="BC511" s="14"/>
      <c r="BD511" s="14"/>
      <c r="BF511" s="12"/>
      <c r="BG511" s="14"/>
      <c r="BH511" s="19"/>
      <c r="BI511" s="5"/>
      <c r="BM511" s="18"/>
      <c r="BN511" s="18"/>
      <c r="BO511" s="18"/>
      <c r="BP511" s="18"/>
      <c r="BQ511" s="5"/>
      <c r="BR511" s="18"/>
      <c r="BS511" s="18"/>
      <c r="BT511" s="35">
        <f t="shared" ref="BT511:BT542" si="107">EDATE(BH511,AL511)-1</f>
        <v>-1</v>
      </c>
    </row>
    <row r="512" spans="1:72" x14ac:dyDescent="0.35">
      <c r="A512" s="5"/>
      <c r="B512" s="5"/>
      <c r="C512" s="5"/>
      <c r="D512" s="5"/>
      <c r="E512" s="5"/>
      <c r="F512" s="8"/>
      <c r="G512" s="8"/>
      <c r="H512" s="5"/>
      <c r="I512" s="5" t="e" cm="1">
        <f t="array" ref="I512">_xlfn.IFS(
  H512="Mahuva", "Mahuva",
  H512="Jesar", "Mahuva",
  H512="Palitana", "Palitana",
  H512="Gariyadhar", "Palitana",
  H512="Talaja", "Talaja",
  H512="Vallabhipur", "Vallabhipur",
  H512="Umrala", "Vallabhipur",
  H512="Shihor", "Shihor",
  H512="Ghogha", "Bhavnagar",
  H512="Bhavnagar", "Bhavnagar"
)</f>
        <v>#N/A</v>
      </c>
      <c r="J512" s="5"/>
      <c r="K512" s="5"/>
      <c r="M512" s="5"/>
      <c r="Q512" s="7">
        <f t="shared" si="93"/>
        <v>120</v>
      </c>
      <c r="S512" s="33"/>
      <c r="U512" s="10"/>
      <c r="V512" s="10" t="str">
        <f t="shared" si="94"/>
        <v>Equals</v>
      </c>
      <c r="W512" s="11" t="str" cm="1">
        <f t="array" ref="W512">NumberToWords(T512)</f>
        <v>Zero Rupees Only</v>
      </c>
      <c r="X512" s="10" t="str">
        <f t="shared" si="105"/>
        <v>Division</v>
      </c>
      <c r="Z512" s="9">
        <f t="shared" si="96"/>
        <v>0</v>
      </c>
      <c r="AB512" s="8">
        <f>_xlfn.XLOOKUP(AA512, 'Agency List'!A$2:A$145, 'Agency List'!B$2:B$145, "Not Found")</f>
        <v>0</v>
      </c>
      <c r="AC512" s="8">
        <f>_xlfn.XLOOKUP(AA512, 'Agency List'!A$2:A$145, 'Agency List'!C$2:C$145, "Not Found")</f>
        <v>0</v>
      </c>
      <c r="AD512" s="8">
        <f>_xlfn.XLOOKUP(AA512, 'Agency List'!A$2:A$145, 'Agency List'!D$2:D$145, "Not Found")</f>
        <v>0</v>
      </c>
      <c r="AE512" s="7"/>
      <c r="AF512" s="5"/>
      <c r="AG512" s="5" t="str">
        <f t="shared" si="97"/>
        <v>Bandhkam</v>
      </c>
      <c r="AH512" s="55"/>
      <c r="AI512" s="49"/>
      <c r="AJ512" s="20"/>
      <c r="AL512" s="16"/>
      <c r="AM512" s="12">
        <f t="shared" si="98"/>
        <v>0</v>
      </c>
      <c r="AN512" s="7">
        <f t="shared" si="99"/>
        <v>450</v>
      </c>
      <c r="AO512" s="12">
        <f t="shared" si="100"/>
        <v>0</v>
      </c>
      <c r="AP512" s="12">
        <f t="shared" si="101"/>
        <v>0</v>
      </c>
      <c r="AQ512" s="15">
        <f t="shared" si="102"/>
        <v>35</v>
      </c>
      <c r="AR512" s="7">
        <f t="shared" si="103"/>
        <v>390</v>
      </c>
      <c r="AS512" s="5"/>
      <c r="AU512" s="5"/>
      <c r="AV512" s="17"/>
      <c r="AW512" s="17"/>
      <c r="AX512" s="5"/>
      <c r="AY512" s="5"/>
      <c r="AZ512" s="13"/>
      <c r="BA512" s="12"/>
      <c r="BB512" s="7"/>
      <c r="BC512" s="14"/>
      <c r="BD512" s="14"/>
      <c r="BF512" s="12"/>
      <c r="BG512" s="14"/>
      <c r="BH512" s="19"/>
      <c r="BI512" s="5"/>
      <c r="BM512" s="18"/>
      <c r="BN512" s="18"/>
      <c r="BO512" s="18"/>
      <c r="BP512" s="18"/>
      <c r="BQ512" s="5"/>
      <c r="BR512" s="18"/>
      <c r="BS512" s="18"/>
      <c r="BT512" s="35">
        <f t="shared" si="107"/>
        <v>-1</v>
      </c>
    </row>
    <row r="513" spans="1:72" x14ac:dyDescent="0.35">
      <c r="A513" s="5"/>
      <c r="B513" s="5"/>
      <c r="C513" s="5"/>
      <c r="D513" s="5"/>
      <c r="E513" s="5"/>
      <c r="F513" s="8"/>
      <c r="G513" s="8"/>
      <c r="H513" s="5"/>
      <c r="I513" s="5" t="e" cm="1">
        <f t="array" ref="I513">_xlfn.IFS(
  H513="Mahuva", "Mahuva",
  H513="Jesar", "Mahuva",
  H513="Palitana", "Palitana",
  H513="Gariyadhar", "Palitana",
  H513="Talaja", "Talaja",
  H513="Vallabhipur", "Vallabhipur",
  H513="Umrala", "Vallabhipur",
  H513="Shihor", "Shihor",
  H513="Ghogha", "Bhavnagar",
  H513="Bhavnagar", "Bhavnagar"
)</f>
        <v>#N/A</v>
      </c>
      <c r="J513" s="5"/>
      <c r="K513" s="5"/>
      <c r="M513" s="5"/>
      <c r="Q513" s="7">
        <f t="shared" si="93"/>
        <v>120</v>
      </c>
      <c r="S513" s="33"/>
      <c r="U513" s="10"/>
      <c r="V513" s="10" t="str">
        <f t="shared" si="94"/>
        <v>Equals</v>
      </c>
      <c r="W513" s="11" t="str" cm="1">
        <f t="array" ref="W513">NumberToWords(T513)</f>
        <v>Zero Rupees Only</v>
      </c>
      <c r="X513" s="10" t="str">
        <f t="shared" si="105"/>
        <v>Division</v>
      </c>
      <c r="Z513" s="9">
        <f t="shared" si="96"/>
        <v>0</v>
      </c>
      <c r="AB513" s="8">
        <f>_xlfn.XLOOKUP(AA513, 'Agency List'!A$2:A$145, 'Agency List'!B$2:B$145, "Not Found")</f>
        <v>0</v>
      </c>
      <c r="AC513" s="8">
        <f>_xlfn.XLOOKUP(AA513, 'Agency List'!A$2:A$145, 'Agency List'!C$2:C$145, "Not Found")</f>
        <v>0</v>
      </c>
      <c r="AD513" s="8">
        <f>_xlfn.XLOOKUP(AA513, 'Agency List'!A$2:A$145, 'Agency List'!D$2:D$145, "Not Found")</f>
        <v>0</v>
      </c>
      <c r="AE513" s="7"/>
      <c r="AF513" s="5"/>
      <c r="AG513" s="5" t="str">
        <f t="shared" si="97"/>
        <v>Bandhkam</v>
      </c>
      <c r="AH513" s="55"/>
      <c r="AI513" s="49"/>
      <c r="AJ513" s="20"/>
      <c r="AL513" s="16"/>
      <c r="AM513" s="12">
        <f t="shared" si="98"/>
        <v>0</v>
      </c>
      <c r="AN513" s="7">
        <f t="shared" si="99"/>
        <v>450</v>
      </c>
      <c r="AO513" s="12">
        <f t="shared" si="100"/>
        <v>0</v>
      </c>
      <c r="AP513" s="12">
        <f t="shared" si="101"/>
        <v>0</v>
      </c>
      <c r="AQ513" s="15">
        <f t="shared" si="102"/>
        <v>35</v>
      </c>
      <c r="AR513" s="7">
        <f t="shared" si="103"/>
        <v>390</v>
      </c>
      <c r="AS513" s="5"/>
      <c r="AU513" s="5"/>
      <c r="AV513" s="17"/>
      <c r="AW513" s="17"/>
      <c r="AX513" s="5"/>
      <c r="AY513" s="5"/>
      <c r="AZ513" s="13"/>
      <c r="BA513" s="12"/>
      <c r="BB513" s="7"/>
      <c r="BC513" s="14"/>
      <c r="BD513" s="14"/>
      <c r="BF513" s="12"/>
      <c r="BG513" s="14"/>
      <c r="BH513" s="19"/>
      <c r="BI513" s="5"/>
      <c r="BM513" s="18"/>
      <c r="BN513" s="18"/>
      <c r="BO513" s="18"/>
      <c r="BP513" s="18"/>
      <c r="BQ513" s="5"/>
      <c r="BR513" s="18"/>
      <c r="BS513" s="18"/>
      <c r="BT513" s="35">
        <f t="shared" si="107"/>
        <v>-1</v>
      </c>
    </row>
    <row r="514" spans="1:72" x14ac:dyDescent="0.35">
      <c r="A514" s="5"/>
      <c r="B514" s="5"/>
      <c r="C514" s="5"/>
      <c r="D514" s="5"/>
      <c r="E514" s="5"/>
      <c r="F514" s="8"/>
      <c r="G514" s="8"/>
      <c r="H514" s="5"/>
      <c r="I514" s="5" t="e" cm="1">
        <f t="array" ref="I514">_xlfn.IFS(
  H514="Mahuva", "Mahuva",
  H514="Jesar", "Mahuva",
  H514="Palitana", "Palitana",
  H514="Gariyadhar", "Palitana",
  H514="Talaja", "Talaja",
  H514="Vallabhipur", "Vallabhipur",
  H514="Umrala", "Vallabhipur",
  H514="Shihor", "Shihor",
  H514="Ghogha", "Bhavnagar",
  H514="Bhavnagar", "Bhavnagar"
)</f>
        <v>#N/A</v>
      </c>
      <c r="J514" s="5"/>
      <c r="K514" s="5"/>
      <c r="M514" s="5"/>
      <c r="Q514" s="7">
        <f t="shared" ref="Q514:Q577" si="108">O514+120</f>
        <v>120</v>
      </c>
      <c r="S514" s="33"/>
      <c r="U514" s="10"/>
      <c r="V514" s="10" t="str">
        <f t="shared" ref="V514:V577" si="109">IF(U514&lt;0,"Below",IF(U514&gt;0,"Above","Equals"))</f>
        <v>Equals</v>
      </c>
      <c r="W514" s="11" t="str" cm="1">
        <f t="array" ref="W514">NumberToWords(T514)</f>
        <v>Zero Rupees Only</v>
      </c>
      <c r="X514" s="10" t="str">
        <f t="shared" si="105"/>
        <v>Division</v>
      </c>
      <c r="Z514" s="9">
        <f t="shared" ref="Z514:Z577" si="110">T514+Y514</f>
        <v>0</v>
      </c>
      <c r="AB514" s="8">
        <f>_xlfn.XLOOKUP(AA514, 'Agency List'!A$2:A$145, 'Agency List'!B$2:B$145, "Not Found")</f>
        <v>0</v>
      </c>
      <c r="AC514" s="8">
        <f>_xlfn.XLOOKUP(AA514, 'Agency List'!A$2:A$145, 'Agency List'!C$2:C$145, "Not Found")</f>
        <v>0</v>
      </c>
      <c r="AD514" s="8">
        <f>_xlfn.XLOOKUP(AA514, 'Agency List'!A$2:A$145, 'Agency List'!D$2:D$145, "Not Found")</f>
        <v>0</v>
      </c>
      <c r="AE514" s="7"/>
      <c r="AF514" s="5"/>
      <c r="AG514" s="5" t="str">
        <f t="shared" ref="AG514:AG577" si="111">IF(AND(
   AF514&lt;&gt;"5054 MMGSY NORMAL",
   AF514&lt;&gt;"3054 MMGSY NORMAL",
   AF514&lt;&gt;"5054 MMGSY SCSP",
   AF514&lt;&gt;"5054 Suvidhapath"
),
   IF(T514&gt;2500000,"Karobari","Bandhkam"),
   "NA"
)</f>
        <v>Bandhkam</v>
      </c>
      <c r="AH514" s="55"/>
      <c r="AI514" s="49"/>
      <c r="AJ514" s="20"/>
      <c r="AL514" s="16"/>
      <c r="AM514" s="12">
        <f t="shared" ref="AM514:AM577" si="112">CEILING(T514*5/100, 1000)</f>
        <v>0</v>
      </c>
      <c r="AN514" s="7">
        <f t="shared" ref="AN514:AN577" si="113">AR514+60</f>
        <v>450</v>
      </c>
      <c r="AO514" s="12">
        <f t="shared" ref="AO514:AO577" si="114">CEILING(((AM514+AP514)*4.9/100),100)</f>
        <v>0</v>
      </c>
      <c r="AP514" s="12">
        <f t="shared" ref="AP514:AP577" si="115">IF(U514&lt;-20,(CEILING(((R514*90/100)-T514)*30/100, 1000)),IF(U514&lt;-10,(CEILING(((R514*90/100)-T514)*20/100, 1000)),0))</f>
        <v>0</v>
      </c>
      <c r="AQ514" s="15">
        <f t="shared" ref="AQ514:AQ577" si="116">BH514+AL514*30+35</f>
        <v>35</v>
      </c>
      <c r="AR514" s="7">
        <f t="shared" ref="AR514:AR577" si="117" xml:space="preserve">   IF(R514&gt;10000000,
      BH514 + AL514*30 + 36*30 + 30,
      BH514 + AL514*30 + 12*30 + 30
   )</f>
        <v>390</v>
      </c>
      <c r="AS514" s="5"/>
      <c r="AU514" s="5"/>
      <c r="AV514" s="17"/>
      <c r="AW514" s="17"/>
      <c r="AX514" s="5"/>
      <c r="AY514" s="5"/>
      <c r="AZ514" s="13"/>
      <c r="BA514" s="12"/>
      <c r="BB514" s="7"/>
      <c r="BC514" s="14"/>
      <c r="BD514" s="14"/>
      <c r="BF514" s="12"/>
      <c r="BG514" s="14"/>
      <c r="BH514" s="19"/>
      <c r="BI514" s="5"/>
      <c r="BM514" s="18"/>
      <c r="BN514" s="18"/>
      <c r="BO514" s="18"/>
      <c r="BP514" s="18"/>
      <c r="BQ514" s="5"/>
      <c r="BR514" s="18"/>
      <c r="BS514" s="18"/>
      <c r="BT514" s="35">
        <f t="shared" si="107"/>
        <v>-1</v>
      </c>
    </row>
    <row r="515" spans="1:72" x14ac:dyDescent="0.35">
      <c r="A515" s="5"/>
      <c r="B515" s="5"/>
      <c r="C515" s="5"/>
      <c r="D515" s="5"/>
      <c r="E515" s="5"/>
      <c r="F515" s="8"/>
      <c r="G515" s="8"/>
      <c r="H515" s="5"/>
      <c r="I515" s="5" t="e" cm="1">
        <f t="array" ref="I515">_xlfn.IFS(
  H515="Mahuva", "Mahuva",
  H515="Jesar", "Mahuva",
  H515="Palitana", "Palitana",
  H515="Gariyadhar", "Palitana",
  H515="Talaja", "Talaja",
  H515="Vallabhipur", "Vallabhipur",
  H515="Umrala", "Vallabhipur",
  H515="Shihor", "Shihor",
  H515="Ghogha", "Bhavnagar",
  H515="Bhavnagar", "Bhavnagar"
)</f>
        <v>#N/A</v>
      </c>
      <c r="J515" s="5"/>
      <c r="K515" s="5"/>
      <c r="M515" s="5"/>
      <c r="Q515" s="7">
        <f t="shared" si="108"/>
        <v>120</v>
      </c>
      <c r="S515" s="33"/>
      <c r="U515" s="10"/>
      <c r="V515" s="10" t="str">
        <f t="shared" si="109"/>
        <v>Equals</v>
      </c>
      <c r="W515" s="11" t="str" cm="1">
        <f t="array" ref="W515">NumberToWords(T515)</f>
        <v>Zero Rupees Only</v>
      </c>
      <c r="X515" s="10" t="str">
        <f t="shared" si="105"/>
        <v>Division</v>
      </c>
      <c r="Z515" s="9">
        <f t="shared" si="110"/>
        <v>0</v>
      </c>
      <c r="AB515" s="8">
        <f>_xlfn.XLOOKUP(AA515, 'Agency List'!A$2:A$145, 'Agency List'!B$2:B$145, "Not Found")</f>
        <v>0</v>
      </c>
      <c r="AC515" s="8">
        <f>_xlfn.XLOOKUP(AA515, 'Agency List'!A$2:A$145, 'Agency List'!C$2:C$145, "Not Found")</f>
        <v>0</v>
      </c>
      <c r="AD515" s="8">
        <f>_xlfn.XLOOKUP(AA515, 'Agency List'!A$2:A$145, 'Agency List'!D$2:D$145, "Not Found")</f>
        <v>0</v>
      </c>
      <c r="AE515" s="7"/>
      <c r="AF515" s="5"/>
      <c r="AG515" s="5" t="str">
        <f t="shared" si="111"/>
        <v>Bandhkam</v>
      </c>
      <c r="AH515" s="55"/>
      <c r="AI515" s="49"/>
      <c r="AJ515" s="20"/>
      <c r="AL515" s="16"/>
      <c r="AM515" s="12">
        <f t="shared" si="112"/>
        <v>0</v>
      </c>
      <c r="AN515" s="7">
        <f t="shared" si="113"/>
        <v>450</v>
      </c>
      <c r="AO515" s="12">
        <f t="shared" si="114"/>
        <v>0</v>
      </c>
      <c r="AP515" s="12">
        <f t="shared" si="115"/>
        <v>0</v>
      </c>
      <c r="AQ515" s="15">
        <f t="shared" si="116"/>
        <v>35</v>
      </c>
      <c r="AR515" s="7">
        <f t="shared" si="117"/>
        <v>390</v>
      </c>
      <c r="AS515" s="5"/>
      <c r="AU515" s="5"/>
      <c r="AV515" s="17"/>
      <c r="AW515" s="17"/>
      <c r="AX515" s="5"/>
      <c r="AY515" s="5"/>
      <c r="AZ515" s="13"/>
      <c r="BA515" s="12"/>
      <c r="BB515" s="7"/>
      <c r="BC515" s="14"/>
      <c r="BD515" s="14"/>
      <c r="BF515" s="12"/>
      <c r="BG515" s="14"/>
      <c r="BH515" s="19"/>
      <c r="BI515" s="5"/>
      <c r="BM515" s="18"/>
      <c r="BN515" s="18"/>
      <c r="BO515" s="18"/>
      <c r="BP515" s="18"/>
      <c r="BQ515" s="5"/>
      <c r="BR515" s="18"/>
      <c r="BS515" s="18"/>
      <c r="BT515" s="35">
        <f t="shared" si="107"/>
        <v>-1</v>
      </c>
    </row>
    <row r="516" spans="1:72" x14ac:dyDescent="0.35">
      <c r="A516" s="5"/>
      <c r="B516" s="5"/>
      <c r="C516" s="5"/>
      <c r="D516" s="5"/>
      <c r="E516" s="5"/>
      <c r="F516" s="8"/>
      <c r="G516" s="8"/>
      <c r="H516" s="5"/>
      <c r="I516" s="5" t="e" cm="1">
        <f t="array" ref="I516">_xlfn.IFS(
  H516="Mahuva", "Mahuva",
  H516="Jesar", "Mahuva",
  H516="Palitana", "Palitana",
  H516="Gariyadhar", "Palitana",
  H516="Talaja", "Talaja",
  H516="Vallabhipur", "Vallabhipur",
  H516="Umrala", "Vallabhipur",
  H516="Shihor", "Shihor",
  H516="Ghogha", "Bhavnagar",
  H516="Bhavnagar", "Bhavnagar"
)</f>
        <v>#N/A</v>
      </c>
      <c r="J516" s="5"/>
      <c r="K516" s="5"/>
      <c r="M516" s="5"/>
      <c r="Q516" s="7">
        <f t="shared" si="108"/>
        <v>120</v>
      </c>
      <c r="S516" s="33"/>
      <c r="U516" s="10"/>
      <c r="V516" s="10" t="str">
        <f t="shared" si="109"/>
        <v>Equals</v>
      </c>
      <c r="W516" s="11" t="str" cm="1">
        <f t="array" ref="W516">NumberToWords(T516)</f>
        <v>Zero Rupees Only</v>
      </c>
      <c r="X516" s="10" t="str">
        <f t="shared" si="105"/>
        <v>Division</v>
      </c>
      <c r="Z516" s="9">
        <f t="shared" si="110"/>
        <v>0</v>
      </c>
      <c r="AB516" s="8">
        <f>_xlfn.XLOOKUP(AA516, 'Agency List'!A$2:A$145, 'Agency List'!B$2:B$145, "Not Found")</f>
        <v>0</v>
      </c>
      <c r="AC516" s="8">
        <f>_xlfn.XLOOKUP(AA516, 'Agency List'!A$2:A$145, 'Agency List'!C$2:C$145, "Not Found")</f>
        <v>0</v>
      </c>
      <c r="AD516" s="8">
        <f>_xlfn.XLOOKUP(AA516, 'Agency List'!A$2:A$145, 'Agency List'!D$2:D$145, "Not Found")</f>
        <v>0</v>
      </c>
      <c r="AE516" s="7"/>
      <c r="AF516" s="5"/>
      <c r="AG516" s="5" t="str">
        <f t="shared" si="111"/>
        <v>Bandhkam</v>
      </c>
      <c r="AH516" s="55"/>
      <c r="AI516" s="49"/>
      <c r="AJ516" s="20"/>
      <c r="AL516" s="16"/>
      <c r="AM516" s="12">
        <f t="shared" si="112"/>
        <v>0</v>
      </c>
      <c r="AN516" s="7">
        <f t="shared" si="113"/>
        <v>450</v>
      </c>
      <c r="AO516" s="12">
        <f t="shared" si="114"/>
        <v>0</v>
      </c>
      <c r="AP516" s="12">
        <f t="shared" si="115"/>
        <v>0</v>
      </c>
      <c r="AQ516" s="15">
        <f t="shared" si="116"/>
        <v>35</v>
      </c>
      <c r="AR516" s="7">
        <f t="shared" si="117"/>
        <v>390</v>
      </c>
      <c r="AS516" s="5"/>
      <c r="AU516" s="5"/>
      <c r="AV516" s="17"/>
      <c r="AW516" s="17"/>
      <c r="AX516" s="5"/>
      <c r="AY516" s="5"/>
      <c r="AZ516" s="13"/>
      <c r="BA516" s="12"/>
      <c r="BB516" s="7"/>
      <c r="BC516" s="14"/>
      <c r="BD516" s="14"/>
      <c r="BF516" s="12"/>
      <c r="BG516" s="14"/>
      <c r="BH516" s="19"/>
      <c r="BI516" s="5"/>
      <c r="BM516" s="18"/>
      <c r="BN516" s="18"/>
      <c r="BO516" s="18"/>
      <c r="BP516" s="18"/>
      <c r="BQ516" s="5"/>
      <c r="BR516" s="18"/>
      <c r="BS516" s="18"/>
      <c r="BT516" s="35">
        <f t="shared" si="107"/>
        <v>-1</v>
      </c>
    </row>
    <row r="517" spans="1:72" x14ac:dyDescent="0.35">
      <c r="A517" s="5"/>
      <c r="B517" s="5"/>
      <c r="C517" s="5"/>
      <c r="D517" s="5"/>
      <c r="E517" s="5"/>
      <c r="F517" s="8"/>
      <c r="G517" s="8"/>
      <c r="H517" s="5"/>
      <c r="I517" s="5" t="e" cm="1">
        <f t="array" ref="I517">_xlfn.IFS(
  H517="Mahuva", "Mahuva",
  H517="Jesar", "Mahuva",
  H517="Palitana", "Palitana",
  H517="Gariyadhar", "Palitana",
  H517="Talaja", "Talaja",
  H517="Vallabhipur", "Vallabhipur",
  H517="Umrala", "Vallabhipur",
  H517="Shihor", "Shihor",
  H517="Ghogha", "Bhavnagar",
  H517="Bhavnagar", "Bhavnagar"
)</f>
        <v>#N/A</v>
      </c>
      <c r="J517" s="5"/>
      <c r="K517" s="5"/>
      <c r="M517" s="5"/>
      <c r="Q517" s="7">
        <f t="shared" si="108"/>
        <v>120</v>
      </c>
      <c r="S517" s="33"/>
      <c r="U517" s="10"/>
      <c r="V517" s="10" t="str">
        <f t="shared" si="109"/>
        <v>Equals</v>
      </c>
      <c r="W517" s="11" t="str" cm="1">
        <f t="array" ref="W517">NumberToWords(T517)</f>
        <v>Zero Rupees Only</v>
      </c>
      <c r="X517" s="10" t="str">
        <f t="shared" si="105"/>
        <v>Division</v>
      </c>
      <c r="Z517" s="9">
        <f t="shared" si="110"/>
        <v>0</v>
      </c>
      <c r="AB517" s="8">
        <f>_xlfn.XLOOKUP(AA517, 'Agency List'!A$2:A$145, 'Agency List'!B$2:B$145, "Not Found")</f>
        <v>0</v>
      </c>
      <c r="AC517" s="8">
        <f>_xlfn.XLOOKUP(AA517, 'Agency List'!A$2:A$145, 'Agency List'!C$2:C$145, "Not Found")</f>
        <v>0</v>
      </c>
      <c r="AD517" s="8">
        <f>_xlfn.XLOOKUP(AA517, 'Agency List'!A$2:A$145, 'Agency List'!D$2:D$145, "Not Found")</f>
        <v>0</v>
      </c>
      <c r="AE517" s="7"/>
      <c r="AF517" s="5"/>
      <c r="AG517" s="5" t="str">
        <f t="shared" si="111"/>
        <v>Bandhkam</v>
      </c>
      <c r="AH517" s="55"/>
      <c r="AI517" s="49"/>
      <c r="AJ517" s="20"/>
      <c r="AL517" s="16"/>
      <c r="AM517" s="12">
        <f t="shared" si="112"/>
        <v>0</v>
      </c>
      <c r="AN517" s="7">
        <f t="shared" si="113"/>
        <v>450</v>
      </c>
      <c r="AO517" s="12">
        <f t="shared" si="114"/>
        <v>0</v>
      </c>
      <c r="AP517" s="12">
        <f t="shared" si="115"/>
        <v>0</v>
      </c>
      <c r="AQ517" s="15">
        <f t="shared" si="116"/>
        <v>35</v>
      </c>
      <c r="AR517" s="7">
        <f t="shared" si="117"/>
        <v>390</v>
      </c>
      <c r="AS517" s="5"/>
      <c r="AU517" s="5"/>
      <c r="AV517" s="17"/>
      <c r="AW517" s="17"/>
      <c r="AX517" s="5"/>
      <c r="AY517" s="5"/>
      <c r="AZ517" s="13"/>
      <c r="BA517" s="12"/>
      <c r="BB517" s="7"/>
      <c r="BC517" s="14"/>
      <c r="BD517" s="14"/>
      <c r="BF517" s="12"/>
      <c r="BG517" s="14"/>
      <c r="BH517" s="19"/>
      <c r="BI517" s="5"/>
      <c r="BM517" s="18"/>
      <c r="BN517" s="18"/>
      <c r="BO517" s="18"/>
      <c r="BP517" s="18"/>
      <c r="BQ517" s="5"/>
      <c r="BR517" s="18"/>
      <c r="BS517" s="18"/>
      <c r="BT517" s="35">
        <f t="shared" si="107"/>
        <v>-1</v>
      </c>
    </row>
    <row r="518" spans="1:72" x14ac:dyDescent="0.35">
      <c r="A518" s="5"/>
      <c r="B518" s="5"/>
      <c r="C518" s="5"/>
      <c r="D518" s="5"/>
      <c r="E518" s="5"/>
      <c r="F518" s="8"/>
      <c r="G518" s="8"/>
      <c r="H518" s="5"/>
      <c r="I518" s="5" t="e" cm="1">
        <f t="array" ref="I518">_xlfn.IFS(
  H518="Mahuva", "Mahuva",
  H518="Jesar", "Mahuva",
  H518="Palitana", "Palitana",
  H518="Gariyadhar", "Palitana",
  H518="Talaja", "Talaja",
  H518="Vallabhipur", "Vallabhipur",
  H518="Umrala", "Vallabhipur",
  H518="Shihor", "Shihor",
  H518="Ghogha", "Bhavnagar",
  H518="Bhavnagar", "Bhavnagar"
)</f>
        <v>#N/A</v>
      </c>
      <c r="J518" s="5"/>
      <c r="K518" s="5"/>
      <c r="M518" s="5"/>
      <c r="Q518" s="7">
        <f t="shared" si="108"/>
        <v>120</v>
      </c>
      <c r="S518" s="33"/>
      <c r="U518" s="10"/>
      <c r="V518" s="10" t="str">
        <f t="shared" si="109"/>
        <v>Equals</v>
      </c>
      <c r="W518" s="11" t="str" cm="1">
        <f t="array" ref="W518">NumberToWords(T518)</f>
        <v>Zero Rupees Only</v>
      </c>
      <c r="X518" s="10" t="str">
        <f t="shared" si="105"/>
        <v>Division</v>
      </c>
      <c r="Z518" s="9">
        <f t="shared" si="110"/>
        <v>0</v>
      </c>
      <c r="AB518" s="8">
        <f>_xlfn.XLOOKUP(AA518, 'Agency List'!A$2:A$145, 'Agency List'!B$2:B$145, "Not Found")</f>
        <v>0</v>
      </c>
      <c r="AC518" s="8">
        <f>_xlfn.XLOOKUP(AA518, 'Agency List'!A$2:A$145, 'Agency List'!C$2:C$145, "Not Found")</f>
        <v>0</v>
      </c>
      <c r="AD518" s="8">
        <f>_xlfn.XLOOKUP(AA518, 'Agency List'!A$2:A$145, 'Agency List'!D$2:D$145, "Not Found")</f>
        <v>0</v>
      </c>
      <c r="AE518" s="7"/>
      <c r="AF518" s="5"/>
      <c r="AG518" s="5" t="str">
        <f t="shared" si="111"/>
        <v>Bandhkam</v>
      </c>
      <c r="AH518" s="55"/>
      <c r="AI518" s="49"/>
      <c r="AJ518" s="20"/>
      <c r="AL518" s="16"/>
      <c r="AM518" s="12">
        <f t="shared" si="112"/>
        <v>0</v>
      </c>
      <c r="AN518" s="7">
        <f t="shared" si="113"/>
        <v>450</v>
      </c>
      <c r="AO518" s="12">
        <f t="shared" si="114"/>
        <v>0</v>
      </c>
      <c r="AP518" s="12">
        <f t="shared" si="115"/>
        <v>0</v>
      </c>
      <c r="AQ518" s="15">
        <f t="shared" si="116"/>
        <v>35</v>
      </c>
      <c r="AR518" s="7">
        <f t="shared" si="117"/>
        <v>390</v>
      </c>
      <c r="AS518" s="5"/>
      <c r="AU518" s="5"/>
      <c r="AV518" s="17"/>
      <c r="AW518" s="17"/>
      <c r="AX518" s="5"/>
      <c r="AY518" s="5"/>
      <c r="AZ518" s="13"/>
      <c r="BA518" s="12"/>
      <c r="BB518" s="7"/>
      <c r="BC518" s="14"/>
      <c r="BD518" s="14"/>
      <c r="BF518" s="12"/>
      <c r="BG518" s="14"/>
      <c r="BH518" s="19"/>
      <c r="BI518" s="5"/>
      <c r="BM518" s="18"/>
      <c r="BN518" s="18"/>
      <c r="BO518" s="18"/>
      <c r="BP518" s="18"/>
      <c r="BQ518" s="5"/>
      <c r="BR518" s="18"/>
      <c r="BS518" s="18"/>
      <c r="BT518" s="35">
        <f t="shared" si="107"/>
        <v>-1</v>
      </c>
    </row>
    <row r="519" spans="1:72" x14ac:dyDescent="0.35">
      <c r="A519" s="5"/>
      <c r="B519" s="5"/>
      <c r="C519" s="5"/>
      <c r="D519" s="5"/>
      <c r="E519" s="5"/>
      <c r="F519" s="8"/>
      <c r="G519" s="8"/>
      <c r="H519" s="5"/>
      <c r="I519" s="5" t="e" cm="1">
        <f t="array" ref="I519">_xlfn.IFS(
  H519="Mahuva", "Mahuva",
  H519="Jesar", "Mahuva",
  H519="Palitana", "Palitana",
  H519="Gariyadhar", "Palitana",
  H519="Talaja", "Talaja",
  H519="Vallabhipur", "Vallabhipur",
  H519="Umrala", "Vallabhipur",
  H519="Shihor", "Shihor",
  H519="Ghogha", "Bhavnagar",
  H519="Bhavnagar", "Bhavnagar"
)</f>
        <v>#N/A</v>
      </c>
      <c r="J519" s="5"/>
      <c r="K519" s="5"/>
      <c r="M519" s="5"/>
      <c r="Q519" s="7">
        <f t="shared" si="108"/>
        <v>120</v>
      </c>
      <c r="S519" s="33"/>
      <c r="U519" s="10"/>
      <c r="V519" s="10" t="str">
        <f t="shared" si="109"/>
        <v>Equals</v>
      </c>
      <c r="W519" s="11" t="str" cm="1">
        <f t="array" ref="W519">NumberToWords(T519)</f>
        <v>Zero Rupees Only</v>
      </c>
      <c r="X519" s="10" t="str">
        <f t="shared" si="105"/>
        <v>Division</v>
      </c>
      <c r="Z519" s="9">
        <f t="shared" si="110"/>
        <v>0</v>
      </c>
      <c r="AB519" s="8">
        <f>_xlfn.XLOOKUP(AA519, 'Agency List'!A$2:A$145, 'Agency List'!B$2:B$145, "Not Found")</f>
        <v>0</v>
      </c>
      <c r="AC519" s="8">
        <f>_xlfn.XLOOKUP(AA519, 'Agency List'!A$2:A$145, 'Agency List'!C$2:C$145, "Not Found")</f>
        <v>0</v>
      </c>
      <c r="AD519" s="8">
        <f>_xlfn.XLOOKUP(AA519, 'Agency List'!A$2:A$145, 'Agency List'!D$2:D$145, "Not Found")</f>
        <v>0</v>
      </c>
      <c r="AE519" s="7"/>
      <c r="AF519" s="5"/>
      <c r="AG519" s="5" t="str">
        <f t="shared" si="111"/>
        <v>Bandhkam</v>
      </c>
      <c r="AH519" s="55"/>
      <c r="AI519" s="49"/>
      <c r="AJ519" s="20"/>
      <c r="AL519" s="16"/>
      <c r="AM519" s="12">
        <f t="shared" si="112"/>
        <v>0</v>
      </c>
      <c r="AN519" s="7">
        <f t="shared" si="113"/>
        <v>450</v>
      </c>
      <c r="AO519" s="12">
        <f t="shared" si="114"/>
        <v>0</v>
      </c>
      <c r="AP519" s="12">
        <f t="shared" si="115"/>
        <v>0</v>
      </c>
      <c r="AQ519" s="15">
        <f t="shared" si="116"/>
        <v>35</v>
      </c>
      <c r="AR519" s="7">
        <f t="shared" si="117"/>
        <v>390</v>
      </c>
      <c r="AS519" s="5"/>
      <c r="AU519" s="5"/>
      <c r="AV519" s="17"/>
      <c r="AW519" s="17"/>
      <c r="AX519" s="5"/>
      <c r="AY519" s="5"/>
      <c r="AZ519" s="13"/>
      <c r="BA519" s="12"/>
      <c r="BB519" s="7"/>
      <c r="BC519" s="14"/>
      <c r="BD519" s="14"/>
      <c r="BF519" s="12"/>
      <c r="BG519" s="14"/>
      <c r="BH519" s="19"/>
      <c r="BI519" s="5"/>
      <c r="BM519" s="18"/>
      <c r="BN519" s="18"/>
      <c r="BO519" s="18"/>
      <c r="BP519" s="18"/>
      <c r="BQ519" s="5"/>
      <c r="BR519" s="18"/>
      <c r="BS519" s="18"/>
      <c r="BT519" s="35">
        <f t="shared" si="107"/>
        <v>-1</v>
      </c>
    </row>
    <row r="520" spans="1:72" x14ac:dyDescent="0.35">
      <c r="A520" s="5"/>
      <c r="B520" s="5"/>
      <c r="C520" s="5"/>
      <c r="D520" s="5"/>
      <c r="E520" s="5"/>
      <c r="F520" s="8"/>
      <c r="G520" s="8"/>
      <c r="H520" s="5"/>
      <c r="I520" s="5" t="e" cm="1">
        <f t="array" ref="I520">_xlfn.IFS(
  H520="Mahuva", "Mahuva",
  H520="Jesar", "Mahuva",
  H520="Palitana", "Palitana",
  H520="Gariyadhar", "Palitana",
  H520="Talaja", "Talaja",
  H520="Vallabhipur", "Vallabhipur",
  H520="Umrala", "Vallabhipur",
  H520="Shihor", "Shihor",
  H520="Ghogha", "Bhavnagar",
  H520="Bhavnagar", "Bhavnagar"
)</f>
        <v>#N/A</v>
      </c>
      <c r="J520" s="5"/>
      <c r="K520" s="5"/>
      <c r="M520" s="5"/>
      <c r="Q520" s="7">
        <f t="shared" si="108"/>
        <v>120</v>
      </c>
      <c r="S520" s="33"/>
      <c r="U520" s="10"/>
      <c r="V520" s="10" t="str">
        <f t="shared" si="109"/>
        <v>Equals</v>
      </c>
      <c r="W520" s="11" t="str" cm="1">
        <f t="array" ref="W520">NumberToWords(T520)</f>
        <v>Zero Rupees Only</v>
      </c>
      <c r="X520" s="10" t="str">
        <f t="shared" si="105"/>
        <v>Division</v>
      </c>
      <c r="Z520" s="9">
        <f t="shared" si="110"/>
        <v>0</v>
      </c>
      <c r="AB520" s="8">
        <f>_xlfn.XLOOKUP(AA520, 'Agency List'!A$2:A$145, 'Agency List'!B$2:B$145, "Not Found")</f>
        <v>0</v>
      </c>
      <c r="AC520" s="8">
        <f>_xlfn.XLOOKUP(AA520, 'Agency List'!A$2:A$145, 'Agency List'!C$2:C$145, "Not Found")</f>
        <v>0</v>
      </c>
      <c r="AD520" s="8">
        <f>_xlfn.XLOOKUP(AA520, 'Agency List'!A$2:A$145, 'Agency List'!D$2:D$145, "Not Found")</f>
        <v>0</v>
      </c>
      <c r="AE520" s="7"/>
      <c r="AF520" s="5"/>
      <c r="AG520" s="5" t="str">
        <f t="shared" si="111"/>
        <v>Bandhkam</v>
      </c>
      <c r="AH520" s="55"/>
      <c r="AI520" s="49"/>
      <c r="AJ520" s="20"/>
      <c r="AL520" s="16"/>
      <c r="AM520" s="12">
        <f t="shared" si="112"/>
        <v>0</v>
      </c>
      <c r="AN520" s="7">
        <f t="shared" si="113"/>
        <v>450</v>
      </c>
      <c r="AO520" s="12">
        <f t="shared" si="114"/>
        <v>0</v>
      </c>
      <c r="AP520" s="12">
        <f t="shared" si="115"/>
        <v>0</v>
      </c>
      <c r="AQ520" s="15">
        <f t="shared" si="116"/>
        <v>35</v>
      </c>
      <c r="AR520" s="7">
        <f t="shared" si="117"/>
        <v>390</v>
      </c>
      <c r="AS520" s="5"/>
      <c r="AU520" s="5"/>
      <c r="AV520" s="17"/>
      <c r="AW520" s="17"/>
      <c r="AX520" s="5"/>
      <c r="AY520" s="5"/>
      <c r="AZ520" s="13"/>
      <c r="BA520" s="12"/>
      <c r="BB520" s="7"/>
      <c r="BC520" s="14"/>
      <c r="BD520" s="14"/>
      <c r="BF520" s="12"/>
      <c r="BG520" s="14"/>
      <c r="BH520" s="19"/>
      <c r="BI520" s="5"/>
      <c r="BM520" s="18"/>
      <c r="BN520" s="18"/>
      <c r="BO520" s="18"/>
      <c r="BP520" s="18"/>
      <c r="BQ520" s="5"/>
      <c r="BR520" s="18"/>
      <c r="BS520" s="18"/>
      <c r="BT520" s="35">
        <f t="shared" si="107"/>
        <v>-1</v>
      </c>
    </row>
    <row r="521" spans="1:72" x14ac:dyDescent="0.35">
      <c r="A521" s="5"/>
      <c r="B521" s="5"/>
      <c r="C521" s="5"/>
      <c r="D521" s="5"/>
      <c r="E521" s="5"/>
      <c r="F521" s="8"/>
      <c r="G521" s="8"/>
      <c r="H521" s="5"/>
      <c r="I521" s="5" t="e" cm="1">
        <f t="array" ref="I521">_xlfn.IFS(
  H521="Mahuva", "Mahuva",
  H521="Jesar", "Mahuva",
  H521="Palitana", "Palitana",
  H521="Gariyadhar", "Palitana",
  H521="Talaja", "Talaja",
  H521="Vallabhipur", "Vallabhipur",
  H521="Umrala", "Vallabhipur",
  H521="Shihor", "Shihor",
  H521="Ghogha", "Bhavnagar",
  H521="Bhavnagar", "Bhavnagar"
)</f>
        <v>#N/A</v>
      </c>
      <c r="J521" s="5"/>
      <c r="K521" s="5"/>
      <c r="M521" s="5"/>
      <c r="Q521" s="7">
        <f t="shared" si="108"/>
        <v>120</v>
      </c>
      <c r="S521" s="33"/>
      <c r="U521" s="10"/>
      <c r="V521" s="10" t="str">
        <f t="shared" si="109"/>
        <v>Equals</v>
      </c>
      <c r="W521" s="11" t="str" cm="1">
        <f t="array" ref="W521">NumberToWords(T521)</f>
        <v>Zero Rupees Only</v>
      </c>
      <c r="X521" s="10" t="str">
        <f t="shared" si="105"/>
        <v>Division</v>
      </c>
      <c r="Z521" s="9">
        <f t="shared" si="110"/>
        <v>0</v>
      </c>
      <c r="AB521" s="8">
        <f>_xlfn.XLOOKUP(AA521, 'Agency List'!A$2:A$145, 'Agency List'!B$2:B$145, "Not Found")</f>
        <v>0</v>
      </c>
      <c r="AC521" s="8">
        <f>_xlfn.XLOOKUP(AA521, 'Agency List'!A$2:A$145, 'Agency List'!C$2:C$145, "Not Found")</f>
        <v>0</v>
      </c>
      <c r="AD521" s="8">
        <f>_xlfn.XLOOKUP(AA521, 'Agency List'!A$2:A$145, 'Agency List'!D$2:D$145, "Not Found")</f>
        <v>0</v>
      </c>
      <c r="AE521" s="7"/>
      <c r="AF521" s="5"/>
      <c r="AG521" s="5" t="str">
        <f t="shared" si="111"/>
        <v>Bandhkam</v>
      </c>
      <c r="AH521" s="55"/>
      <c r="AI521" s="49"/>
      <c r="AJ521" s="20"/>
      <c r="AL521" s="16"/>
      <c r="AM521" s="12">
        <f t="shared" si="112"/>
        <v>0</v>
      </c>
      <c r="AN521" s="7">
        <f t="shared" si="113"/>
        <v>450</v>
      </c>
      <c r="AO521" s="12">
        <f t="shared" si="114"/>
        <v>0</v>
      </c>
      <c r="AP521" s="12">
        <f t="shared" si="115"/>
        <v>0</v>
      </c>
      <c r="AQ521" s="15">
        <f t="shared" si="116"/>
        <v>35</v>
      </c>
      <c r="AR521" s="7">
        <f t="shared" si="117"/>
        <v>390</v>
      </c>
      <c r="AS521" s="5"/>
      <c r="AU521" s="5"/>
      <c r="AV521" s="17"/>
      <c r="AW521" s="17"/>
      <c r="AX521" s="5"/>
      <c r="AY521" s="5"/>
      <c r="AZ521" s="13"/>
      <c r="BA521" s="12"/>
      <c r="BB521" s="7"/>
      <c r="BC521" s="14"/>
      <c r="BD521" s="14"/>
      <c r="BF521" s="12"/>
      <c r="BG521" s="14"/>
      <c r="BH521" s="19"/>
      <c r="BI521" s="5"/>
      <c r="BM521" s="18"/>
      <c r="BN521" s="18"/>
      <c r="BO521" s="18"/>
      <c r="BP521" s="18"/>
      <c r="BQ521" s="5"/>
      <c r="BR521" s="18"/>
      <c r="BS521" s="18"/>
      <c r="BT521" s="35">
        <f t="shared" si="107"/>
        <v>-1</v>
      </c>
    </row>
    <row r="522" spans="1:72" x14ac:dyDescent="0.35">
      <c r="A522" s="5"/>
      <c r="B522" s="5"/>
      <c r="C522" s="5"/>
      <c r="D522" s="5"/>
      <c r="E522" s="5"/>
      <c r="F522" s="8"/>
      <c r="G522" s="8"/>
      <c r="H522" s="5"/>
      <c r="I522" s="5" t="e" cm="1">
        <f t="array" ref="I522">_xlfn.IFS(
  H522="Mahuva", "Mahuva",
  H522="Jesar", "Mahuva",
  H522="Palitana", "Palitana",
  H522="Gariyadhar", "Palitana",
  H522="Talaja", "Talaja",
  H522="Vallabhipur", "Vallabhipur",
  H522="Umrala", "Vallabhipur",
  H522="Shihor", "Shihor",
  H522="Ghogha", "Bhavnagar",
  H522="Bhavnagar", "Bhavnagar"
)</f>
        <v>#N/A</v>
      </c>
      <c r="J522" s="5"/>
      <c r="K522" s="5"/>
      <c r="M522" s="5"/>
      <c r="Q522" s="7">
        <f t="shared" si="108"/>
        <v>120</v>
      </c>
      <c r="S522" s="33"/>
      <c r="U522" s="10"/>
      <c r="V522" s="10" t="str">
        <f t="shared" si="109"/>
        <v>Equals</v>
      </c>
      <c r="W522" s="11" t="str" cm="1">
        <f t="array" ref="W522">NumberToWords(T522)</f>
        <v>Zero Rupees Only</v>
      </c>
      <c r="X522" s="10" t="str">
        <f t="shared" si="105"/>
        <v>Division</v>
      </c>
      <c r="Z522" s="9">
        <f t="shared" si="110"/>
        <v>0</v>
      </c>
      <c r="AB522" s="8">
        <f>_xlfn.XLOOKUP(AA522, 'Agency List'!A$2:A$145, 'Agency List'!B$2:B$145, "Not Found")</f>
        <v>0</v>
      </c>
      <c r="AC522" s="8">
        <f>_xlfn.XLOOKUP(AA522, 'Agency List'!A$2:A$145, 'Agency List'!C$2:C$145, "Not Found")</f>
        <v>0</v>
      </c>
      <c r="AD522" s="8">
        <f>_xlfn.XLOOKUP(AA522, 'Agency List'!A$2:A$145, 'Agency List'!D$2:D$145, "Not Found")</f>
        <v>0</v>
      </c>
      <c r="AE522" s="7"/>
      <c r="AF522" s="5"/>
      <c r="AG522" s="5" t="str">
        <f t="shared" si="111"/>
        <v>Bandhkam</v>
      </c>
      <c r="AH522" s="55"/>
      <c r="AI522" s="49"/>
      <c r="AJ522" s="20"/>
      <c r="AL522" s="16"/>
      <c r="AM522" s="12">
        <f t="shared" si="112"/>
        <v>0</v>
      </c>
      <c r="AN522" s="7">
        <f t="shared" si="113"/>
        <v>450</v>
      </c>
      <c r="AO522" s="12">
        <f t="shared" si="114"/>
        <v>0</v>
      </c>
      <c r="AP522" s="12">
        <f t="shared" si="115"/>
        <v>0</v>
      </c>
      <c r="AQ522" s="15">
        <f t="shared" si="116"/>
        <v>35</v>
      </c>
      <c r="AR522" s="7">
        <f t="shared" si="117"/>
        <v>390</v>
      </c>
      <c r="AS522" s="5"/>
      <c r="AU522" s="5"/>
      <c r="AV522" s="17"/>
      <c r="AW522" s="17"/>
      <c r="AX522" s="5"/>
      <c r="AY522" s="5"/>
      <c r="AZ522" s="13"/>
      <c r="BA522" s="12"/>
      <c r="BB522" s="7"/>
      <c r="BC522" s="14"/>
      <c r="BD522" s="14"/>
      <c r="BF522" s="12"/>
      <c r="BG522" s="14"/>
      <c r="BH522" s="19"/>
      <c r="BI522" s="5"/>
      <c r="BM522" s="18"/>
      <c r="BN522" s="18"/>
      <c r="BO522" s="18"/>
      <c r="BP522" s="18"/>
      <c r="BQ522" s="5"/>
      <c r="BR522" s="18"/>
      <c r="BS522" s="18"/>
      <c r="BT522" s="35">
        <f t="shared" si="107"/>
        <v>-1</v>
      </c>
    </row>
    <row r="523" spans="1:72" x14ac:dyDescent="0.35">
      <c r="A523" s="5"/>
      <c r="B523" s="5"/>
      <c r="C523" s="5"/>
      <c r="D523" s="5"/>
      <c r="E523" s="5"/>
      <c r="F523" s="8"/>
      <c r="G523" s="8"/>
      <c r="H523" s="5"/>
      <c r="I523" s="5" t="e" cm="1">
        <f t="array" ref="I523">_xlfn.IFS(
  H523="Mahuva", "Mahuva",
  H523="Jesar", "Mahuva",
  H523="Palitana", "Palitana",
  H523="Gariyadhar", "Palitana",
  H523="Talaja", "Talaja",
  H523="Vallabhipur", "Vallabhipur",
  H523="Umrala", "Vallabhipur",
  H523="Shihor", "Shihor",
  H523="Ghogha", "Bhavnagar",
  H523="Bhavnagar", "Bhavnagar"
)</f>
        <v>#N/A</v>
      </c>
      <c r="J523" s="5"/>
      <c r="K523" s="5"/>
      <c r="M523" s="5"/>
      <c r="Q523" s="7">
        <f t="shared" si="108"/>
        <v>120</v>
      </c>
      <c r="S523" s="33"/>
      <c r="U523" s="10"/>
      <c r="V523" s="10" t="str">
        <f t="shared" si="109"/>
        <v>Equals</v>
      </c>
      <c r="W523" s="11" t="str" cm="1">
        <f t="array" ref="W523">NumberToWords(T523)</f>
        <v>Zero Rupees Only</v>
      </c>
      <c r="X523" s="10" t="str">
        <f t="shared" si="105"/>
        <v>Division</v>
      </c>
      <c r="Z523" s="9">
        <f t="shared" si="110"/>
        <v>0</v>
      </c>
      <c r="AB523" s="8">
        <f>_xlfn.XLOOKUP(AA523, 'Agency List'!A$2:A$145, 'Agency List'!B$2:B$145, "Not Found")</f>
        <v>0</v>
      </c>
      <c r="AC523" s="8">
        <f>_xlfn.XLOOKUP(AA523, 'Agency List'!A$2:A$145, 'Agency List'!C$2:C$145, "Not Found")</f>
        <v>0</v>
      </c>
      <c r="AD523" s="8">
        <f>_xlfn.XLOOKUP(AA523, 'Agency List'!A$2:A$145, 'Agency List'!D$2:D$145, "Not Found")</f>
        <v>0</v>
      </c>
      <c r="AE523" s="7"/>
      <c r="AF523" s="5"/>
      <c r="AG523" s="5" t="str">
        <f t="shared" si="111"/>
        <v>Bandhkam</v>
      </c>
      <c r="AH523" s="55"/>
      <c r="AI523" s="49"/>
      <c r="AJ523" s="20"/>
      <c r="AL523" s="16"/>
      <c r="AM523" s="12">
        <f t="shared" si="112"/>
        <v>0</v>
      </c>
      <c r="AN523" s="7">
        <f t="shared" si="113"/>
        <v>450</v>
      </c>
      <c r="AO523" s="12">
        <f t="shared" si="114"/>
        <v>0</v>
      </c>
      <c r="AP523" s="12">
        <f t="shared" si="115"/>
        <v>0</v>
      </c>
      <c r="AQ523" s="15">
        <f t="shared" si="116"/>
        <v>35</v>
      </c>
      <c r="AR523" s="7">
        <f t="shared" si="117"/>
        <v>390</v>
      </c>
      <c r="AS523" s="5"/>
      <c r="AU523" s="5"/>
      <c r="AV523" s="17"/>
      <c r="AW523" s="17"/>
      <c r="AX523" s="5"/>
      <c r="AY523" s="5"/>
      <c r="AZ523" s="13"/>
      <c r="BA523" s="12"/>
      <c r="BB523" s="7"/>
      <c r="BC523" s="14"/>
      <c r="BD523" s="14"/>
      <c r="BF523" s="12"/>
      <c r="BG523" s="14"/>
      <c r="BH523" s="19"/>
      <c r="BI523" s="5"/>
      <c r="BM523" s="18"/>
      <c r="BN523" s="18"/>
      <c r="BO523" s="18"/>
      <c r="BP523" s="18"/>
      <c r="BQ523" s="5"/>
      <c r="BR523" s="18"/>
      <c r="BS523" s="18"/>
      <c r="BT523" s="35">
        <f t="shared" si="107"/>
        <v>-1</v>
      </c>
    </row>
    <row r="524" spans="1:72" x14ac:dyDescent="0.35">
      <c r="A524" s="5"/>
      <c r="B524" s="5"/>
      <c r="C524" s="5"/>
      <c r="D524" s="5"/>
      <c r="E524" s="5"/>
      <c r="F524" s="8"/>
      <c r="G524" s="8"/>
      <c r="H524" s="5"/>
      <c r="I524" s="5" t="e" cm="1">
        <f t="array" ref="I524">_xlfn.IFS(
  H524="Mahuva", "Mahuva",
  H524="Jesar", "Mahuva",
  H524="Palitana", "Palitana",
  H524="Gariyadhar", "Palitana",
  H524="Talaja", "Talaja",
  H524="Vallabhipur", "Vallabhipur",
  H524="Umrala", "Vallabhipur",
  H524="Shihor", "Shihor",
  H524="Ghogha", "Bhavnagar",
  H524="Bhavnagar", "Bhavnagar"
)</f>
        <v>#N/A</v>
      </c>
      <c r="J524" s="5"/>
      <c r="K524" s="5"/>
      <c r="M524" s="5"/>
      <c r="Q524" s="7">
        <f t="shared" si="108"/>
        <v>120</v>
      </c>
      <c r="S524" s="33"/>
      <c r="U524" s="10"/>
      <c r="V524" s="10" t="str">
        <f t="shared" si="109"/>
        <v>Equals</v>
      </c>
      <c r="W524" s="11" t="str" cm="1">
        <f t="array" ref="W524">NumberToWords(T524)</f>
        <v>Zero Rupees Only</v>
      </c>
      <c r="X524" s="10" t="str">
        <f t="shared" si="105"/>
        <v>Division</v>
      </c>
      <c r="Z524" s="9">
        <f t="shared" si="110"/>
        <v>0</v>
      </c>
      <c r="AB524" s="8">
        <f>_xlfn.XLOOKUP(AA524, 'Agency List'!A$2:A$145, 'Agency List'!B$2:B$145, "Not Found")</f>
        <v>0</v>
      </c>
      <c r="AC524" s="8">
        <f>_xlfn.XLOOKUP(AA524, 'Agency List'!A$2:A$145, 'Agency List'!C$2:C$145, "Not Found")</f>
        <v>0</v>
      </c>
      <c r="AD524" s="8">
        <f>_xlfn.XLOOKUP(AA524, 'Agency List'!A$2:A$145, 'Agency List'!D$2:D$145, "Not Found")</f>
        <v>0</v>
      </c>
      <c r="AE524" s="7"/>
      <c r="AF524" s="5"/>
      <c r="AG524" s="5" t="str">
        <f t="shared" si="111"/>
        <v>Bandhkam</v>
      </c>
      <c r="AH524" s="55"/>
      <c r="AI524" s="49"/>
      <c r="AJ524" s="20"/>
      <c r="AL524" s="16"/>
      <c r="AM524" s="12">
        <f t="shared" si="112"/>
        <v>0</v>
      </c>
      <c r="AN524" s="7">
        <f t="shared" si="113"/>
        <v>450</v>
      </c>
      <c r="AO524" s="12">
        <f t="shared" si="114"/>
        <v>0</v>
      </c>
      <c r="AP524" s="12">
        <f t="shared" si="115"/>
        <v>0</v>
      </c>
      <c r="AQ524" s="15">
        <f t="shared" si="116"/>
        <v>35</v>
      </c>
      <c r="AR524" s="7">
        <f t="shared" si="117"/>
        <v>390</v>
      </c>
      <c r="AS524" s="5"/>
      <c r="AU524" s="5"/>
      <c r="AV524" s="17"/>
      <c r="AW524" s="17"/>
      <c r="AX524" s="5"/>
      <c r="AY524" s="5"/>
      <c r="AZ524" s="13"/>
      <c r="BA524" s="12"/>
      <c r="BB524" s="7"/>
      <c r="BC524" s="14"/>
      <c r="BD524" s="14"/>
      <c r="BF524" s="12"/>
      <c r="BG524" s="14"/>
      <c r="BH524" s="19"/>
      <c r="BI524" s="5"/>
      <c r="BM524" s="18"/>
      <c r="BN524" s="18"/>
      <c r="BO524" s="18"/>
      <c r="BP524" s="18"/>
      <c r="BQ524" s="5"/>
      <c r="BR524" s="18"/>
      <c r="BS524" s="18"/>
      <c r="BT524" s="35">
        <f t="shared" si="107"/>
        <v>-1</v>
      </c>
    </row>
    <row r="525" spans="1:72" x14ac:dyDescent="0.35">
      <c r="A525" s="5"/>
      <c r="B525" s="5"/>
      <c r="C525" s="5"/>
      <c r="D525" s="5"/>
      <c r="E525" s="5"/>
      <c r="F525" s="8"/>
      <c r="G525" s="8"/>
      <c r="H525" s="5"/>
      <c r="I525" s="5" t="e" cm="1">
        <f t="array" ref="I525">_xlfn.IFS(
  H525="Mahuva", "Mahuva",
  H525="Jesar", "Mahuva",
  H525="Palitana", "Palitana",
  H525="Gariyadhar", "Palitana",
  H525="Talaja", "Talaja",
  H525="Vallabhipur", "Vallabhipur",
  H525="Umrala", "Vallabhipur",
  H525="Shihor", "Shihor",
  H525="Ghogha", "Bhavnagar",
  H525="Bhavnagar", "Bhavnagar"
)</f>
        <v>#N/A</v>
      </c>
      <c r="J525" s="5"/>
      <c r="K525" s="5"/>
      <c r="M525" s="5"/>
      <c r="Q525" s="7">
        <f t="shared" si="108"/>
        <v>120</v>
      </c>
      <c r="S525" s="33"/>
      <c r="U525" s="10"/>
      <c r="V525" s="10" t="str">
        <f t="shared" si="109"/>
        <v>Equals</v>
      </c>
      <c r="W525" s="11" t="str" cm="1">
        <f t="array" ref="W525">NumberToWords(T525)</f>
        <v>Zero Rupees Only</v>
      </c>
      <c r="X525" s="10" t="str">
        <f t="shared" si="105"/>
        <v>Division</v>
      </c>
      <c r="Z525" s="9">
        <f t="shared" si="110"/>
        <v>0</v>
      </c>
      <c r="AB525" s="8">
        <f>_xlfn.XLOOKUP(AA525, 'Agency List'!A$2:A$145, 'Agency List'!B$2:B$145, "Not Found")</f>
        <v>0</v>
      </c>
      <c r="AC525" s="8">
        <f>_xlfn.XLOOKUP(AA525, 'Agency List'!A$2:A$145, 'Agency List'!C$2:C$145, "Not Found")</f>
        <v>0</v>
      </c>
      <c r="AD525" s="8">
        <f>_xlfn.XLOOKUP(AA525, 'Agency List'!A$2:A$145, 'Agency List'!D$2:D$145, "Not Found")</f>
        <v>0</v>
      </c>
      <c r="AE525" s="7"/>
      <c r="AF525" s="5"/>
      <c r="AG525" s="5" t="str">
        <f t="shared" si="111"/>
        <v>Bandhkam</v>
      </c>
      <c r="AH525" s="55"/>
      <c r="AI525" s="49"/>
      <c r="AJ525" s="20"/>
      <c r="AL525" s="16"/>
      <c r="AM525" s="12">
        <f t="shared" si="112"/>
        <v>0</v>
      </c>
      <c r="AN525" s="7">
        <f t="shared" si="113"/>
        <v>450</v>
      </c>
      <c r="AO525" s="12">
        <f t="shared" si="114"/>
        <v>0</v>
      </c>
      <c r="AP525" s="12">
        <f t="shared" si="115"/>
        <v>0</v>
      </c>
      <c r="AQ525" s="15">
        <f t="shared" si="116"/>
        <v>35</v>
      </c>
      <c r="AR525" s="7">
        <f t="shared" si="117"/>
        <v>390</v>
      </c>
      <c r="AS525" s="5"/>
      <c r="AU525" s="5"/>
      <c r="AV525" s="17"/>
      <c r="AW525" s="17"/>
      <c r="AX525" s="5"/>
      <c r="AY525" s="5"/>
      <c r="AZ525" s="13"/>
      <c r="BA525" s="12"/>
      <c r="BB525" s="7"/>
      <c r="BC525" s="14"/>
      <c r="BD525" s="14"/>
      <c r="BF525" s="12"/>
      <c r="BG525" s="14"/>
      <c r="BH525" s="19"/>
      <c r="BI525" s="5"/>
      <c r="BM525" s="18"/>
      <c r="BN525" s="18"/>
      <c r="BO525" s="18"/>
      <c r="BP525" s="18"/>
      <c r="BQ525" s="5"/>
      <c r="BR525" s="18"/>
      <c r="BS525" s="18"/>
      <c r="BT525" s="35">
        <f t="shared" si="107"/>
        <v>-1</v>
      </c>
    </row>
    <row r="526" spans="1:72" x14ac:dyDescent="0.35">
      <c r="A526" s="5"/>
      <c r="B526" s="5"/>
      <c r="C526" s="5"/>
      <c r="D526" s="5"/>
      <c r="E526" s="5"/>
      <c r="F526" s="8"/>
      <c r="G526" s="8"/>
      <c r="H526" s="5"/>
      <c r="I526" s="5" t="e" cm="1">
        <f t="array" ref="I526">_xlfn.IFS(
  H526="Mahuva", "Mahuva",
  H526="Jesar", "Mahuva",
  H526="Palitana", "Palitana",
  H526="Gariyadhar", "Palitana",
  H526="Talaja", "Talaja",
  H526="Vallabhipur", "Vallabhipur",
  H526="Umrala", "Vallabhipur",
  H526="Shihor", "Shihor",
  H526="Ghogha", "Bhavnagar",
  H526="Bhavnagar", "Bhavnagar"
)</f>
        <v>#N/A</v>
      </c>
      <c r="J526" s="5"/>
      <c r="K526" s="5"/>
      <c r="M526" s="5"/>
      <c r="Q526" s="7">
        <f t="shared" si="108"/>
        <v>120</v>
      </c>
      <c r="S526" s="33"/>
      <c r="U526" s="10"/>
      <c r="V526" s="10" t="str">
        <f t="shared" si="109"/>
        <v>Equals</v>
      </c>
      <c r="W526" s="11" t="str" cm="1">
        <f t="array" ref="W526">NumberToWords(T526)</f>
        <v>Zero Rupees Only</v>
      </c>
      <c r="X526" s="10" t="str">
        <f t="shared" si="105"/>
        <v>Division</v>
      </c>
      <c r="Z526" s="9">
        <f t="shared" si="110"/>
        <v>0</v>
      </c>
      <c r="AB526" s="8">
        <f>_xlfn.XLOOKUP(AA526, 'Agency List'!A$2:A$145, 'Agency List'!B$2:B$145, "Not Found")</f>
        <v>0</v>
      </c>
      <c r="AC526" s="8">
        <f>_xlfn.XLOOKUP(AA526, 'Agency List'!A$2:A$145, 'Agency List'!C$2:C$145, "Not Found")</f>
        <v>0</v>
      </c>
      <c r="AD526" s="8">
        <f>_xlfn.XLOOKUP(AA526, 'Agency List'!A$2:A$145, 'Agency List'!D$2:D$145, "Not Found")</f>
        <v>0</v>
      </c>
      <c r="AE526" s="7"/>
      <c r="AF526" s="5"/>
      <c r="AG526" s="5" t="str">
        <f t="shared" si="111"/>
        <v>Bandhkam</v>
      </c>
      <c r="AH526" s="55"/>
      <c r="AI526" s="49"/>
      <c r="AJ526" s="20"/>
      <c r="AL526" s="16"/>
      <c r="AM526" s="12">
        <f t="shared" si="112"/>
        <v>0</v>
      </c>
      <c r="AN526" s="7">
        <f t="shared" si="113"/>
        <v>450</v>
      </c>
      <c r="AO526" s="12">
        <f t="shared" si="114"/>
        <v>0</v>
      </c>
      <c r="AP526" s="12">
        <f t="shared" si="115"/>
        <v>0</v>
      </c>
      <c r="AQ526" s="15">
        <f t="shared" si="116"/>
        <v>35</v>
      </c>
      <c r="AR526" s="7">
        <f t="shared" si="117"/>
        <v>390</v>
      </c>
      <c r="AS526" s="5"/>
      <c r="AU526" s="5"/>
      <c r="AV526" s="17"/>
      <c r="AW526" s="17"/>
      <c r="AX526" s="5"/>
      <c r="AY526" s="5"/>
      <c r="AZ526" s="13"/>
      <c r="BA526" s="12"/>
      <c r="BB526" s="7"/>
      <c r="BC526" s="14"/>
      <c r="BD526" s="14"/>
      <c r="BF526" s="12"/>
      <c r="BG526" s="14"/>
      <c r="BH526" s="19"/>
      <c r="BI526" s="5"/>
      <c r="BM526" s="18"/>
      <c r="BN526" s="18"/>
      <c r="BO526" s="18"/>
      <c r="BP526" s="18"/>
      <c r="BQ526" s="5"/>
      <c r="BR526" s="18"/>
      <c r="BS526" s="18"/>
      <c r="BT526" s="35">
        <f t="shared" si="107"/>
        <v>-1</v>
      </c>
    </row>
    <row r="527" spans="1:72" x14ac:dyDescent="0.35">
      <c r="A527" s="5"/>
      <c r="B527" s="5"/>
      <c r="C527" s="5"/>
      <c r="D527" s="5"/>
      <c r="E527" s="5"/>
      <c r="F527" s="8"/>
      <c r="G527" s="8"/>
      <c r="H527" s="5"/>
      <c r="I527" s="5" t="e" cm="1">
        <f t="array" ref="I527">_xlfn.IFS(
  H527="Mahuva", "Mahuva",
  H527="Jesar", "Mahuva",
  H527="Palitana", "Palitana",
  H527="Gariyadhar", "Palitana",
  H527="Talaja", "Talaja",
  H527="Vallabhipur", "Vallabhipur",
  H527="Umrala", "Vallabhipur",
  H527="Shihor", "Shihor",
  H527="Ghogha", "Bhavnagar",
  H527="Bhavnagar", "Bhavnagar"
)</f>
        <v>#N/A</v>
      </c>
      <c r="J527" s="5"/>
      <c r="K527" s="5"/>
      <c r="M527" s="5"/>
      <c r="Q527" s="7">
        <f t="shared" si="108"/>
        <v>120</v>
      </c>
      <c r="S527" s="33"/>
      <c r="U527" s="10"/>
      <c r="V527" s="10" t="str">
        <f t="shared" si="109"/>
        <v>Equals</v>
      </c>
      <c r="W527" s="11" t="str" cm="1">
        <f t="array" ref="W527">NumberToWords(T527)</f>
        <v>Zero Rupees Only</v>
      </c>
      <c r="X527" s="10" t="str">
        <f t="shared" si="105"/>
        <v>Division</v>
      </c>
      <c r="Z527" s="9">
        <f t="shared" si="110"/>
        <v>0</v>
      </c>
      <c r="AB527" s="8">
        <f>_xlfn.XLOOKUP(AA527, 'Agency List'!A$2:A$145, 'Agency List'!B$2:B$145, "Not Found")</f>
        <v>0</v>
      </c>
      <c r="AC527" s="8">
        <f>_xlfn.XLOOKUP(AA527, 'Agency List'!A$2:A$145, 'Agency List'!C$2:C$145, "Not Found")</f>
        <v>0</v>
      </c>
      <c r="AD527" s="8">
        <f>_xlfn.XLOOKUP(AA527, 'Agency List'!A$2:A$145, 'Agency List'!D$2:D$145, "Not Found")</f>
        <v>0</v>
      </c>
      <c r="AE527" s="7"/>
      <c r="AF527" s="5"/>
      <c r="AG527" s="5" t="str">
        <f t="shared" si="111"/>
        <v>Bandhkam</v>
      </c>
      <c r="AH527" s="55"/>
      <c r="AI527" s="49"/>
      <c r="AJ527" s="20"/>
      <c r="AL527" s="16"/>
      <c r="AM527" s="12">
        <f t="shared" si="112"/>
        <v>0</v>
      </c>
      <c r="AN527" s="7">
        <f t="shared" si="113"/>
        <v>450</v>
      </c>
      <c r="AO527" s="12">
        <f t="shared" si="114"/>
        <v>0</v>
      </c>
      <c r="AP527" s="12">
        <f t="shared" si="115"/>
        <v>0</v>
      </c>
      <c r="AQ527" s="15">
        <f t="shared" si="116"/>
        <v>35</v>
      </c>
      <c r="AR527" s="7">
        <f t="shared" si="117"/>
        <v>390</v>
      </c>
      <c r="AS527" s="5"/>
      <c r="AU527" s="5"/>
      <c r="AV527" s="17"/>
      <c r="AW527" s="17"/>
      <c r="AX527" s="5"/>
      <c r="AY527" s="5"/>
      <c r="AZ527" s="13"/>
      <c r="BA527" s="12"/>
      <c r="BB527" s="7"/>
      <c r="BC527" s="14"/>
      <c r="BD527" s="14"/>
      <c r="BF527" s="12"/>
      <c r="BG527" s="14"/>
      <c r="BH527" s="19"/>
      <c r="BI527" s="5"/>
      <c r="BM527" s="18"/>
      <c r="BN527" s="18"/>
      <c r="BO527" s="18"/>
      <c r="BP527" s="18"/>
      <c r="BQ527" s="5"/>
      <c r="BR527" s="18"/>
      <c r="BS527" s="18"/>
      <c r="BT527" s="35">
        <f t="shared" si="107"/>
        <v>-1</v>
      </c>
    </row>
    <row r="528" spans="1:72" x14ac:dyDescent="0.35">
      <c r="A528" s="5"/>
      <c r="B528" s="5"/>
      <c r="C528" s="5"/>
      <c r="D528" s="5"/>
      <c r="E528" s="5"/>
      <c r="F528" s="8"/>
      <c r="G528" s="8"/>
      <c r="H528" s="5"/>
      <c r="I528" s="5" t="e" cm="1">
        <f t="array" ref="I528">_xlfn.IFS(
  H528="Mahuva", "Mahuva",
  H528="Jesar", "Mahuva",
  H528="Palitana", "Palitana",
  H528="Gariyadhar", "Palitana",
  H528="Talaja", "Talaja",
  H528="Vallabhipur", "Vallabhipur",
  H528="Umrala", "Vallabhipur",
  H528="Shihor", "Shihor",
  H528="Ghogha", "Bhavnagar",
  H528="Bhavnagar", "Bhavnagar"
)</f>
        <v>#N/A</v>
      </c>
      <c r="J528" s="5"/>
      <c r="K528" s="5"/>
      <c r="M528" s="5"/>
      <c r="Q528" s="7">
        <f t="shared" si="108"/>
        <v>120</v>
      </c>
      <c r="S528" s="33"/>
      <c r="U528" s="10"/>
      <c r="V528" s="10" t="str">
        <f t="shared" si="109"/>
        <v>Equals</v>
      </c>
      <c r="W528" s="11" t="str" cm="1">
        <f t="array" ref="W528">NumberToWords(T528)</f>
        <v>Zero Rupees Only</v>
      </c>
      <c r="X528" s="10" t="str">
        <f t="shared" si="105"/>
        <v>Division</v>
      </c>
      <c r="Z528" s="9">
        <f t="shared" si="110"/>
        <v>0</v>
      </c>
      <c r="AB528" s="8">
        <f>_xlfn.XLOOKUP(AA528, 'Agency List'!A$2:A$145, 'Agency List'!B$2:B$145, "Not Found")</f>
        <v>0</v>
      </c>
      <c r="AC528" s="8">
        <f>_xlfn.XLOOKUP(AA528, 'Agency List'!A$2:A$145, 'Agency List'!C$2:C$145, "Not Found")</f>
        <v>0</v>
      </c>
      <c r="AD528" s="8">
        <f>_xlfn.XLOOKUP(AA528, 'Agency List'!A$2:A$145, 'Agency List'!D$2:D$145, "Not Found")</f>
        <v>0</v>
      </c>
      <c r="AE528" s="7"/>
      <c r="AF528" s="5"/>
      <c r="AG528" s="5" t="str">
        <f t="shared" si="111"/>
        <v>Bandhkam</v>
      </c>
      <c r="AH528" s="55"/>
      <c r="AI528" s="49"/>
      <c r="AJ528" s="20"/>
      <c r="AL528" s="16"/>
      <c r="AM528" s="12">
        <f t="shared" si="112"/>
        <v>0</v>
      </c>
      <c r="AN528" s="7">
        <f t="shared" si="113"/>
        <v>450</v>
      </c>
      <c r="AO528" s="12">
        <f t="shared" si="114"/>
        <v>0</v>
      </c>
      <c r="AP528" s="12">
        <f t="shared" si="115"/>
        <v>0</v>
      </c>
      <c r="AQ528" s="15">
        <f t="shared" si="116"/>
        <v>35</v>
      </c>
      <c r="AR528" s="7">
        <f t="shared" si="117"/>
        <v>390</v>
      </c>
      <c r="AS528" s="5"/>
      <c r="AU528" s="5"/>
      <c r="AV528" s="17"/>
      <c r="AW528" s="17"/>
      <c r="AX528" s="5"/>
      <c r="AY528" s="5"/>
      <c r="AZ528" s="13"/>
      <c r="BA528" s="12"/>
      <c r="BB528" s="7"/>
      <c r="BC528" s="14"/>
      <c r="BD528" s="14"/>
      <c r="BF528" s="12"/>
      <c r="BG528" s="14"/>
      <c r="BH528" s="19"/>
      <c r="BI528" s="5"/>
      <c r="BM528" s="18"/>
      <c r="BN528" s="18"/>
      <c r="BO528" s="18"/>
      <c r="BP528" s="18"/>
      <c r="BQ528" s="5"/>
      <c r="BR528" s="18"/>
      <c r="BS528" s="18"/>
      <c r="BT528" s="35">
        <f t="shared" si="107"/>
        <v>-1</v>
      </c>
    </row>
    <row r="529" spans="1:72" x14ac:dyDescent="0.35">
      <c r="A529" s="5"/>
      <c r="B529" s="5"/>
      <c r="C529" s="5"/>
      <c r="D529" s="5"/>
      <c r="E529" s="5"/>
      <c r="F529" s="8"/>
      <c r="G529" s="8"/>
      <c r="H529" s="5"/>
      <c r="I529" s="5" t="e" cm="1">
        <f t="array" ref="I529">_xlfn.IFS(
  H529="Mahuva", "Mahuva",
  H529="Jesar", "Mahuva",
  H529="Palitana", "Palitana",
  H529="Gariyadhar", "Palitana",
  H529="Talaja", "Talaja",
  H529="Vallabhipur", "Vallabhipur",
  H529="Umrala", "Vallabhipur",
  H529="Shihor", "Shihor",
  H529="Ghogha", "Bhavnagar",
  H529="Bhavnagar", "Bhavnagar"
)</f>
        <v>#N/A</v>
      </c>
      <c r="J529" s="5"/>
      <c r="K529" s="5"/>
      <c r="M529" s="5"/>
      <c r="Q529" s="7">
        <f t="shared" si="108"/>
        <v>120</v>
      </c>
      <c r="S529" s="33"/>
      <c r="U529" s="10"/>
      <c r="V529" s="10" t="str">
        <f t="shared" si="109"/>
        <v>Equals</v>
      </c>
      <c r="W529" s="11" t="str" cm="1">
        <f t="array" ref="W529">NumberToWords(T529)</f>
        <v>Zero Rupees Only</v>
      </c>
      <c r="X529" s="10" t="str">
        <f t="shared" si="105"/>
        <v>Division</v>
      </c>
      <c r="Z529" s="9">
        <f t="shared" si="110"/>
        <v>0</v>
      </c>
      <c r="AB529" s="8">
        <f>_xlfn.XLOOKUP(AA529, 'Agency List'!A$2:A$145, 'Agency List'!B$2:B$145, "Not Found")</f>
        <v>0</v>
      </c>
      <c r="AC529" s="8">
        <f>_xlfn.XLOOKUP(AA529, 'Agency List'!A$2:A$145, 'Agency List'!C$2:C$145, "Not Found")</f>
        <v>0</v>
      </c>
      <c r="AD529" s="8">
        <f>_xlfn.XLOOKUP(AA529, 'Agency List'!A$2:A$145, 'Agency List'!D$2:D$145, "Not Found")</f>
        <v>0</v>
      </c>
      <c r="AE529" s="7"/>
      <c r="AF529" s="5"/>
      <c r="AG529" s="5" t="str">
        <f t="shared" si="111"/>
        <v>Bandhkam</v>
      </c>
      <c r="AH529" s="55"/>
      <c r="AI529" s="49"/>
      <c r="AJ529" s="20"/>
      <c r="AL529" s="16"/>
      <c r="AM529" s="12">
        <f t="shared" si="112"/>
        <v>0</v>
      </c>
      <c r="AN529" s="7">
        <f t="shared" si="113"/>
        <v>450</v>
      </c>
      <c r="AO529" s="12">
        <f t="shared" si="114"/>
        <v>0</v>
      </c>
      <c r="AP529" s="12">
        <f t="shared" si="115"/>
        <v>0</v>
      </c>
      <c r="AQ529" s="15">
        <f t="shared" si="116"/>
        <v>35</v>
      </c>
      <c r="AR529" s="7">
        <f t="shared" si="117"/>
        <v>390</v>
      </c>
      <c r="AS529" s="5"/>
      <c r="AU529" s="5"/>
      <c r="AV529" s="17"/>
      <c r="AW529" s="17"/>
      <c r="AX529" s="5"/>
      <c r="AY529" s="5"/>
      <c r="AZ529" s="13"/>
      <c r="BA529" s="12"/>
      <c r="BB529" s="7"/>
      <c r="BC529" s="14"/>
      <c r="BD529" s="14"/>
      <c r="BF529" s="12"/>
      <c r="BG529" s="14"/>
      <c r="BH529" s="19"/>
      <c r="BI529" s="5"/>
      <c r="BM529" s="18"/>
      <c r="BN529" s="18"/>
      <c r="BO529" s="18"/>
      <c r="BP529" s="18"/>
      <c r="BQ529" s="5"/>
      <c r="BR529" s="18"/>
      <c r="BS529" s="18"/>
      <c r="BT529" s="35">
        <f t="shared" si="107"/>
        <v>-1</v>
      </c>
    </row>
    <row r="530" spans="1:72" x14ac:dyDescent="0.35">
      <c r="A530" s="5"/>
      <c r="B530" s="5"/>
      <c r="C530" s="5"/>
      <c r="D530" s="5"/>
      <c r="E530" s="5"/>
      <c r="F530" s="8"/>
      <c r="G530" s="8"/>
      <c r="H530" s="5"/>
      <c r="I530" s="5" t="e" cm="1">
        <f t="array" ref="I530">_xlfn.IFS(
  H530="Mahuva", "Mahuva",
  H530="Jesar", "Mahuva",
  H530="Palitana", "Palitana",
  H530="Gariyadhar", "Palitana",
  H530="Talaja", "Talaja",
  H530="Vallabhipur", "Vallabhipur",
  H530="Umrala", "Vallabhipur",
  H530="Shihor", "Shihor",
  H530="Ghogha", "Bhavnagar",
  H530="Bhavnagar", "Bhavnagar"
)</f>
        <v>#N/A</v>
      </c>
      <c r="J530" s="5"/>
      <c r="K530" s="5"/>
      <c r="M530" s="5"/>
      <c r="Q530" s="7">
        <f t="shared" si="108"/>
        <v>120</v>
      </c>
      <c r="S530" s="33"/>
      <c r="U530" s="10"/>
      <c r="V530" s="10" t="str">
        <f t="shared" si="109"/>
        <v>Equals</v>
      </c>
      <c r="W530" s="11" t="str" cm="1">
        <f t="array" ref="W530">NumberToWords(T530)</f>
        <v>Zero Rupees Only</v>
      </c>
      <c r="X530" s="10" t="str">
        <f t="shared" si="105"/>
        <v>Division</v>
      </c>
      <c r="Z530" s="9">
        <f t="shared" si="110"/>
        <v>0</v>
      </c>
      <c r="AB530" s="8">
        <f>_xlfn.XLOOKUP(AA530, 'Agency List'!A$2:A$145, 'Agency List'!B$2:B$145, "Not Found")</f>
        <v>0</v>
      </c>
      <c r="AC530" s="8">
        <f>_xlfn.XLOOKUP(AA530, 'Agency List'!A$2:A$145, 'Agency List'!C$2:C$145, "Not Found")</f>
        <v>0</v>
      </c>
      <c r="AD530" s="8">
        <f>_xlfn.XLOOKUP(AA530, 'Agency List'!A$2:A$145, 'Agency List'!D$2:D$145, "Not Found")</f>
        <v>0</v>
      </c>
      <c r="AE530" s="7"/>
      <c r="AF530" s="5"/>
      <c r="AG530" s="5" t="str">
        <f t="shared" si="111"/>
        <v>Bandhkam</v>
      </c>
      <c r="AH530" s="55"/>
      <c r="AI530" s="49"/>
      <c r="AJ530" s="20"/>
      <c r="AL530" s="16"/>
      <c r="AM530" s="12">
        <f t="shared" si="112"/>
        <v>0</v>
      </c>
      <c r="AN530" s="7">
        <f t="shared" si="113"/>
        <v>450</v>
      </c>
      <c r="AO530" s="12">
        <f t="shared" si="114"/>
        <v>0</v>
      </c>
      <c r="AP530" s="12">
        <f t="shared" si="115"/>
        <v>0</v>
      </c>
      <c r="AQ530" s="15">
        <f t="shared" si="116"/>
        <v>35</v>
      </c>
      <c r="AR530" s="7">
        <f t="shared" si="117"/>
        <v>390</v>
      </c>
      <c r="AS530" s="5"/>
      <c r="AU530" s="5"/>
      <c r="AV530" s="17"/>
      <c r="AW530" s="17"/>
      <c r="AX530" s="5"/>
      <c r="AY530" s="5"/>
      <c r="AZ530" s="13"/>
      <c r="BA530" s="12"/>
      <c r="BB530" s="7"/>
      <c r="BC530" s="14"/>
      <c r="BD530" s="14"/>
      <c r="BF530" s="12"/>
      <c r="BG530" s="14"/>
      <c r="BH530" s="19"/>
      <c r="BI530" s="5"/>
      <c r="BM530" s="18"/>
      <c r="BN530" s="18"/>
      <c r="BO530" s="18"/>
      <c r="BP530" s="18"/>
      <c r="BQ530" s="5"/>
      <c r="BR530" s="18"/>
      <c r="BS530" s="18"/>
      <c r="BT530" s="35">
        <f t="shared" si="107"/>
        <v>-1</v>
      </c>
    </row>
    <row r="531" spans="1:72" x14ac:dyDescent="0.35">
      <c r="A531" s="5"/>
      <c r="B531" s="5"/>
      <c r="C531" s="5"/>
      <c r="D531" s="5"/>
      <c r="E531" s="5"/>
      <c r="F531" s="8"/>
      <c r="G531" s="8"/>
      <c r="H531" s="5"/>
      <c r="I531" s="5" t="e" cm="1">
        <f t="array" ref="I531">_xlfn.IFS(
  H531="Mahuva", "Mahuva",
  H531="Jesar", "Mahuva",
  H531="Palitana", "Palitana",
  H531="Gariyadhar", "Palitana",
  H531="Talaja", "Talaja",
  H531="Vallabhipur", "Vallabhipur",
  H531="Umrala", "Vallabhipur",
  H531="Shihor", "Shihor",
  H531="Ghogha", "Bhavnagar",
  H531="Bhavnagar", "Bhavnagar"
)</f>
        <v>#N/A</v>
      </c>
      <c r="J531" s="5"/>
      <c r="K531" s="5"/>
      <c r="M531" s="5"/>
      <c r="Q531" s="7">
        <f t="shared" si="108"/>
        <v>120</v>
      </c>
      <c r="S531" s="33"/>
      <c r="U531" s="10"/>
      <c r="V531" s="10" t="str">
        <f t="shared" si="109"/>
        <v>Equals</v>
      </c>
      <c r="W531" s="11" t="str" cm="1">
        <f t="array" ref="W531">NumberToWords(T531)</f>
        <v>Zero Rupees Only</v>
      </c>
      <c r="X531" s="10" t="str">
        <f t="shared" si="105"/>
        <v>Division</v>
      </c>
      <c r="Z531" s="9">
        <f t="shared" si="110"/>
        <v>0</v>
      </c>
      <c r="AB531" s="8">
        <f>_xlfn.XLOOKUP(AA531, 'Agency List'!A$2:A$145, 'Agency List'!B$2:B$145, "Not Found")</f>
        <v>0</v>
      </c>
      <c r="AC531" s="8">
        <f>_xlfn.XLOOKUP(AA531, 'Agency List'!A$2:A$145, 'Agency List'!C$2:C$145, "Not Found")</f>
        <v>0</v>
      </c>
      <c r="AD531" s="8">
        <f>_xlfn.XLOOKUP(AA531, 'Agency List'!A$2:A$145, 'Agency List'!D$2:D$145, "Not Found")</f>
        <v>0</v>
      </c>
      <c r="AE531" s="7"/>
      <c r="AF531" s="5"/>
      <c r="AG531" s="5" t="str">
        <f t="shared" si="111"/>
        <v>Bandhkam</v>
      </c>
      <c r="AH531" s="55"/>
      <c r="AI531" s="49"/>
      <c r="AJ531" s="20"/>
      <c r="AL531" s="16"/>
      <c r="AM531" s="12">
        <f t="shared" si="112"/>
        <v>0</v>
      </c>
      <c r="AN531" s="7">
        <f t="shared" si="113"/>
        <v>450</v>
      </c>
      <c r="AO531" s="12">
        <f t="shared" si="114"/>
        <v>0</v>
      </c>
      <c r="AP531" s="12">
        <f t="shared" si="115"/>
        <v>0</v>
      </c>
      <c r="AQ531" s="15">
        <f t="shared" si="116"/>
        <v>35</v>
      </c>
      <c r="AR531" s="7">
        <f t="shared" si="117"/>
        <v>390</v>
      </c>
      <c r="AS531" s="5"/>
      <c r="AU531" s="5"/>
      <c r="AV531" s="17"/>
      <c r="AW531" s="17"/>
      <c r="AX531" s="5"/>
      <c r="AY531" s="5"/>
      <c r="AZ531" s="13"/>
      <c r="BA531" s="12"/>
      <c r="BB531" s="7"/>
      <c r="BC531" s="14"/>
      <c r="BD531" s="14"/>
      <c r="BF531" s="12"/>
      <c r="BG531" s="14"/>
      <c r="BH531" s="19"/>
      <c r="BI531" s="5"/>
      <c r="BM531" s="18"/>
      <c r="BN531" s="18"/>
      <c r="BO531" s="18"/>
      <c r="BP531" s="18"/>
      <c r="BQ531" s="5"/>
      <c r="BR531" s="18"/>
      <c r="BS531" s="18"/>
      <c r="BT531" s="35">
        <f t="shared" si="107"/>
        <v>-1</v>
      </c>
    </row>
    <row r="532" spans="1:72" x14ac:dyDescent="0.35">
      <c r="A532" s="5"/>
      <c r="B532" s="5"/>
      <c r="C532" s="5"/>
      <c r="D532" s="5"/>
      <c r="E532" s="5"/>
      <c r="F532" s="8"/>
      <c r="G532" s="8"/>
      <c r="H532" s="5"/>
      <c r="I532" s="5" t="e" cm="1">
        <f t="array" ref="I532">_xlfn.IFS(
  H532="Mahuva", "Mahuva",
  H532="Jesar", "Mahuva",
  H532="Palitana", "Palitana",
  H532="Gariyadhar", "Palitana",
  H532="Talaja", "Talaja",
  H532="Vallabhipur", "Vallabhipur",
  H532="Umrala", "Vallabhipur",
  H532="Shihor", "Shihor",
  H532="Ghogha", "Bhavnagar",
  H532="Bhavnagar", "Bhavnagar"
)</f>
        <v>#N/A</v>
      </c>
      <c r="J532" s="5"/>
      <c r="K532" s="5"/>
      <c r="M532" s="5"/>
      <c r="Q532" s="7">
        <f t="shared" si="108"/>
        <v>120</v>
      </c>
      <c r="S532" s="33"/>
      <c r="U532" s="10"/>
      <c r="V532" s="10" t="str">
        <f t="shared" si="109"/>
        <v>Equals</v>
      </c>
      <c r="W532" s="11" t="str" cm="1">
        <f t="array" ref="W532">NumberToWords(T532)</f>
        <v>Zero Rupees Only</v>
      </c>
      <c r="X532" s="10" t="str">
        <f t="shared" si="105"/>
        <v>Division</v>
      </c>
      <c r="Z532" s="9">
        <f t="shared" si="110"/>
        <v>0</v>
      </c>
      <c r="AB532" s="8">
        <f>_xlfn.XLOOKUP(AA532, 'Agency List'!A$2:A$145, 'Agency List'!B$2:B$145, "Not Found")</f>
        <v>0</v>
      </c>
      <c r="AC532" s="8">
        <f>_xlfn.XLOOKUP(AA532, 'Agency List'!A$2:A$145, 'Agency List'!C$2:C$145, "Not Found")</f>
        <v>0</v>
      </c>
      <c r="AD532" s="8">
        <f>_xlfn.XLOOKUP(AA532, 'Agency List'!A$2:A$145, 'Agency List'!D$2:D$145, "Not Found")</f>
        <v>0</v>
      </c>
      <c r="AE532" s="7"/>
      <c r="AF532" s="5"/>
      <c r="AG532" s="5" t="str">
        <f t="shared" si="111"/>
        <v>Bandhkam</v>
      </c>
      <c r="AH532" s="55"/>
      <c r="AI532" s="49"/>
      <c r="AJ532" s="20"/>
      <c r="AL532" s="16"/>
      <c r="AM532" s="12">
        <f t="shared" si="112"/>
        <v>0</v>
      </c>
      <c r="AN532" s="7">
        <f t="shared" si="113"/>
        <v>450</v>
      </c>
      <c r="AO532" s="12">
        <f t="shared" si="114"/>
        <v>0</v>
      </c>
      <c r="AP532" s="12">
        <f t="shared" si="115"/>
        <v>0</v>
      </c>
      <c r="AQ532" s="15">
        <f t="shared" si="116"/>
        <v>35</v>
      </c>
      <c r="AR532" s="7">
        <f t="shared" si="117"/>
        <v>390</v>
      </c>
      <c r="AS532" s="5"/>
      <c r="AU532" s="5"/>
      <c r="AV532" s="17"/>
      <c r="AW532" s="17"/>
      <c r="AX532" s="5"/>
      <c r="AY532" s="5"/>
      <c r="AZ532" s="13"/>
      <c r="BA532" s="12"/>
      <c r="BB532" s="7"/>
      <c r="BC532" s="14"/>
      <c r="BD532" s="14"/>
      <c r="BF532" s="12"/>
      <c r="BG532" s="14"/>
      <c r="BH532" s="19"/>
      <c r="BI532" s="5"/>
      <c r="BM532" s="18"/>
      <c r="BN532" s="18"/>
      <c r="BO532" s="18"/>
      <c r="BP532" s="18"/>
      <c r="BQ532" s="5"/>
      <c r="BR532" s="18"/>
      <c r="BS532" s="18"/>
      <c r="BT532" s="35">
        <f t="shared" si="107"/>
        <v>-1</v>
      </c>
    </row>
    <row r="533" spans="1:72" x14ac:dyDescent="0.35">
      <c r="A533" s="5"/>
      <c r="B533" s="5"/>
      <c r="C533" s="5"/>
      <c r="D533" s="5"/>
      <c r="E533" s="5"/>
      <c r="F533" s="8"/>
      <c r="G533" s="8"/>
      <c r="H533" s="5"/>
      <c r="I533" s="5" t="e" cm="1">
        <f t="array" ref="I533">_xlfn.IFS(
  H533="Mahuva", "Mahuva",
  H533="Jesar", "Mahuva",
  H533="Palitana", "Palitana",
  H533="Gariyadhar", "Palitana",
  H533="Talaja", "Talaja",
  H533="Vallabhipur", "Vallabhipur",
  H533="Umrala", "Vallabhipur",
  H533="Shihor", "Shihor",
  H533="Ghogha", "Bhavnagar",
  H533="Bhavnagar", "Bhavnagar"
)</f>
        <v>#N/A</v>
      </c>
      <c r="J533" s="5"/>
      <c r="K533" s="5"/>
      <c r="M533" s="5"/>
      <c r="Q533" s="7">
        <f t="shared" si="108"/>
        <v>120</v>
      </c>
      <c r="S533" s="33"/>
      <c r="U533" s="10"/>
      <c r="V533" s="10" t="str">
        <f t="shared" si="109"/>
        <v>Equals</v>
      </c>
      <c r="W533" s="11" t="str" cm="1">
        <f t="array" ref="W533">NumberToWords(T533)</f>
        <v>Zero Rupees Only</v>
      </c>
      <c r="X533" s="10" t="str">
        <f t="shared" si="105"/>
        <v>Division</v>
      </c>
      <c r="Z533" s="9">
        <f t="shared" si="110"/>
        <v>0</v>
      </c>
      <c r="AB533" s="8">
        <f>_xlfn.XLOOKUP(AA533, 'Agency List'!A$2:A$145, 'Agency List'!B$2:B$145, "Not Found")</f>
        <v>0</v>
      </c>
      <c r="AC533" s="8">
        <f>_xlfn.XLOOKUP(AA533, 'Agency List'!A$2:A$145, 'Agency List'!C$2:C$145, "Not Found")</f>
        <v>0</v>
      </c>
      <c r="AD533" s="8">
        <f>_xlfn.XLOOKUP(AA533, 'Agency List'!A$2:A$145, 'Agency List'!D$2:D$145, "Not Found")</f>
        <v>0</v>
      </c>
      <c r="AE533" s="7"/>
      <c r="AF533" s="5"/>
      <c r="AG533" s="5" t="str">
        <f t="shared" si="111"/>
        <v>Bandhkam</v>
      </c>
      <c r="AH533" s="55"/>
      <c r="AI533" s="49"/>
      <c r="AJ533" s="20"/>
      <c r="AL533" s="16"/>
      <c r="AM533" s="12">
        <f t="shared" si="112"/>
        <v>0</v>
      </c>
      <c r="AN533" s="7">
        <f t="shared" si="113"/>
        <v>450</v>
      </c>
      <c r="AO533" s="12">
        <f t="shared" si="114"/>
        <v>0</v>
      </c>
      <c r="AP533" s="12">
        <f t="shared" si="115"/>
        <v>0</v>
      </c>
      <c r="AQ533" s="15">
        <f t="shared" si="116"/>
        <v>35</v>
      </c>
      <c r="AR533" s="7">
        <f t="shared" si="117"/>
        <v>390</v>
      </c>
      <c r="AS533" s="5"/>
      <c r="AU533" s="5"/>
      <c r="AV533" s="17"/>
      <c r="AW533" s="17"/>
      <c r="AX533" s="5"/>
      <c r="AY533" s="5"/>
      <c r="AZ533" s="13"/>
      <c r="BA533" s="12"/>
      <c r="BB533" s="7"/>
      <c r="BC533" s="14"/>
      <c r="BD533" s="14"/>
      <c r="BF533" s="12"/>
      <c r="BG533" s="14"/>
      <c r="BH533" s="19"/>
      <c r="BI533" s="5"/>
      <c r="BM533" s="18"/>
      <c r="BN533" s="18"/>
      <c r="BO533" s="18"/>
      <c r="BP533" s="18"/>
      <c r="BQ533" s="5"/>
      <c r="BR533" s="18"/>
      <c r="BS533" s="18"/>
      <c r="BT533" s="35">
        <f t="shared" si="107"/>
        <v>-1</v>
      </c>
    </row>
    <row r="534" spans="1:72" x14ac:dyDescent="0.35">
      <c r="A534" s="5"/>
      <c r="B534" s="5"/>
      <c r="C534" s="5"/>
      <c r="D534" s="5"/>
      <c r="E534" s="5"/>
      <c r="F534" s="8"/>
      <c r="G534" s="8"/>
      <c r="H534" s="5"/>
      <c r="I534" s="5" t="e" cm="1">
        <f t="array" ref="I534">_xlfn.IFS(
  H534="Mahuva", "Mahuva",
  H534="Jesar", "Mahuva",
  H534="Palitana", "Palitana",
  H534="Gariyadhar", "Palitana",
  H534="Talaja", "Talaja",
  H534="Vallabhipur", "Vallabhipur",
  H534="Umrala", "Vallabhipur",
  H534="Shihor", "Shihor",
  H534="Ghogha", "Bhavnagar",
  H534="Bhavnagar", "Bhavnagar"
)</f>
        <v>#N/A</v>
      </c>
      <c r="J534" s="5"/>
      <c r="K534" s="5"/>
      <c r="M534" s="5"/>
      <c r="Q534" s="7">
        <f t="shared" si="108"/>
        <v>120</v>
      </c>
      <c r="S534" s="33"/>
      <c r="U534" s="10"/>
      <c r="V534" s="10" t="str">
        <f t="shared" si="109"/>
        <v>Equals</v>
      </c>
      <c r="W534" s="11" t="str" cm="1">
        <f t="array" ref="W534">NumberToWords(T534)</f>
        <v>Zero Rupees Only</v>
      </c>
      <c r="X534" s="10" t="str">
        <f t="shared" si="105"/>
        <v>Division</v>
      </c>
      <c r="Z534" s="9">
        <f t="shared" si="110"/>
        <v>0</v>
      </c>
      <c r="AB534" s="8">
        <f>_xlfn.XLOOKUP(AA534, 'Agency List'!A$2:A$145, 'Agency List'!B$2:B$145, "Not Found")</f>
        <v>0</v>
      </c>
      <c r="AC534" s="8">
        <f>_xlfn.XLOOKUP(AA534, 'Agency List'!A$2:A$145, 'Agency List'!C$2:C$145, "Not Found")</f>
        <v>0</v>
      </c>
      <c r="AD534" s="8">
        <f>_xlfn.XLOOKUP(AA534, 'Agency List'!A$2:A$145, 'Agency List'!D$2:D$145, "Not Found")</f>
        <v>0</v>
      </c>
      <c r="AE534" s="7"/>
      <c r="AF534" s="5"/>
      <c r="AG534" s="5" t="str">
        <f t="shared" si="111"/>
        <v>Bandhkam</v>
      </c>
      <c r="AH534" s="55"/>
      <c r="AI534" s="49"/>
      <c r="AJ534" s="20"/>
      <c r="AL534" s="16"/>
      <c r="AM534" s="12">
        <f t="shared" si="112"/>
        <v>0</v>
      </c>
      <c r="AN534" s="7">
        <f t="shared" si="113"/>
        <v>450</v>
      </c>
      <c r="AO534" s="12">
        <f t="shared" si="114"/>
        <v>0</v>
      </c>
      <c r="AP534" s="12">
        <f t="shared" si="115"/>
        <v>0</v>
      </c>
      <c r="AQ534" s="15">
        <f t="shared" si="116"/>
        <v>35</v>
      </c>
      <c r="AR534" s="7">
        <f t="shared" si="117"/>
        <v>390</v>
      </c>
      <c r="AS534" s="5"/>
      <c r="AU534" s="5"/>
      <c r="AV534" s="17"/>
      <c r="AW534" s="17"/>
      <c r="AX534" s="5"/>
      <c r="AY534" s="5"/>
      <c r="AZ534" s="13"/>
      <c r="BA534" s="12"/>
      <c r="BB534" s="7"/>
      <c r="BC534" s="14"/>
      <c r="BD534" s="14"/>
      <c r="BF534" s="12"/>
      <c r="BG534" s="14"/>
      <c r="BH534" s="19"/>
      <c r="BI534" s="5"/>
      <c r="BM534" s="18"/>
      <c r="BN534" s="18"/>
      <c r="BO534" s="18"/>
      <c r="BP534" s="18"/>
      <c r="BQ534" s="5"/>
      <c r="BR534" s="18"/>
      <c r="BS534" s="18"/>
      <c r="BT534" s="35">
        <f t="shared" si="107"/>
        <v>-1</v>
      </c>
    </row>
    <row r="535" spans="1:72" x14ac:dyDescent="0.35">
      <c r="A535" s="5"/>
      <c r="B535" s="5"/>
      <c r="C535" s="5"/>
      <c r="D535" s="5"/>
      <c r="E535" s="5"/>
      <c r="F535" s="8"/>
      <c r="G535" s="8"/>
      <c r="H535" s="5"/>
      <c r="I535" s="5" t="e" cm="1">
        <f t="array" ref="I535">_xlfn.IFS(
  H535="Mahuva", "Mahuva",
  H535="Jesar", "Mahuva",
  H535="Palitana", "Palitana",
  H535="Gariyadhar", "Palitana",
  H535="Talaja", "Talaja",
  H535="Vallabhipur", "Vallabhipur",
  H535="Umrala", "Vallabhipur",
  H535="Shihor", "Shihor",
  H535="Ghogha", "Bhavnagar",
  H535="Bhavnagar", "Bhavnagar"
)</f>
        <v>#N/A</v>
      </c>
      <c r="J535" s="5"/>
      <c r="K535" s="5"/>
      <c r="M535" s="5"/>
      <c r="Q535" s="7">
        <f t="shared" si="108"/>
        <v>120</v>
      </c>
      <c r="S535" s="33"/>
      <c r="U535" s="10"/>
      <c r="V535" s="10" t="str">
        <f t="shared" si="109"/>
        <v>Equals</v>
      </c>
      <c r="W535" s="11" t="str" cm="1">
        <f t="array" ref="W535">NumberToWords(T535)</f>
        <v>Zero Rupees Only</v>
      </c>
      <c r="X535" s="10" t="str">
        <f t="shared" si="105"/>
        <v>Division</v>
      </c>
      <c r="Z535" s="9">
        <f t="shared" si="110"/>
        <v>0</v>
      </c>
      <c r="AB535" s="8">
        <f>_xlfn.XLOOKUP(AA535, 'Agency List'!A$2:A$145, 'Agency List'!B$2:B$145, "Not Found")</f>
        <v>0</v>
      </c>
      <c r="AC535" s="8">
        <f>_xlfn.XLOOKUP(AA535, 'Agency List'!A$2:A$145, 'Agency List'!C$2:C$145, "Not Found")</f>
        <v>0</v>
      </c>
      <c r="AD535" s="8">
        <f>_xlfn.XLOOKUP(AA535, 'Agency List'!A$2:A$145, 'Agency List'!D$2:D$145, "Not Found")</f>
        <v>0</v>
      </c>
      <c r="AE535" s="7"/>
      <c r="AF535" s="5"/>
      <c r="AG535" s="5" t="str">
        <f t="shared" si="111"/>
        <v>Bandhkam</v>
      </c>
      <c r="AH535" s="55"/>
      <c r="AI535" s="49"/>
      <c r="AJ535" s="20"/>
      <c r="AL535" s="16"/>
      <c r="AM535" s="12">
        <f t="shared" si="112"/>
        <v>0</v>
      </c>
      <c r="AN535" s="7">
        <f t="shared" si="113"/>
        <v>450</v>
      </c>
      <c r="AO535" s="12">
        <f t="shared" si="114"/>
        <v>0</v>
      </c>
      <c r="AP535" s="12">
        <f t="shared" si="115"/>
        <v>0</v>
      </c>
      <c r="AQ535" s="15">
        <f t="shared" si="116"/>
        <v>35</v>
      </c>
      <c r="AR535" s="7">
        <f t="shared" si="117"/>
        <v>390</v>
      </c>
      <c r="AS535" s="5"/>
      <c r="AU535" s="5"/>
      <c r="AV535" s="17"/>
      <c r="AW535" s="17"/>
      <c r="AX535" s="5"/>
      <c r="AY535" s="5"/>
      <c r="AZ535" s="13"/>
      <c r="BA535" s="12"/>
      <c r="BB535" s="7"/>
      <c r="BC535" s="14"/>
      <c r="BD535" s="14"/>
      <c r="BF535" s="12"/>
      <c r="BG535" s="14"/>
      <c r="BH535" s="19"/>
      <c r="BI535" s="5"/>
      <c r="BM535" s="18"/>
      <c r="BN535" s="18"/>
      <c r="BO535" s="18"/>
      <c r="BP535" s="18"/>
      <c r="BQ535" s="5"/>
      <c r="BR535" s="18"/>
      <c r="BS535" s="18"/>
      <c r="BT535" s="35">
        <f t="shared" si="107"/>
        <v>-1</v>
      </c>
    </row>
    <row r="536" spans="1:72" x14ac:dyDescent="0.35">
      <c r="A536" s="5"/>
      <c r="B536" s="5"/>
      <c r="C536" s="5"/>
      <c r="D536" s="5"/>
      <c r="E536" s="5"/>
      <c r="F536" s="8"/>
      <c r="G536" s="8"/>
      <c r="H536" s="5"/>
      <c r="I536" s="5" t="e" cm="1">
        <f t="array" ref="I536">_xlfn.IFS(
  H536="Mahuva", "Mahuva",
  H536="Jesar", "Mahuva",
  H536="Palitana", "Palitana",
  H536="Gariyadhar", "Palitana",
  H536="Talaja", "Talaja",
  H536="Vallabhipur", "Vallabhipur",
  H536="Umrala", "Vallabhipur",
  H536="Shihor", "Shihor",
  H536="Ghogha", "Bhavnagar",
  H536="Bhavnagar", "Bhavnagar"
)</f>
        <v>#N/A</v>
      </c>
      <c r="J536" s="5"/>
      <c r="K536" s="5"/>
      <c r="M536" s="5"/>
      <c r="Q536" s="7">
        <f t="shared" si="108"/>
        <v>120</v>
      </c>
      <c r="S536" s="33"/>
      <c r="U536" s="10"/>
      <c r="V536" s="10" t="str">
        <f t="shared" si="109"/>
        <v>Equals</v>
      </c>
      <c r="W536" s="11" t="str" cm="1">
        <f t="array" ref="W536">NumberToWords(T536)</f>
        <v>Zero Rupees Only</v>
      </c>
      <c r="X536" s="10" t="str">
        <f t="shared" si="105"/>
        <v>Division</v>
      </c>
      <c r="Z536" s="9">
        <f t="shared" si="110"/>
        <v>0</v>
      </c>
      <c r="AB536" s="8">
        <f>_xlfn.XLOOKUP(AA536, 'Agency List'!A$2:A$145, 'Agency List'!B$2:B$145, "Not Found")</f>
        <v>0</v>
      </c>
      <c r="AC536" s="8">
        <f>_xlfn.XLOOKUP(AA536, 'Agency List'!A$2:A$145, 'Agency List'!C$2:C$145, "Not Found")</f>
        <v>0</v>
      </c>
      <c r="AD536" s="8">
        <f>_xlfn.XLOOKUP(AA536, 'Agency List'!A$2:A$145, 'Agency List'!D$2:D$145, "Not Found")</f>
        <v>0</v>
      </c>
      <c r="AE536" s="7"/>
      <c r="AF536" s="5"/>
      <c r="AG536" s="5" t="str">
        <f t="shared" si="111"/>
        <v>Bandhkam</v>
      </c>
      <c r="AH536" s="55"/>
      <c r="AI536" s="49"/>
      <c r="AJ536" s="20"/>
      <c r="AL536" s="16"/>
      <c r="AM536" s="12">
        <f t="shared" si="112"/>
        <v>0</v>
      </c>
      <c r="AN536" s="7">
        <f t="shared" si="113"/>
        <v>450</v>
      </c>
      <c r="AO536" s="12">
        <f t="shared" si="114"/>
        <v>0</v>
      </c>
      <c r="AP536" s="12">
        <f t="shared" si="115"/>
        <v>0</v>
      </c>
      <c r="AQ536" s="15">
        <f t="shared" si="116"/>
        <v>35</v>
      </c>
      <c r="AR536" s="7">
        <f t="shared" si="117"/>
        <v>390</v>
      </c>
      <c r="AS536" s="5"/>
      <c r="AU536" s="5"/>
      <c r="AV536" s="17"/>
      <c r="AW536" s="17"/>
      <c r="AX536" s="5"/>
      <c r="AY536" s="5"/>
      <c r="AZ536" s="13"/>
      <c r="BA536" s="12"/>
      <c r="BB536" s="7"/>
      <c r="BC536" s="14"/>
      <c r="BD536" s="14"/>
      <c r="BF536" s="12"/>
      <c r="BG536" s="14"/>
      <c r="BH536" s="19"/>
      <c r="BI536" s="5"/>
      <c r="BM536" s="18"/>
      <c r="BN536" s="18"/>
      <c r="BO536" s="18"/>
      <c r="BP536" s="18"/>
      <c r="BQ536" s="5"/>
      <c r="BR536" s="18"/>
      <c r="BS536" s="18"/>
      <c r="BT536" s="35">
        <f t="shared" si="107"/>
        <v>-1</v>
      </c>
    </row>
    <row r="537" spans="1:72" x14ac:dyDescent="0.35">
      <c r="A537" s="5"/>
      <c r="B537" s="5"/>
      <c r="C537" s="5"/>
      <c r="D537" s="5"/>
      <c r="E537" s="5"/>
      <c r="F537" s="8"/>
      <c r="G537" s="8"/>
      <c r="H537" s="5"/>
      <c r="I537" s="5" t="e" cm="1">
        <f t="array" ref="I537">_xlfn.IFS(
  H537="Mahuva", "Mahuva",
  H537="Jesar", "Mahuva",
  H537="Palitana", "Palitana",
  H537="Gariyadhar", "Palitana",
  H537="Talaja", "Talaja",
  H537="Vallabhipur", "Vallabhipur",
  H537="Umrala", "Vallabhipur",
  H537="Shihor", "Shihor",
  H537="Ghogha", "Bhavnagar",
  H537="Bhavnagar", "Bhavnagar"
)</f>
        <v>#N/A</v>
      </c>
      <c r="J537" s="5"/>
      <c r="K537" s="5"/>
      <c r="M537" s="5"/>
      <c r="Q537" s="7">
        <f t="shared" si="108"/>
        <v>120</v>
      </c>
      <c r="S537" s="33"/>
      <c r="U537" s="10"/>
      <c r="V537" s="10" t="str">
        <f t="shared" si="109"/>
        <v>Equals</v>
      </c>
      <c r="W537" s="11" t="str" cm="1">
        <f t="array" ref="W537">NumberToWords(T537)</f>
        <v>Zero Rupees Only</v>
      </c>
      <c r="X537" s="10" t="str">
        <f t="shared" si="105"/>
        <v>Division</v>
      </c>
      <c r="Z537" s="9">
        <f t="shared" si="110"/>
        <v>0</v>
      </c>
      <c r="AB537" s="8">
        <f>_xlfn.XLOOKUP(AA537, 'Agency List'!A$2:A$145, 'Agency List'!B$2:B$145, "Not Found")</f>
        <v>0</v>
      </c>
      <c r="AC537" s="8">
        <f>_xlfn.XLOOKUP(AA537, 'Agency List'!A$2:A$145, 'Agency List'!C$2:C$145, "Not Found")</f>
        <v>0</v>
      </c>
      <c r="AD537" s="8">
        <f>_xlfn.XLOOKUP(AA537, 'Agency List'!A$2:A$145, 'Agency List'!D$2:D$145, "Not Found")</f>
        <v>0</v>
      </c>
      <c r="AE537" s="7"/>
      <c r="AF537" s="5"/>
      <c r="AG537" s="5" t="str">
        <f t="shared" si="111"/>
        <v>Bandhkam</v>
      </c>
      <c r="AH537" s="55"/>
      <c r="AI537" s="49"/>
      <c r="AJ537" s="20"/>
      <c r="AL537" s="16"/>
      <c r="AM537" s="12">
        <f t="shared" si="112"/>
        <v>0</v>
      </c>
      <c r="AN537" s="7">
        <f t="shared" si="113"/>
        <v>450</v>
      </c>
      <c r="AO537" s="12">
        <f t="shared" si="114"/>
        <v>0</v>
      </c>
      <c r="AP537" s="12">
        <f t="shared" si="115"/>
        <v>0</v>
      </c>
      <c r="AQ537" s="15">
        <f t="shared" si="116"/>
        <v>35</v>
      </c>
      <c r="AR537" s="7">
        <f t="shared" si="117"/>
        <v>390</v>
      </c>
      <c r="AS537" s="5"/>
      <c r="AU537" s="5"/>
      <c r="AV537" s="17"/>
      <c r="AW537" s="17"/>
      <c r="AX537" s="5"/>
      <c r="AY537" s="5"/>
      <c r="AZ537" s="13"/>
      <c r="BA537" s="12"/>
      <c r="BB537" s="7"/>
      <c r="BC537" s="14"/>
      <c r="BD537" s="14"/>
      <c r="BF537" s="12"/>
      <c r="BG537" s="14"/>
      <c r="BH537" s="19"/>
      <c r="BI537" s="5"/>
      <c r="BM537" s="18"/>
      <c r="BN537" s="18"/>
      <c r="BO537" s="18"/>
      <c r="BP537" s="18"/>
      <c r="BQ537" s="5"/>
      <c r="BR537" s="18"/>
      <c r="BS537" s="18"/>
      <c r="BT537" s="35">
        <f t="shared" si="107"/>
        <v>-1</v>
      </c>
    </row>
    <row r="538" spans="1:72" x14ac:dyDescent="0.35">
      <c r="A538" s="5"/>
      <c r="B538" s="5"/>
      <c r="C538" s="5"/>
      <c r="D538" s="5"/>
      <c r="E538" s="5"/>
      <c r="F538" s="8"/>
      <c r="G538" s="8"/>
      <c r="H538" s="5"/>
      <c r="I538" s="5" t="e" cm="1">
        <f t="array" ref="I538">_xlfn.IFS(
  H538="Mahuva", "Mahuva",
  H538="Jesar", "Mahuva",
  H538="Palitana", "Palitana",
  H538="Gariyadhar", "Palitana",
  H538="Talaja", "Talaja",
  H538="Vallabhipur", "Vallabhipur",
  H538="Umrala", "Vallabhipur",
  H538="Shihor", "Shihor",
  H538="Ghogha", "Bhavnagar",
  H538="Bhavnagar", "Bhavnagar"
)</f>
        <v>#N/A</v>
      </c>
      <c r="J538" s="5"/>
      <c r="K538" s="5"/>
      <c r="M538" s="5"/>
      <c r="Q538" s="7">
        <f t="shared" si="108"/>
        <v>120</v>
      </c>
      <c r="S538" s="33"/>
      <c r="U538" s="10"/>
      <c r="V538" s="10" t="str">
        <f t="shared" si="109"/>
        <v>Equals</v>
      </c>
      <c r="W538" s="11" t="str" cm="1">
        <f t="array" ref="W538">NumberToWords(T538)</f>
        <v>Zero Rupees Only</v>
      </c>
      <c r="X538" s="10" t="str">
        <f t="shared" si="105"/>
        <v>Division</v>
      </c>
      <c r="Z538" s="9">
        <f t="shared" si="110"/>
        <v>0</v>
      </c>
      <c r="AB538" s="8">
        <f>_xlfn.XLOOKUP(AA538, 'Agency List'!A$2:A$145, 'Agency List'!B$2:B$145, "Not Found")</f>
        <v>0</v>
      </c>
      <c r="AC538" s="8">
        <f>_xlfn.XLOOKUP(AA538, 'Agency List'!A$2:A$145, 'Agency List'!C$2:C$145, "Not Found")</f>
        <v>0</v>
      </c>
      <c r="AD538" s="8">
        <f>_xlfn.XLOOKUP(AA538, 'Agency List'!A$2:A$145, 'Agency List'!D$2:D$145, "Not Found")</f>
        <v>0</v>
      </c>
      <c r="AE538" s="7"/>
      <c r="AF538" s="5"/>
      <c r="AG538" s="5" t="str">
        <f t="shared" si="111"/>
        <v>Bandhkam</v>
      </c>
      <c r="AH538" s="55"/>
      <c r="AI538" s="49"/>
      <c r="AJ538" s="20"/>
      <c r="AL538" s="16"/>
      <c r="AM538" s="12">
        <f t="shared" si="112"/>
        <v>0</v>
      </c>
      <c r="AN538" s="7">
        <f t="shared" si="113"/>
        <v>450</v>
      </c>
      <c r="AO538" s="12">
        <f t="shared" si="114"/>
        <v>0</v>
      </c>
      <c r="AP538" s="12">
        <f t="shared" si="115"/>
        <v>0</v>
      </c>
      <c r="AQ538" s="15">
        <f t="shared" si="116"/>
        <v>35</v>
      </c>
      <c r="AR538" s="7">
        <f t="shared" si="117"/>
        <v>390</v>
      </c>
      <c r="AS538" s="5"/>
      <c r="AU538" s="5"/>
      <c r="AV538" s="17"/>
      <c r="AW538" s="17"/>
      <c r="AX538" s="5"/>
      <c r="AY538" s="5"/>
      <c r="AZ538" s="13"/>
      <c r="BA538" s="12"/>
      <c r="BB538" s="7"/>
      <c r="BC538" s="14"/>
      <c r="BD538" s="14"/>
      <c r="BF538" s="12"/>
      <c r="BG538" s="14"/>
      <c r="BH538" s="19"/>
      <c r="BI538" s="5"/>
      <c r="BM538" s="18"/>
      <c r="BN538" s="18"/>
      <c r="BO538" s="18"/>
      <c r="BP538" s="18"/>
      <c r="BQ538" s="5"/>
      <c r="BR538" s="18"/>
      <c r="BS538" s="18"/>
      <c r="BT538" s="35">
        <f t="shared" si="107"/>
        <v>-1</v>
      </c>
    </row>
    <row r="539" spans="1:72" x14ac:dyDescent="0.35">
      <c r="A539" s="5"/>
      <c r="B539" s="5"/>
      <c r="C539" s="5"/>
      <c r="D539" s="5"/>
      <c r="E539" s="5"/>
      <c r="F539" s="8"/>
      <c r="G539" s="8"/>
      <c r="H539" s="5"/>
      <c r="I539" s="5" t="e" cm="1">
        <f t="array" ref="I539">_xlfn.IFS(
  H539="Mahuva", "Mahuva",
  H539="Jesar", "Mahuva",
  H539="Palitana", "Palitana",
  H539="Gariyadhar", "Palitana",
  H539="Talaja", "Talaja",
  H539="Vallabhipur", "Vallabhipur",
  H539="Umrala", "Vallabhipur",
  H539="Shihor", "Shihor",
  H539="Ghogha", "Bhavnagar",
  H539="Bhavnagar", "Bhavnagar"
)</f>
        <v>#N/A</v>
      </c>
      <c r="J539" s="5"/>
      <c r="K539" s="5"/>
      <c r="M539" s="5"/>
      <c r="Q539" s="7">
        <f t="shared" si="108"/>
        <v>120</v>
      </c>
      <c r="S539" s="33"/>
      <c r="U539" s="10"/>
      <c r="V539" s="10" t="str">
        <f t="shared" si="109"/>
        <v>Equals</v>
      </c>
      <c r="W539" s="11" t="str" cm="1">
        <f t="array" ref="W539">NumberToWords(T539)</f>
        <v>Zero Rupees Only</v>
      </c>
      <c r="X539" s="10" t="str">
        <f t="shared" si="105"/>
        <v>Division</v>
      </c>
      <c r="Z539" s="9">
        <f t="shared" si="110"/>
        <v>0</v>
      </c>
      <c r="AB539" s="8">
        <f>_xlfn.XLOOKUP(AA539, 'Agency List'!A$2:A$145, 'Agency List'!B$2:B$145, "Not Found")</f>
        <v>0</v>
      </c>
      <c r="AC539" s="8">
        <f>_xlfn.XLOOKUP(AA539, 'Agency List'!A$2:A$145, 'Agency List'!C$2:C$145, "Not Found")</f>
        <v>0</v>
      </c>
      <c r="AD539" s="8">
        <f>_xlfn.XLOOKUP(AA539, 'Agency List'!A$2:A$145, 'Agency List'!D$2:D$145, "Not Found")</f>
        <v>0</v>
      </c>
      <c r="AE539" s="7"/>
      <c r="AF539" s="5"/>
      <c r="AG539" s="5" t="str">
        <f t="shared" si="111"/>
        <v>Bandhkam</v>
      </c>
      <c r="AH539" s="55"/>
      <c r="AI539" s="49"/>
      <c r="AJ539" s="20"/>
      <c r="AL539" s="16"/>
      <c r="AM539" s="12">
        <f t="shared" si="112"/>
        <v>0</v>
      </c>
      <c r="AN539" s="7">
        <f t="shared" si="113"/>
        <v>450</v>
      </c>
      <c r="AO539" s="12">
        <f t="shared" si="114"/>
        <v>0</v>
      </c>
      <c r="AP539" s="12">
        <f t="shared" si="115"/>
        <v>0</v>
      </c>
      <c r="AQ539" s="15">
        <f t="shared" si="116"/>
        <v>35</v>
      </c>
      <c r="AR539" s="7">
        <f t="shared" si="117"/>
        <v>390</v>
      </c>
      <c r="AS539" s="5"/>
      <c r="AU539" s="5"/>
      <c r="AV539" s="17"/>
      <c r="AW539" s="17"/>
      <c r="AX539" s="5"/>
      <c r="AY539" s="5"/>
      <c r="AZ539" s="13"/>
      <c r="BA539" s="12"/>
      <c r="BB539" s="7"/>
      <c r="BC539" s="14"/>
      <c r="BD539" s="14"/>
      <c r="BF539" s="12"/>
      <c r="BG539" s="14"/>
      <c r="BH539" s="19"/>
      <c r="BI539" s="5"/>
      <c r="BM539" s="18"/>
      <c r="BN539" s="18"/>
      <c r="BO539" s="18"/>
      <c r="BP539" s="18"/>
      <c r="BQ539" s="5"/>
      <c r="BR539" s="18"/>
      <c r="BS539" s="18"/>
      <c r="BT539" s="35">
        <f t="shared" si="107"/>
        <v>-1</v>
      </c>
    </row>
    <row r="540" spans="1:72" x14ac:dyDescent="0.35">
      <c r="A540" s="5"/>
      <c r="B540" s="5"/>
      <c r="C540" s="5"/>
      <c r="D540" s="5"/>
      <c r="E540" s="5"/>
      <c r="F540" s="8"/>
      <c r="G540" s="8"/>
      <c r="H540" s="5"/>
      <c r="I540" s="5" t="e" cm="1">
        <f t="array" ref="I540">_xlfn.IFS(
  H540="Mahuva", "Mahuva",
  H540="Jesar", "Mahuva",
  H540="Palitana", "Palitana",
  H540="Gariyadhar", "Palitana",
  H540="Talaja", "Talaja",
  H540="Vallabhipur", "Vallabhipur",
  H540="Umrala", "Vallabhipur",
  H540="Shihor", "Shihor",
  H540="Ghogha", "Bhavnagar",
  H540="Bhavnagar", "Bhavnagar"
)</f>
        <v>#N/A</v>
      </c>
      <c r="J540" s="5"/>
      <c r="K540" s="5"/>
      <c r="M540" s="5"/>
      <c r="Q540" s="7">
        <f t="shared" si="108"/>
        <v>120</v>
      </c>
      <c r="S540" s="33"/>
      <c r="U540" s="10"/>
      <c r="V540" s="10" t="str">
        <f t="shared" si="109"/>
        <v>Equals</v>
      </c>
      <c r="W540" s="11" t="str" cm="1">
        <f t="array" ref="W540">NumberToWords(T540)</f>
        <v>Zero Rupees Only</v>
      </c>
      <c r="X540" s="10" t="str">
        <f t="shared" si="105"/>
        <v>Division</v>
      </c>
      <c r="Z540" s="9">
        <f t="shared" si="110"/>
        <v>0</v>
      </c>
      <c r="AB540" s="8">
        <f>_xlfn.XLOOKUP(AA540, 'Agency List'!A$2:A$145, 'Agency List'!B$2:B$145, "Not Found")</f>
        <v>0</v>
      </c>
      <c r="AC540" s="8">
        <f>_xlfn.XLOOKUP(AA540, 'Agency List'!A$2:A$145, 'Agency List'!C$2:C$145, "Not Found")</f>
        <v>0</v>
      </c>
      <c r="AD540" s="8">
        <f>_xlfn.XLOOKUP(AA540, 'Agency List'!A$2:A$145, 'Agency List'!D$2:D$145, "Not Found")</f>
        <v>0</v>
      </c>
      <c r="AE540" s="7"/>
      <c r="AF540" s="5"/>
      <c r="AG540" s="5" t="str">
        <f t="shared" si="111"/>
        <v>Bandhkam</v>
      </c>
      <c r="AH540" s="55"/>
      <c r="AI540" s="49"/>
      <c r="AJ540" s="20"/>
      <c r="AL540" s="16"/>
      <c r="AM540" s="12">
        <f t="shared" si="112"/>
        <v>0</v>
      </c>
      <c r="AN540" s="7">
        <f t="shared" si="113"/>
        <v>450</v>
      </c>
      <c r="AO540" s="12">
        <f t="shared" si="114"/>
        <v>0</v>
      </c>
      <c r="AP540" s="12">
        <f t="shared" si="115"/>
        <v>0</v>
      </c>
      <c r="AQ540" s="15">
        <f t="shared" si="116"/>
        <v>35</v>
      </c>
      <c r="AR540" s="7">
        <f t="shared" si="117"/>
        <v>390</v>
      </c>
      <c r="AS540" s="5"/>
      <c r="AU540" s="5"/>
      <c r="AV540" s="17"/>
      <c r="AW540" s="17"/>
      <c r="AX540" s="5"/>
      <c r="AY540" s="5"/>
      <c r="AZ540" s="13"/>
      <c r="BA540" s="12"/>
      <c r="BB540" s="7"/>
      <c r="BC540" s="14"/>
      <c r="BD540" s="14"/>
      <c r="BF540" s="12"/>
      <c r="BG540" s="14"/>
      <c r="BH540" s="19"/>
      <c r="BI540" s="5"/>
      <c r="BM540" s="18"/>
      <c r="BN540" s="18"/>
      <c r="BO540" s="18"/>
      <c r="BP540" s="18"/>
      <c r="BQ540" s="5"/>
      <c r="BR540" s="18"/>
      <c r="BS540" s="18"/>
      <c r="BT540" s="35">
        <f t="shared" si="107"/>
        <v>-1</v>
      </c>
    </row>
    <row r="541" spans="1:72" x14ac:dyDescent="0.35">
      <c r="A541" s="5"/>
      <c r="B541" s="5"/>
      <c r="C541" s="5"/>
      <c r="D541" s="5"/>
      <c r="E541" s="5"/>
      <c r="F541" s="8"/>
      <c r="G541" s="8"/>
      <c r="H541" s="5"/>
      <c r="I541" s="5" t="e" cm="1">
        <f t="array" ref="I541">_xlfn.IFS(
  H541="Mahuva", "Mahuva",
  H541="Jesar", "Mahuva",
  H541="Palitana", "Palitana",
  H541="Gariyadhar", "Palitana",
  H541="Talaja", "Talaja",
  H541="Vallabhipur", "Vallabhipur",
  H541="Umrala", "Vallabhipur",
  H541="Shihor", "Shihor",
  H541="Ghogha", "Bhavnagar",
  H541="Bhavnagar", "Bhavnagar"
)</f>
        <v>#N/A</v>
      </c>
      <c r="J541" s="5"/>
      <c r="K541" s="5"/>
      <c r="M541" s="5"/>
      <c r="Q541" s="7">
        <f t="shared" si="108"/>
        <v>120</v>
      </c>
      <c r="S541" s="33"/>
      <c r="U541" s="10"/>
      <c r="V541" s="10" t="str">
        <f t="shared" si="109"/>
        <v>Equals</v>
      </c>
      <c r="W541" s="11" t="str" cm="1">
        <f t="array" ref="W541">NumberToWords(T541)</f>
        <v>Zero Rupees Only</v>
      </c>
      <c r="X541" s="10" t="str">
        <f t="shared" si="105"/>
        <v>Division</v>
      </c>
      <c r="Z541" s="9">
        <f t="shared" si="110"/>
        <v>0</v>
      </c>
      <c r="AB541" s="8">
        <f>_xlfn.XLOOKUP(AA541, 'Agency List'!A$2:A$145, 'Agency List'!B$2:B$145, "Not Found")</f>
        <v>0</v>
      </c>
      <c r="AC541" s="8">
        <f>_xlfn.XLOOKUP(AA541, 'Agency List'!A$2:A$145, 'Agency List'!C$2:C$145, "Not Found")</f>
        <v>0</v>
      </c>
      <c r="AD541" s="8">
        <f>_xlfn.XLOOKUP(AA541, 'Agency List'!A$2:A$145, 'Agency List'!D$2:D$145, "Not Found")</f>
        <v>0</v>
      </c>
      <c r="AE541" s="7"/>
      <c r="AF541" s="5"/>
      <c r="AG541" s="5" t="str">
        <f t="shared" si="111"/>
        <v>Bandhkam</v>
      </c>
      <c r="AH541" s="55"/>
      <c r="AI541" s="49"/>
      <c r="AJ541" s="20"/>
      <c r="AL541" s="16"/>
      <c r="AM541" s="12">
        <f t="shared" si="112"/>
        <v>0</v>
      </c>
      <c r="AN541" s="7">
        <f t="shared" si="113"/>
        <v>450</v>
      </c>
      <c r="AO541" s="12">
        <f t="shared" si="114"/>
        <v>0</v>
      </c>
      <c r="AP541" s="12">
        <f t="shared" si="115"/>
        <v>0</v>
      </c>
      <c r="AQ541" s="15">
        <f t="shared" si="116"/>
        <v>35</v>
      </c>
      <c r="AR541" s="7">
        <f t="shared" si="117"/>
        <v>390</v>
      </c>
      <c r="AS541" s="5"/>
      <c r="AU541" s="5"/>
      <c r="AV541" s="17"/>
      <c r="AW541" s="17"/>
      <c r="AX541" s="5"/>
      <c r="AY541" s="5"/>
      <c r="AZ541" s="13"/>
      <c r="BA541" s="12"/>
      <c r="BB541" s="7"/>
      <c r="BC541" s="14"/>
      <c r="BD541" s="14"/>
      <c r="BF541" s="12"/>
      <c r="BG541" s="14"/>
      <c r="BH541" s="19"/>
      <c r="BI541" s="5"/>
      <c r="BM541" s="18"/>
      <c r="BN541" s="18"/>
      <c r="BO541" s="18"/>
      <c r="BP541" s="18"/>
      <c r="BQ541" s="5"/>
      <c r="BR541" s="18"/>
      <c r="BS541" s="18"/>
      <c r="BT541" s="35">
        <f t="shared" si="107"/>
        <v>-1</v>
      </c>
    </row>
    <row r="542" spans="1:72" x14ac:dyDescent="0.35">
      <c r="A542" s="5"/>
      <c r="B542" s="5"/>
      <c r="C542" s="5"/>
      <c r="D542" s="5"/>
      <c r="E542" s="5"/>
      <c r="F542" s="8"/>
      <c r="G542" s="8"/>
      <c r="H542" s="5"/>
      <c r="I542" s="5" t="e" cm="1">
        <f t="array" ref="I542">_xlfn.IFS(
  H542="Mahuva", "Mahuva",
  H542="Jesar", "Mahuva",
  H542="Palitana", "Palitana",
  H542="Gariyadhar", "Palitana",
  H542="Talaja", "Talaja",
  H542="Vallabhipur", "Vallabhipur",
  H542="Umrala", "Vallabhipur",
  H542="Shihor", "Shihor",
  H542="Ghogha", "Bhavnagar",
  H542="Bhavnagar", "Bhavnagar"
)</f>
        <v>#N/A</v>
      </c>
      <c r="J542" s="5"/>
      <c r="K542" s="5"/>
      <c r="M542" s="5"/>
      <c r="Q542" s="7">
        <f t="shared" si="108"/>
        <v>120</v>
      </c>
      <c r="S542" s="33"/>
      <c r="U542" s="10"/>
      <c r="V542" s="10" t="str">
        <f t="shared" si="109"/>
        <v>Equals</v>
      </c>
      <c r="W542" s="11" t="str" cm="1">
        <f t="array" ref="W542">NumberToWords(T542)</f>
        <v>Zero Rupees Only</v>
      </c>
      <c r="X542" s="10" t="str">
        <f t="shared" ref="X542:X605" si="118">IF(T542&lt;5000000,"Division",IF(T542&lt;=20000000,"Circle","Government"))</f>
        <v>Division</v>
      </c>
      <c r="Z542" s="9">
        <f t="shared" si="110"/>
        <v>0</v>
      </c>
      <c r="AB542" s="8">
        <f>_xlfn.XLOOKUP(AA542, 'Agency List'!A$2:A$145, 'Agency List'!B$2:B$145, "Not Found")</f>
        <v>0</v>
      </c>
      <c r="AC542" s="8">
        <f>_xlfn.XLOOKUP(AA542, 'Agency List'!A$2:A$145, 'Agency List'!C$2:C$145, "Not Found")</f>
        <v>0</v>
      </c>
      <c r="AD542" s="8">
        <f>_xlfn.XLOOKUP(AA542, 'Agency List'!A$2:A$145, 'Agency List'!D$2:D$145, "Not Found")</f>
        <v>0</v>
      </c>
      <c r="AE542" s="7"/>
      <c r="AF542" s="5"/>
      <c r="AG542" s="5" t="str">
        <f t="shared" si="111"/>
        <v>Bandhkam</v>
      </c>
      <c r="AH542" s="55"/>
      <c r="AI542" s="49"/>
      <c r="AJ542" s="20"/>
      <c r="AL542" s="16"/>
      <c r="AM542" s="12">
        <f t="shared" si="112"/>
        <v>0</v>
      </c>
      <c r="AN542" s="7">
        <f t="shared" si="113"/>
        <v>450</v>
      </c>
      <c r="AO542" s="12">
        <f t="shared" si="114"/>
        <v>0</v>
      </c>
      <c r="AP542" s="12">
        <f t="shared" si="115"/>
        <v>0</v>
      </c>
      <c r="AQ542" s="15">
        <f t="shared" si="116"/>
        <v>35</v>
      </c>
      <c r="AR542" s="7">
        <f t="shared" si="117"/>
        <v>390</v>
      </c>
      <c r="AS542" s="5"/>
      <c r="AU542" s="5"/>
      <c r="AV542" s="17"/>
      <c r="AW542" s="17"/>
      <c r="AX542" s="5"/>
      <c r="AY542" s="5"/>
      <c r="AZ542" s="13"/>
      <c r="BA542" s="12"/>
      <c r="BB542" s="7"/>
      <c r="BC542" s="14"/>
      <c r="BD542" s="14"/>
      <c r="BF542" s="12"/>
      <c r="BG542" s="14"/>
      <c r="BH542" s="19"/>
      <c r="BI542" s="5"/>
      <c r="BM542" s="18"/>
      <c r="BN542" s="18"/>
      <c r="BO542" s="18"/>
      <c r="BP542" s="18"/>
      <c r="BQ542" s="5"/>
      <c r="BR542" s="18"/>
      <c r="BS542" s="18"/>
      <c r="BT542" s="35">
        <f t="shared" si="107"/>
        <v>-1</v>
      </c>
    </row>
    <row r="543" spans="1:72" x14ac:dyDescent="0.35">
      <c r="A543" s="5"/>
      <c r="B543" s="5"/>
      <c r="C543" s="5"/>
      <c r="D543" s="5"/>
      <c r="E543" s="5"/>
      <c r="F543" s="8"/>
      <c r="G543" s="8"/>
      <c r="H543" s="5"/>
      <c r="I543" s="5" t="e" cm="1">
        <f t="array" ref="I543">_xlfn.IFS(
  H543="Mahuva", "Mahuva",
  H543="Jesar", "Mahuva",
  H543="Palitana", "Palitana",
  H543="Gariyadhar", "Palitana",
  H543="Talaja", "Talaja",
  H543="Vallabhipur", "Vallabhipur",
  H543="Umrala", "Vallabhipur",
  H543="Shihor", "Shihor",
  H543="Ghogha", "Bhavnagar",
  H543="Bhavnagar", "Bhavnagar"
)</f>
        <v>#N/A</v>
      </c>
      <c r="J543" s="5"/>
      <c r="K543" s="5"/>
      <c r="M543" s="5"/>
      <c r="Q543" s="7">
        <f t="shared" si="108"/>
        <v>120</v>
      </c>
      <c r="S543" s="33"/>
      <c r="U543" s="10"/>
      <c r="V543" s="10" t="str">
        <f t="shared" si="109"/>
        <v>Equals</v>
      </c>
      <c r="W543" s="11" t="str" cm="1">
        <f t="array" ref="W543">NumberToWords(T543)</f>
        <v>Zero Rupees Only</v>
      </c>
      <c r="X543" s="10" t="str">
        <f t="shared" si="118"/>
        <v>Division</v>
      </c>
      <c r="Z543" s="9">
        <f t="shared" si="110"/>
        <v>0</v>
      </c>
      <c r="AB543" s="8">
        <f>_xlfn.XLOOKUP(AA543, 'Agency List'!A$2:A$145, 'Agency List'!B$2:B$145, "Not Found")</f>
        <v>0</v>
      </c>
      <c r="AC543" s="8">
        <f>_xlfn.XLOOKUP(AA543, 'Agency List'!A$2:A$145, 'Agency List'!C$2:C$145, "Not Found")</f>
        <v>0</v>
      </c>
      <c r="AD543" s="8">
        <f>_xlfn.XLOOKUP(AA543, 'Agency List'!A$2:A$145, 'Agency List'!D$2:D$145, "Not Found")</f>
        <v>0</v>
      </c>
      <c r="AE543" s="7"/>
      <c r="AF543" s="5"/>
      <c r="AG543" s="5" t="str">
        <f t="shared" si="111"/>
        <v>Bandhkam</v>
      </c>
      <c r="AH543" s="55"/>
      <c r="AI543" s="49"/>
      <c r="AJ543" s="20"/>
      <c r="AL543" s="16"/>
      <c r="AM543" s="12">
        <f t="shared" si="112"/>
        <v>0</v>
      </c>
      <c r="AN543" s="7">
        <f t="shared" si="113"/>
        <v>450</v>
      </c>
      <c r="AO543" s="12">
        <f t="shared" si="114"/>
        <v>0</v>
      </c>
      <c r="AP543" s="12">
        <f t="shared" si="115"/>
        <v>0</v>
      </c>
      <c r="AQ543" s="15">
        <f t="shared" si="116"/>
        <v>35</v>
      </c>
      <c r="AR543" s="7">
        <f t="shared" si="117"/>
        <v>390</v>
      </c>
      <c r="AS543" s="5"/>
      <c r="AU543" s="5"/>
      <c r="AV543" s="17"/>
      <c r="AW543" s="17"/>
      <c r="AX543" s="5"/>
      <c r="AY543" s="5"/>
      <c r="AZ543" s="13"/>
      <c r="BA543" s="12"/>
      <c r="BB543" s="7"/>
      <c r="BC543" s="14"/>
      <c r="BD543" s="14"/>
      <c r="BF543" s="12"/>
      <c r="BG543" s="14"/>
      <c r="BH543" s="19"/>
      <c r="BI543" s="5"/>
      <c r="BM543" s="18"/>
      <c r="BN543" s="18"/>
      <c r="BO543" s="18"/>
      <c r="BP543" s="18"/>
      <c r="BQ543" s="5"/>
      <c r="BR543" s="18"/>
      <c r="BS543" s="18"/>
      <c r="BT543" s="35">
        <f t="shared" ref="BT543:BT574" si="119">EDATE(BH543,AL543)-1</f>
        <v>-1</v>
      </c>
    </row>
    <row r="544" spans="1:72" x14ac:dyDescent="0.35">
      <c r="A544" s="5"/>
      <c r="B544" s="5"/>
      <c r="C544" s="5"/>
      <c r="D544" s="5"/>
      <c r="E544" s="5"/>
      <c r="F544" s="8"/>
      <c r="G544" s="8"/>
      <c r="H544" s="5"/>
      <c r="I544" s="5" t="e" cm="1">
        <f t="array" ref="I544">_xlfn.IFS(
  H544="Mahuva", "Mahuva",
  H544="Jesar", "Mahuva",
  H544="Palitana", "Palitana",
  H544="Gariyadhar", "Palitana",
  H544="Talaja", "Talaja",
  H544="Vallabhipur", "Vallabhipur",
  H544="Umrala", "Vallabhipur",
  H544="Shihor", "Shihor",
  H544="Ghogha", "Bhavnagar",
  H544="Bhavnagar", "Bhavnagar"
)</f>
        <v>#N/A</v>
      </c>
      <c r="J544" s="5"/>
      <c r="K544" s="5"/>
      <c r="M544" s="5"/>
      <c r="Q544" s="7">
        <f t="shared" si="108"/>
        <v>120</v>
      </c>
      <c r="S544" s="33"/>
      <c r="U544" s="10"/>
      <c r="V544" s="10" t="str">
        <f t="shared" si="109"/>
        <v>Equals</v>
      </c>
      <c r="W544" s="11" t="str" cm="1">
        <f t="array" ref="W544">NumberToWords(T544)</f>
        <v>Zero Rupees Only</v>
      </c>
      <c r="X544" s="10" t="str">
        <f t="shared" si="118"/>
        <v>Division</v>
      </c>
      <c r="Z544" s="9">
        <f t="shared" si="110"/>
        <v>0</v>
      </c>
      <c r="AB544" s="8">
        <f>_xlfn.XLOOKUP(AA544, 'Agency List'!A$2:A$145, 'Agency List'!B$2:B$145, "Not Found")</f>
        <v>0</v>
      </c>
      <c r="AC544" s="8">
        <f>_xlfn.XLOOKUP(AA544, 'Agency List'!A$2:A$145, 'Agency List'!C$2:C$145, "Not Found")</f>
        <v>0</v>
      </c>
      <c r="AD544" s="8">
        <f>_xlfn.XLOOKUP(AA544, 'Agency List'!A$2:A$145, 'Agency List'!D$2:D$145, "Not Found")</f>
        <v>0</v>
      </c>
      <c r="AE544" s="7"/>
      <c r="AF544" s="5"/>
      <c r="AG544" s="5" t="str">
        <f t="shared" si="111"/>
        <v>Bandhkam</v>
      </c>
      <c r="AH544" s="55"/>
      <c r="AI544" s="49"/>
      <c r="AJ544" s="20"/>
      <c r="AL544" s="16"/>
      <c r="AM544" s="12">
        <f t="shared" si="112"/>
        <v>0</v>
      </c>
      <c r="AN544" s="7">
        <f t="shared" si="113"/>
        <v>450</v>
      </c>
      <c r="AO544" s="12">
        <f t="shared" si="114"/>
        <v>0</v>
      </c>
      <c r="AP544" s="12">
        <f t="shared" si="115"/>
        <v>0</v>
      </c>
      <c r="AQ544" s="15">
        <f t="shared" si="116"/>
        <v>35</v>
      </c>
      <c r="AR544" s="7">
        <f t="shared" si="117"/>
        <v>390</v>
      </c>
      <c r="AS544" s="5"/>
      <c r="AU544" s="5"/>
      <c r="AV544" s="17"/>
      <c r="AW544" s="17"/>
      <c r="AX544" s="5"/>
      <c r="AY544" s="5"/>
      <c r="AZ544" s="13"/>
      <c r="BA544" s="12"/>
      <c r="BB544" s="7"/>
      <c r="BC544" s="14"/>
      <c r="BD544" s="14"/>
      <c r="BF544" s="12"/>
      <c r="BG544" s="14"/>
      <c r="BH544" s="19"/>
      <c r="BI544" s="5"/>
      <c r="BM544" s="18"/>
      <c r="BN544" s="18"/>
      <c r="BO544" s="18"/>
      <c r="BP544" s="18"/>
      <c r="BQ544" s="5"/>
      <c r="BR544" s="18"/>
      <c r="BS544" s="18"/>
      <c r="BT544" s="35">
        <f t="shared" si="119"/>
        <v>-1</v>
      </c>
    </row>
    <row r="545" spans="1:72" x14ac:dyDescent="0.35">
      <c r="A545" s="5"/>
      <c r="B545" s="5"/>
      <c r="C545" s="5"/>
      <c r="D545" s="5"/>
      <c r="E545" s="5"/>
      <c r="F545" s="8"/>
      <c r="G545" s="8"/>
      <c r="H545" s="5"/>
      <c r="I545" s="5" t="e" cm="1">
        <f t="array" ref="I545">_xlfn.IFS(
  H545="Mahuva", "Mahuva",
  H545="Jesar", "Mahuva",
  H545="Palitana", "Palitana",
  H545="Gariyadhar", "Palitana",
  H545="Talaja", "Talaja",
  H545="Vallabhipur", "Vallabhipur",
  H545="Umrala", "Vallabhipur",
  H545="Shihor", "Shihor",
  H545="Ghogha", "Bhavnagar",
  H545="Bhavnagar", "Bhavnagar"
)</f>
        <v>#N/A</v>
      </c>
      <c r="J545" s="5"/>
      <c r="K545" s="5"/>
      <c r="M545" s="5"/>
      <c r="Q545" s="7">
        <f t="shared" si="108"/>
        <v>120</v>
      </c>
      <c r="S545" s="33"/>
      <c r="U545" s="10"/>
      <c r="V545" s="10" t="str">
        <f t="shared" si="109"/>
        <v>Equals</v>
      </c>
      <c r="W545" s="11" t="str" cm="1">
        <f t="array" ref="W545">NumberToWords(T545)</f>
        <v>Zero Rupees Only</v>
      </c>
      <c r="X545" s="10" t="str">
        <f t="shared" si="118"/>
        <v>Division</v>
      </c>
      <c r="Z545" s="9">
        <f t="shared" si="110"/>
        <v>0</v>
      </c>
      <c r="AB545" s="8">
        <f>_xlfn.XLOOKUP(AA545, 'Agency List'!A$2:A$145, 'Agency List'!B$2:B$145, "Not Found")</f>
        <v>0</v>
      </c>
      <c r="AC545" s="8">
        <f>_xlfn.XLOOKUP(AA545, 'Agency List'!A$2:A$145, 'Agency List'!C$2:C$145, "Not Found")</f>
        <v>0</v>
      </c>
      <c r="AD545" s="8">
        <f>_xlfn.XLOOKUP(AA545, 'Agency List'!A$2:A$145, 'Agency List'!D$2:D$145, "Not Found")</f>
        <v>0</v>
      </c>
      <c r="AE545" s="7"/>
      <c r="AF545" s="5"/>
      <c r="AG545" s="5" t="str">
        <f t="shared" si="111"/>
        <v>Bandhkam</v>
      </c>
      <c r="AH545" s="55"/>
      <c r="AI545" s="49"/>
      <c r="AJ545" s="20"/>
      <c r="AL545" s="16"/>
      <c r="AM545" s="12">
        <f t="shared" si="112"/>
        <v>0</v>
      </c>
      <c r="AN545" s="7">
        <f t="shared" si="113"/>
        <v>450</v>
      </c>
      <c r="AO545" s="12">
        <f t="shared" si="114"/>
        <v>0</v>
      </c>
      <c r="AP545" s="12">
        <f t="shared" si="115"/>
        <v>0</v>
      </c>
      <c r="AQ545" s="15">
        <f t="shared" si="116"/>
        <v>35</v>
      </c>
      <c r="AR545" s="7">
        <f t="shared" si="117"/>
        <v>390</v>
      </c>
      <c r="AS545" s="5"/>
      <c r="AU545" s="5"/>
      <c r="AV545" s="17"/>
      <c r="AW545" s="17"/>
      <c r="AX545" s="5"/>
      <c r="AY545" s="5"/>
      <c r="AZ545" s="13"/>
      <c r="BA545" s="12"/>
      <c r="BB545" s="7"/>
      <c r="BC545" s="14"/>
      <c r="BD545" s="14"/>
      <c r="BF545" s="12"/>
      <c r="BG545" s="14"/>
      <c r="BH545" s="19"/>
      <c r="BI545" s="5"/>
      <c r="BM545" s="18"/>
      <c r="BN545" s="18"/>
      <c r="BO545" s="18"/>
      <c r="BP545" s="18"/>
      <c r="BQ545" s="5"/>
      <c r="BR545" s="18"/>
      <c r="BS545" s="18"/>
      <c r="BT545" s="35">
        <f t="shared" si="119"/>
        <v>-1</v>
      </c>
    </row>
    <row r="546" spans="1:72" x14ac:dyDescent="0.35">
      <c r="A546" s="5"/>
      <c r="B546" s="5"/>
      <c r="C546" s="5"/>
      <c r="D546" s="5"/>
      <c r="E546" s="5"/>
      <c r="F546" s="8"/>
      <c r="G546" s="8"/>
      <c r="H546" s="5"/>
      <c r="I546" s="5" t="e" cm="1">
        <f t="array" ref="I546">_xlfn.IFS(
  H546="Mahuva", "Mahuva",
  H546="Jesar", "Mahuva",
  H546="Palitana", "Palitana",
  H546="Gariyadhar", "Palitana",
  H546="Talaja", "Talaja",
  H546="Vallabhipur", "Vallabhipur",
  H546="Umrala", "Vallabhipur",
  H546="Shihor", "Shihor",
  H546="Ghogha", "Bhavnagar",
  H546="Bhavnagar", "Bhavnagar"
)</f>
        <v>#N/A</v>
      </c>
      <c r="J546" s="5"/>
      <c r="K546" s="5"/>
      <c r="M546" s="5"/>
      <c r="Q546" s="7">
        <f t="shared" si="108"/>
        <v>120</v>
      </c>
      <c r="S546" s="33"/>
      <c r="U546" s="10"/>
      <c r="V546" s="10" t="str">
        <f t="shared" si="109"/>
        <v>Equals</v>
      </c>
      <c r="W546" s="11" t="str" cm="1">
        <f t="array" ref="W546">NumberToWords(T546)</f>
        <v>Zero Rupees Only</v>
      </c>
      <c r="X546" s="10" t="str">
        <f t="shared" si="118"/>
        <v>Division</v>
      </c>
      <c r="Z546" s="9">
        <f t="shared" si="110"/>
        <v>0</v>
      </c>
      <c r="AB546" s="8">
        <f>_xlfn.XLOOKUP(AA546, 'Agency List'!A$2:A$145, 'Agency List'!B$2:B$145, "Not Found")</f>
        <v>0</v>
      </c>
      <c r="AC546" s="8">
        <f>_xlfn.XLOOKUP(AA546, 'Agency List'!A$2:A$145, 'Agency List'!C$2:C$145, "Not Found")</f>
        <v>0</v>
      </c>
      <c r="AD546" s="8">
        <f>_xlfn.XLOOKUP(AA546, 'Agency List'!A$2:A$145, 'Agency List'!D$2:D$145, "Not Found")</f>
        <v>0</v>
      </c>
      <c r="AE546" s="7"/>
      <c r="AF546" s="5"/>
      <c r="AG546" s="5" t="str">
        <f t="shared" si="111"/>
        <v>Bandhkam</v>
      </c>
      <c r="AH546" s="55"/>
      <c r="AI546" s="49"/>
      <c r="AJ546" s="20"/>
      <c r="AL546" s="16"/>
      <c r="AM546" s="12">
        <f t="shared" si="112"/>
        <v>0</v>
      </c>
      <c r="AN546" s="7">
        <f t="shared" si="113"/>
        <v>450</v>
      </c>
      <c r="AO546" s="12">
        <f t="shared" si="114"/>
        <v>0</v>
      </c>
      <c r="AP546" s="12">
        <f t="shared" si="115"/>
        <v>0</v>
      </c>
      <c r="AQ546" s="15">
        <f t="shared" si="116"/>
        <v>35</v>
      </c>
      <c r="AR546" s="7">
        <f t="shared" si="117"/>
        <v>390</v>
      </c>
      <c r="AS546" s="5"/>
      <c r="AU546" s="5"/>
      <c r="AV546" s="17"/>
      <c r="AW546" s="17"/>
      <c r="AX546" s="5"/>
      <c r="AY546" s="5"/>
      <c r="AZ546" s="13"/>
      <c r="BA546" s="12"/>
      <c r="BB546" s="7"/>
      <c r="BC546" s="14"/>
      <c r="BD546" s="14"/>
      <c r="BF546" s="12"/>
      <c r="BG546" s="14"/>
      <c r="BH546" s="19"/>
      <c r="BI546" s="5"/>
      <c r="BM546" s="18"/>
      <c r="BN546" s="18"/>
      <c r="BO546" s="18"/>
      <c r="BP546" s="18"/>
      <c r="BQ546" s="5"/>
      <c r="BR546" s="18"/>
      <c r="BS546" s="18"/>
      <c r="BT546" s="35">
        <f t="shared" si="119"/>
        <v>-1</v>
      </c>
    </row>
    <row r="547" spans="1:72" x14ac:dyDescent="0.35">
      <c r="A547" s="5"/>
      <c r="B547" s="5"/>
      <c r="C547" s="5"/>
      <c r="D547" s="5"/>
      <c r="E547" s="5"/>
      <c r="F547" s="8"/>
      <c r="G547" s="8"/>
      <c r="H547" s="5"/>
      <c r="I547" s="5" t="e" cm="1">
        <f t="array" ref="I547">_xlfn.IFS(
  H547="Mahuva", "Mahuva",
  H547="Jesar", "Mahuva",
  H547="Palitana", "Palitana",
  H547="Gariyadhar", "Palitana",
  H547="Talaja", "Talaja",
  H547="Vallabhipur", "Vallabhipur",
  H547="Umrala", "Vallabhipur",
  H547="Shihor", "Shihor",
  H547="Ghogha", "Bhavnagar",
  H547="Bhavnagar", "Bhavnagar"
)</f>
        <v>#N/A</v>
      </c>
      <c r="J547" s="5"/>
      <c r="K547" s="5"/>
      <c r="M547" s="5"/>
      <c r="Q547" s="7">
        <f t="shared" si="108"/>
        <v>120</v>
      </c>
      <c r="S547" s="33"/>
      <c r="U547" s="10"/>
      <c r="V547" s="10" t="str">
        <f t="shared" si="109"/>
        <v>Equals</v>
      </c>
      <c r="W547" s="11" t="str" cm="1">
        <f t="array" ref="W547">NumberToWords(T547)</f>
        <v>Zero Rupees Only</v>
      </c>
      <c r="X547" s="10" t="str">
        <f t="shared" si="118"/>
        <v>Division</v>
      </c>
      <c r="Z547" s="9">
        <f t="shared" si="110"/>
        <v>0</v>
      </c>
      <c r="AB547" s="8">
        <f>_xlfn.XLOOKUP(AA547, 'Agency List'!A$2:A$145, 'Agency List'!B$2:B$145, "Not Found")</f>
        <v>0</v>
      </c>
      <c r="AC547" s="8">
        <f>_xlfn.XLOOKUP(AA547, 'Agency List'!A$2:A$145, 'Agency List'!C$2:C$145, "Not Found")</f>
        <v>0</v>
      </c>
      <c r="AD547" s="8">
        <f>_xlfn.XLOOKUP(AA547, 'Agency List'!A$2:A$145, 'Agency List'!D$2:D$145, "Not Found")</f>
        <v>0</v>
      </c>
      <c r="AE547" s="7"/>
      <c r="AF547" s="5"/>
      <c r="AG547" s="5" t="str">
        <f t="shared" si="111"/>
        <v>Bandhkam</v>
      </c>
      <c r="AH547" s="55"/>
      <c r="AI547" s="49"/>
      <c r="AJ547" s="20"/>
      <c r="AL547" s="16"/>
      <c r="AM547" s="12">
        <f t="shared" si="112"/>
        <v>0</v>
      </c>
      <c r="AN547" s="7">
        <f t="shared" si="113"/>
        <v>450</v>
      </c>
      <c r="AO547" s="12">
        <f t="shared" si="114"/>
        <v>0</v>
      </c>
      <c r="AP547" s="12">
        <f t="shared" si="115"/>
        <v>0</v>
      </c>
      <c r="AQ547" s="15">
        <f t="shared" si="116"/>
        <v>35</v>
      </c>
      <c r="AR547" s="7">
        <f t="shared" si="117"/>
        <v>390</v>
      </c>
      <c r="AS547" s="5"/>
      <c r="AU547" s="5"/>
      <c r="AV547" s="17"/>
      <c r="AW547" s="17"/>
      <c r="AX547" s="5"/>
      <c r="AY547" s="5"/>
      <c r="AZ547" s="13"/>
      <c r="BA547" s="12"/>
      <c r="BB547" s="7"/>
      <c r="BC547" s="14"/>
      <c r="BD547" s="14"/>
      <c r="BF547" s="12"/>
      <c r="BG547" s="14"/>
      <c r="BH547" s="19"/>
      <c r="BI547" s="5"/>
      <c r="BM547" s="18"/>
      <c r="BN547" s="18"/>
      <c r="BO547" s="18"/>
      <c r="BP547" s="18"/>
      <c r="BQ547" s="5"/>
      <c r="BR547" s="18"/>
      <c r="BS547" s="18"/>
      <c r="BT547" s="35">
        <f t="shared" si="119"/>
        <v>-1</v>
      </c>
    </row>
    <row r="548" spans="1:72" x14ac:dyDescent="0.35">
      <c r="A548" s="5"/>
      <c r="B548" s="5"/>
      <c r="C548" s="5"/>
      <c r="D548" s="5"/>
      <c r="E548" s="5"/>
      <c r="F548" s="8"/>
      <c r="G548" s="8"/>
      <c r="H548" s="5"/>
      <c r="I548" s="5" t="e" cm="1">
        <f t="array" ref="I548">_xlfn.IFS(
  H548="Mahuva", "Mahuva",
  H548="Jesar", "Mahuva",
  H548="Palitana", "Palitana",
  H548="Gariyadhar", "Palitana",
  H548="Talaja", "Talaja",
  H548="Vallabhipur", "Vallabhipur",
  H548="Umrala", "Vallabhipur",
  H548="Shihor", "Shihor",
  H548="Ghogha", "Bhavnagar",
  H548="Bhavnagar", "Bhavnagar"
)</f>
        <v>#N/A</v>
      </c>
      <c r="J548" s="5"/>
      <c r="K548" s="5"/>
      <c r="M548" s="5"/>
      <c r="Q548" s="7">
        <f t="shared" si="108"/>
        <v>120</v>
      </c>
      <c r="S548" s="33"/>
      <c r="U548" s="10"/>
      <c r="V548" s="10" t="str">
        <f t="shared" si="109"/>
        <v>Equals</v>
      </c>
      <c r="W548" s="11" t="str" cm="1">
        <f t="array" ref="W548">NumberToWords(T548)</f>
        <v>Zero Rupees Only</v>
      </c>
      <c r="X548" s="10" t="str">
        <f t="shared" si="118"/>
        <v>Division</v>
      </c>
      <c r="Z548" s="9">
        <f t="shared" si="110"/>
        <v>0</v>
      </c>
      <c r="AB548" s="8">
        <f>_xlfn.XLOOKUP(AA548, 'Agency List'!A$2:A$145, 'Agency List'!B$2:B$145, "Not Found")</f>
        <v>0</v>
      </c>
      <c r="AC548" s="8">
        <f>_xlfn.XLOOKUP(AA548, 'Agency List'!A$2:A$145, 'Agency List'!C$2:C$145, "Not Found")</f>
        <v>0</v>
      </c>
      <c r="AD548" s="8">
        <f>_xlfn.XLOOKUP(AA548, 'Agency List'!A$2:A$145, 'Agency List'!D$2:D$145, "Not Found")</f>
        <v>0</v>
      </c>
      <c r="AE548" s="7"/>
      <c r="AF548" s="5"/>
      <c r="AG548" s="5" t="str">
        <f t="shared" si="111"/>
        <v>Bandhkam</v>
      </c>
      <c r="AH548" s="55"/>
      <c r="AI548" s="49"/>
      <c r="AJ548" s="20"/>
      <c r="AL548" s="16"/>
      <c r="AM548" s="12">
        <f t="shared" si="112"/>
        <v>0</v>
      </c>
      <c r="AN548" s="7">
        <f t="shared" si="113"/>
        <v>450</v>
      </c>
      <c r="AO548" s="12">
        <f t="shared" si="114"/>
        <v>0</v>
      </c>
      <c r="AP548" s="12">
        <f t="shared" si="115"/>
        <v>0</v>
      </c>
      <c r="AQ548" s="15">
        <f t="shared" si="116"/>
        <v>35</v>
      </c>
      <c r="AR548" s="7">
        <f t="shared" si="117"/>
        <v>390</v>
      </c>
      <c r="AS548" s="5"/>
      <c r="AU548" s="5"/>
      <c r="AV548" s="17"/>
      <c r="AW548" s="17"/>
      <c r="AX548" s="5"/>
      <c r="AY548" s="5"/>
      <c r="AZ548" s="13"/>
      <c r="BA548" s="12"/>
      <c r="BB548" s="7"/>
      <c r="BC548" s="14"/>
      <c r="BD548" s="14"/>
      <c r="BF548" s="12"/>
      <c r="BG548" s="14"/>
      <c r="BH548" s="19"/>
      <c r="BI548" s="5"/>
      <c r="BM548" s="18"/>
      <c r="BN548" s="18"/>
      <c r="BO548" s="18"/>
      <c r="BP548" s="18"/>
      <c r="BQ548" s="5"/>
      <c r="BR548" s="18"/>
      <c r="BS548" s="18"/>
      <c r="BT548" s="35">
        <f t="shared" si="119"/>
        <v>-1</v>
      </c>
    </row>
    <row r="549" spans="1:72" x14ac:dyDescent="0.35">
      <c r="A549" s="5"/>
      <c r="B549" s="5"/>
      <c r="C549" s="5"/>
      <c r="D549" s="5"/>
      <c r="E549" s="5"/>
      <c r="F549" s="8"/>
      <c r="G549" s="8"/>
      <c r="H549" s="5"/>
      <c r="I549" s="5" t="e" cm="1">
        <f t="array" ref="I549">_xlfn.IFS(
  H549="Mahuva", "Mahuva",
  H549="Jesar", "Mahuva",
  H549="Palitana", "Palitana",
  H549="Gariyadhar", "Palitana",
  H549="Talaja", "Talaja",
  H549="Vallabhipur", "Vallabhipur",
  H549="Umrala", "Vallabhipur",
  H549="Shihor", "Shihor",
  H549="Ghogha", "Bhavnagar",
  H549="Bhavnagar", "Bhavnagar"
)</f>
        <v>#N/A</v>
      </c>
      <c r="J549" s="5"/>
      <c r="K549" s="5"/>
      <c r="M549" s="5"/>
      <c r="Q549" s="7">
        <f t="shared" si="108"/>
        <v>120</v>
      </c>
      <c r="S549" s="33"/>
      <c r="U549" s="10"/>
      <c r="V549" s="10" t="str">
        <f t="shared" si="109"/>
        <v>Equals</v>
      </c>
      <c r="W549" s="11" t="str" cm="1">
        <f t="array" ref="W549">NumberToWords(T549)</f>
        <v>Zero Rupees Only</v>
      </c>
      <c r="X549" s="10" t="str">
        <f t="shared" si="118"/>
        <v>Division</v>
      </c>
      <c r="Z549" s="9">
        <f t="shared" si="110"/>
        <v>0</v>
      </c>
      <c r="AB549" s="8">
        <f>_xlfn.XLOOKUP(AA549, 'Agency List'!A$2:A$145, 'Agency List'!B$2:B$145, "Not Found")</f>
        <v>0</v>
      </c>
      <c r="AC549" s="8">
        <f>_xlfn.XLOOKUP(AA549, 'Agency List'!A$2:A$145, 'Agency List'!C$2:C$145, "Not Found")</f>
        <v>0</v>
      </c>
      <c r="AD549" s="8">
        <f>_xlfn.XLOOKUP(AA549, 'Agency List'!A$2:A$145, 'Agency List'!D$2:D$145, "Not Found")</f>
        <v>0</v>
      </c>
      <c r="AE549" s="7"/>
      <c r="AF549" s="5"/>
      <c r="AG549" s="5" t="str">
        <f t="shared" si="111"/>
        <v>Bandhkam</v>
      </c>
      <c r="AH549" s="55"/>
      <c r="AI549" s="49"/>
      <c r="AJ549" s="20"/>
      <c r="AL549" s="16"/>
      <c r="AM549" s="12">
        <f t="shared" si="112"/>
        <v>0</v>
      </c>
      <c r="AN549" s="7">
        <f t="shared" si="113"/>
        <v>450</v>
      </c>
      <c r="AO549" s="12">
        <f t="shared" si="114"/>
        <v>0</v>
      </c>
      <c r="AP549" s="12">
        <f t="shared" si="115"/>
        <v>0</v>
      </c>
      <c r="AQ549" s="15">
        <f t="shared" si="116"/>
        <v>35</v>
      </c>
      <c r="AR549" s="7">
        <f t="shared" si="117"/>
        <v>390</v>
      </c>
      <c r="AS549" s="5"/>
      <c r="AU549" s="5"/>
      <c r="AV549" s="17"/>
      <c r="AW549" s="17"/>
      <c r="AX549" s="5"/>
      <c r="AY549" s="5"/>
      <c r="AZ549" s="13"/>
      <c r="BA549" s="12"/>
      <c r="BB549" s="7"/>
      <c r="BC549" s="14"/>
      <c r="BD549" s="14"/>
      <c r="BF549" s="12"/>
      <c r="BG549" s="14"/>
      <c r="BH549" s="19"/>
      <c r="BI549" s="5"/>
      <c r="BM549" s="18"/>
      <c r="BN549" s="18"/>
      <c r="BO549" s="18"/>
      <c r="BP549" s="18"/>
      <c r="BQ549" s="5"/>
      <c r="BR549" s="18"/>
      <c r="BS549" s="18"/>
      <c r="BT549" s="35">
        <f t="shared" si="119"/>
        <v>-1</v>
      </c>
    </row>
    <row r="550" spans="1:72" x14ac:dyDescent="0.35">
      <c r="A550" s="5"/>
      <c r="B550" s="5"/>
      <c r="C550" s="5"/>
      <c r="D550" s="5"/>
      <c r="E550" s="5"/>
      <c r="F550" s="8"/>
      <c r="G550" s="8"/>
      <c r="H550" s="5"/>
      <c r="I550" s="5" t="e" cm="1">
        <f t="array" ref="I550">_xlfn.IFS(
  H550="Mahuva", "Mahuva",
  H550="Jesar", "Mahuva",
  H550="Palitana", "Palitana",
  H550="Gariyadhar", "Palitana",
  H550="Talaja", "Talaja",
  H550="Vallabhipur", "Vallabhipur",
  H550="Umrala", "Vallabhipur",
  H550="Shihor", "Shihor",
  H550="Ghogha", "Bhavnagar",
  H550="Bhavnagar", "Bhavnagar"
)</f>
        <v>#N/A</v>
      </c>
      <c r="J550" s="5"/>
      <c r="K550" s="5"/>
      <c r="M550" s="5"/>
      <c r="Q550" s="7">
        <f t="shared" si="108"/>
        <v>120</v>
      </c>
      <c r="S550" s="33"/>
      <c r="U550" s="10"/>
      <c r="V550" s="10" t="str">
        <f t="shared" si="109"/>
        <v>Equals</v>
      </c>
      <c r="W550" s="11" t="str" cm="1">
        <f t="array" ref="W550">NumberToWords(T550)</f>
        <v>Zero Rupees Only</v>
      </c>
      <c r="X550" s="10" t="str">
        <f t="shared" si="118"/>
        <v>Division</v>
      </c>
      <c r="Z550" s="9">
        <f t="shared" si="110"/>
        <v>0</v>
      </c>
      <c r="AB550" s="8">
        <f>_xlfn.XLOOKUP(AA550, 'Agency List'!A$2:A$145, 'Agency List'!B$2:B$145, "Not Found")</f>
        <v>0</v>
      </c>
      <c r="AC550" s="8">
        <f>_xlfn.XLOOKUP(AA550, 'Agency List'!A$2:A$145, 'Agency List'!C$2:C$145, "Not Found")</f>
        <v>0</v>
      </c>
      <c r="AD550" s="8">
        <f>_xlfn.XLOOKUP(AA550, 'Agency List'!A$2:A$145, 'Agency List'!D$2:D$145, "Not Found")</f>
        <v>0</v>
      </c>
      <c r="AE550" s="7"/>
      <c r="AF550" s="5"/>
      <c r="AG550" s="5" t="str">
        <f t="shared" si="111"/>
        <v>Bandhkam</v>
      </c>
      <c r="AH550" s="55"/>
      <c r="AI550" s="49"/>
      <c r="AJ550" s="20"/>
      <c r="AL550" s="16"/>
      <c r="AM550" s="12">
        <f t="shared" si="112"/>
        <v>0</v>
      </c>
      <c r="AN550" s="7">
        <f t="shared" si="113"/>
        <v>450</v>
      </c>
      <c r="AO550" s="12">
        <f t="shared" si="114"/>
        <v>0</v>
      </c>
      <c r="AP550" s="12">
        <f t="shared" si="115"/>
        <v>0</v>
      </c>
      <c r="AQ550" s="15">
        <f t="shared" si="116"/>
        <v>35</v>
      </c>
      <c r="AR550" s="7">
        <f t="shared" si="117"/>
        <v>390</v>
      </c>
      <c r="AS550" s="5"/>
      <c r="AU550" s="5"/>
      <c r="AV550" s="17"/>
      <c r="AW550" s="17"/>
      <c r="AX550" s="5"/>
      <c r="AY550" s="5"/>
      <c r="AZ550" s="13"/>
      <c r="BA550" s="12"/>
      <c r="BB550" s="7"/>
      <c r="BC550" s="14"/>
      <c r="BD550" s="14"/>
      <c r="BF550" s="12"/>
      <c r="BG550" s="14"/>
      <c r="BH550" s="19"/>
      <c r="BI550" s="5"/>
      <c r="BM550" s="18"/>
      <c r="BN550" s="18"/>
      <c r="BO550" s="18"/>
      <c r="BP550" s="18"/>
      <c r="BQ550" s="5"/>
      <c r="BR550" s="18"/>
      <c r="BS550" s="18"/>
      <c r="BT550" s="35">
        <f t="shared" si="119"/>
        <v>-1</v>
      </c>
    </row>
    <row r="551" spans="1:72" x14ac:dyDescent="0.35">
      <c r="A551" s="5"/>
      <c r="B551" s="5"/>
      <c r="C551" s="5"/>
      <c r="D551" s="5"/>
      <c r="E551" s="5"/>
      <c r="F551" s="8"/>
      <c r="G551" s="8"/>
      <c r="H551" s="5"/>
      <c r="I551" s="5" t="e" cm="1">
        <f t="array" ref="I551">_xlfn.IFS(
  H551="Mahuva", "Mahuva",
  H551="Jesar", "Mahuva",
  H551="Palitana", "Palitana",
  H551="Gariyadhar", "Palitana",
  H551="Talaja", "Talaja",
  H551="Vallabhipur", "Vallabhipur",
  H551="Umrala", "Vallabhipur",
  H551="Shihor", "Shihor",
  H551="Ghogha", "Bhavnagar",
  H551="Bhavnagar", "Bhavnagar"
)</f>
        <v>#N/A</v>
      </c>
      <c r="J551" s="5"/>
      <c r="K551" s="5"/>
      <c r="M551" s="5"/>
      <c r="Q551" s="7">
        <f t="shared" si="108"/>
        <v>120</v>
      </c>
      <c r="S551" s="33"/>
      <c r="U551" s="10"/>
      <c r="V551" s="10" t="str">
        <f t="shared" si="109"/>
        <v>Equals</v>
      </c>
      <c r="W551" s="11" t="str" cm="1">
        <f t="array" ref="W551">NumberToWords(T551)</f>
        <v>Zero Rupees Only</v>
      </c>
      <c r="X551" s="10" t="str">
        <f t="shared" si="118"/>
        <v>Division</v>
      </c>
      <c r="Z551" s="9">
        <f t="shared" si="110"/>
        <v>0</v>
      </c>
      <c r="AB551" s="8">
        <f>_xlfn.XLOOKUP(AA551, 'Agency List'!A$2:A$145, 'Agency List'!B$2:B$145, "Not Found")</f>
        <v>0</v>
      </c>
      <c r="AC551" s="8">
        <f>_xlfn.XLOOKUP(AA551, 'Agency List'!A$2:A$145, 'Agency List'!C$2:C$145, "Not Found")</f>
        <v>0</v>
      </c>
      <c r="AD551" s="8">
        <f>_xlfn.XLOOKUP(AA551, 'Agency List'!A$2:A$145, 'Agency List'!D$2:D$145, "Not Found")</f>
        <v>0</v>
      </c>
      <c r="AE551" s="7"/>
      <c r="AF551" s="5"/>
      <c r="AG551" s="5" t="str">
        <f t="shared" si="111"/>
        <v>Bandhkam</v>
      </c>
      <c r="AH551" s="55"/>
      <c r="AI551" s="49"/>
      <c r="AJ551" s="20"/>
      <c r="AL551" s="16"/>
      <c r="AM551" s="12">
        <f t="shared" si="112"/>
        <v>0</v>
      </c>
      <c r="AN551" s="7">
        <f t="shared" si="113"/>
        <v>450</v>
      </c>
      <c r="AO551" s="12">
        <f t="shared" si="114"/>
        <v>0</v>
      </c>
      <c r="AP551" s="12">
        <f t="shared" si="115"/>
        <v>0</v>
      </c>
      <c r="AQ551" s="15">
        <f t="shared" si="116"/>
        <v>35</v>
      </c>
      <c r="AR551" s="7">
        <f t="shared" si="117"/>
        <v>390</v>
      </c>
      <c r="AS551" s="5"/>
      <c r="AU551" s="5"/>
      <c r="AV551" s="17"/>
      <c r="AW551" s="17"/>
      <c r="AX551" s="5"/>
      <c r="AY551" s="5"/>
      <c r="AZ551" s="13"/>
      <c r="BA551" s="12"/>
      <c r="BB551" s="7"/>
      <c r="BC551" s="14"/>
      <c r="BD551" s="14"/>
      <c r="BF551" s="12"/>
      <c r="BG551" s="14"/>
      <c r="BH551" s="19"/>
      <c r="BI551" s="5"/>
      <c r="BM551" s="18"/>
      <c r="BN551" s="18"/>
      <c r="BO551" s="18"/>
      <c r="BP551" s="18"/>
      <c r="BQ551" s="5"/>
      <c r="BR551" s="18"/>
      <c r="BS551" s="18"/>
      <c r="BT551" s="35">
        <f t="shared" si="119"/>
        <v>-1</v>
      </c>
    </row>
    <row r="552" spans="1:72" x14ac:dyDescent="0.35">
      <c r="A552" s="5"/>
      <c r="B552" s="5"/>
      <c r="C552" s="5"/>
      <c r="D552" s="5"/>
      <c r="E552" s="5"/>
      <c r="F552" s="8"/>
      <c r="G552" s="8"/>
      <c r="H552" s="5"/>
      <c r="I552" s="5" t="e" cm="1">
        <f t="array" ref="I552">_xlfn.IFS(
  H552="Mahuva", "Mahuva",
  H552="Jesar", "Mahuva",
  H552="Palitana", "Palitana",
  H552="Gariyadhar", "Palitana",
  H552="Talaja", "Talaja",
  H552="Vallabhipur", "Vallabhipur",
  H552="Umrala", "Vallabhipur",
  H552="Shihor", "Shihor",
  H552="Ghogha", "Bhavnagar",
  H552="Bhavnagar", "Bhavnagar"
)</f>
        <v>#N/A</v>
      </c>
      <c r="J552" s="5"/>
      <c r="K552" s="5"/>
      <c r="M552" s="5"/>
      <c r="Q552" s="7">
        <f t="shared" si="108"/>
        <v>120</v>
      </c>
      <c r="S552" s="33"/>
      <c r="U552" s="10"/>
      <c r="V552" s="10" t="str">
        <f t="shared" si="109"/>
        <v>Equals</v>
      </c>
      <c r="W552" s="11" t="str" cm="1">
        <f t="array" ref="W552">NumberToWords(T552)</f>
        <v>Zero Rupees Only</v>
      </c>
      <c r="X552" s="10" t="str">
        <f t="shared" si="118"/>
        <v>Division</v>
      </c>
      <c r="Z552" s="9">
        <f t="shared" si="110"/>
        <v>0</v>
      </c>
      <c r="AB552" s="8">
        <f>_xlfn.XLOOKUP(AA552, 'Agency List'!A$2:A$145, 'Agency List'!B$2:B$145, "Not Found")</f>
        <v>0</v>
      </c>
      <c r="AC552" s="8">
        <f>_xlfn.XLOOKUP(AA552, 'Agency List'!A$2:A$145, 'Agency List'!C$2:C$145, "Not Found")</f>
        <v>0</v>
      </c>
      <c r="AD552" s="8">
        <f>_xlfn.XLOOKUP(AA552, 'Agency List'!A$2:A$145, 'Agency List'!D$2:D$145, "Not Found")</f>
        <v>0</v>
      </c>
      <c r="AE552" s="7"/>
      <c r="AF552" s="5"/>
      <c r="AG552" s="5" t="str">
        <f t="shared" si="111"/>
        <v>Bandhkam</v>
      </c>
      <c r="AH552" s="55"/>
      <c r="AI552" s="49"/>
      <c r="AJ552" s="20"/>
      <c r="AL552" s="16"/>
      <c r="AM552" s="12">
        <f t="shared" si="112"/>
        <v>0</v>
      </c>
      <c r="AN552" s="7">
        <f t="shared" si="113"/>
        <v>450</v>
      </c>
      <c r="AO552" s="12">
        <f t="shared" si="114"/>
        <v>0</v>
      </c>
      <c r="AP552" s="12">
        <f t="shared" si="115"/>
        <v>0</v>
      </c>
      <c r="AQ552" s="15">
        <f t="shared" si="116"/>
        <v>35</v>
      </c>
      <c r="AR552" s="7">
        <f t="shared" si="117"/>
        <v>390</v>
      </c>
      <c r="AS552" s="5"/>
      <c r="AU552" s="5"/>
      <c r="AV552" s="17"/>
      <c r="AW552" s="17"/>
      <c r="AX552" s="5"/>
      <c r="AY552" s="5"/>
      <c r="AZ552" s="13"/>
      <c r="BA552" s="12"/>
      <c r="BB552" s="7"/>
      <c r="BC552" s="14"/>
      <c r="BD552" s="14"/>
      <c r="BF552" s="12"/>
      <c r="BG552" s="14"/>
      <c r="BH552" s="19"/>
      <c r="BI552" s="5"/>
      <c r="BM552" s="18"/>
      <c r="BN552" s="18"/>
      <c r="BO552" s="18"/>
      <c r="BP552" s="18"/>
      <c r="BQ552" s="5"/>
      <c r="BR552" s="18"/>
      <c r="BS552" s="18"/>
      <c r="BT552" s="35">
        <f t="shared" si="119"/>
        <v>-1</v>
      </c>
    </row>
    <row r="553" spans="1:72" x14ac:dyDescent="0.35">
      <c r="A553" s="5"/>
      <c r="B553" s="5"/>
      <c r="C553" s="5"/>
      <c r="D553" s="5"/>
      <c r="E553" s="5"/>
      <c r="F553" s="8"/>
      <c r="G553" s="8"/>
      <c r="H553" s="5"/>
      <c r="I553" s="5" t="e" cm="1">
        <f t="array" ref="I553">_xlfn.IFS(
  H553="Mahuva", "Mahuva",
  H553="Jesar", "Mahuva",
  H553="Palitana", "Palitana",
  H553="Gariyadhar", "Palitana",
  H553="Talaja", "Talaja",
  H553="Vallabhipur", "Vallabhipur",
  H553="Umrala", "Vallabhipur",
  H553="Shihor", "Shihor",
  H553="Ghogha", "Bhavnagar",
  H553="Bhavnagar", "Bhavnagar"
)</f>
        <v>#N/A</v>
      </c>
      <c r="J553" s="5"/>
      <c r="K553" s="5"/>
      <c r="M553" s="5"/>
      <c r="Q553" s="7">
        <f t="shared" si="108"/>
        <v>120</v>
      </c>
      <c r="S553" s="33"/>
      <c r="U553" s="10"/>
      <c r="V553" s="10" t="str">
        <f t="shared" si="109"/>
        <v>Equals</v>
      </c>
      <c r="W553" s="11" t="str" cm="1">
        <f t="array" ref="W553">NumberToWords(T553)</f>
        <v>Zero Rupees Only</v>
      </c>
      <c r="X553" s="10" t="str">
        <f t="shared" si="118"/>
        <v>Division</v>
      </c>
      <c r="Z553" s="9">
        <f t="shared" si="110"/>
        <v>0</v>
      </c>
      <c r="AB553" s="8">
        <f>_xlfn.XLOOKUP(AA553, 'Agency List'!A$2:A$145, 'Agency List'!B$2:B$145, "Not Found")</f>
        <v>0</v>
      </c>
      <c r="AC553" s="8">
        <f>_xlfn.XLOOKUP(AA553, 'Agency List'!A$2:A$145, 'Agency List'!C$2:C$145, "Not Found")</f>
        <v>0</v>
      </c>
      <c r="AD553" s="8">
        <f>_xlfn.XLOOKUP(AA553, 'Agency List'!A$2:A$145, 'Agency List'!D$2:D$145, "Not Found")</f>
        <v>0</v>
      </c>
      <c r="AE553" s="7"/>
      <c r="AF553" s="5"/>
      <c r="AG553" s="5" t="str">
        <f t="shared" si="111"/>
        <v>Bandhkam</v>
      </c>
      <c r="AH553" s="55"/>
      <c r="AI553" s="49"/>
      <c r="AJ553" s="20"/>
      <c r="AL553" s="16"/>
      <c r="AM553" s="12">
        <f t="shared" si="112"/>
        <v>0</v>
      </c>
      <c r="AN553" s="7">
        <f t="shared" si="113"/>
        <v>450</v>
      </c>
      <c r="AO553" s="12">
        <f t="shared" si="114"/>
        <v>0</v>
      </c>
      <c r="AP553" s="12">
        <f t="shared" si="115"/>
        <v>0</v>
      </c>
      <c r="AQ553" s="15">
        <f t="shared" si="116"/>
        <v>35</v>
      </c>
      <c r="AR553" s="7">
        <f t="shared" si="117"/>
        <v>390</v>
      </c>
      <c r="AS553" s="5"/>
      <c r="AU553" s="5"/>
      <c r="AV553" s="17"/>
      <c r="AW553" s="17"/>
      <c r="AX553" s="5"/>
      <c r="AY553" s="5"/>
      <c r="AZ553" s="13"/>
      <c r="BA553" s="12"/>
      <c r="BB553" s="7"/>
      <c r="BC553" s="14"/>
      <c r="BD553" s="14"/>
      <c r="BF553" s="12"/>
      <c r="BG553" s="14"/>
      <c r="BH553" s="19"/>
      <c r="BI553" s="5"/>
      <c r="BM553" s="18"/>
      <c r="BN553" s="18"/>
      <c r="BO553" s="18"/>
      <c r="BP553" s="18"/>
      <c r="BQ553" s="5"/>
      <c r="BR553" s="18"/>
      <c r="BS553" s="18"/>
      <c r="BT553" s="35">
        <f t="shared" si="119"/>
        <v>-1</v>
      </c>
    </row>
    <row r="554" spans="1:72" x14ac:dyDescent="0.35">
      <c r="A554" s="5"/>
      <c r="B554" s="5"/>
      <c r="C554" s="5"/>
      <c r="D554" s="5"/>
      <c r="E554" s="5"/>
      <c r="F554" s="8"/>
      <c r="G554" s="8"/>
      <c r="H554" s="5"/>
      <c r="I554" s="5" t="e" cm="1">
        <f t="array" ref="I554">_xlfn.IFS(
  H554="Mahuva", "Mahuva",
  H554="Jesar", "Mahuva",
  H554="Palitana", "Palitana",
  H554="Gariyadhar", "Palitana",
  H554="Talaja", "Talaja",
  H554="Vallabhipur", "Vallabhipur",
  H554="Umrala", "Vallabhipur",
  H554="Shihor", "Shihor",
  H554="Ghogha", "Bhavnagar",
  H554="Bhavnagar", "Bhavnagar"
)</f>
        <v>#N/A</v>
      </c>
      <c r="J554" s="5"/>
      <c r="K554" s="5"/>
      <c r="M554" s="5"/>
      <c r="Q554" s="7">
        <f t="shared" si="108"/>
        <v>120</v>
      </c>
      <c r="S554" s="33"/>
      <c r="U554" s="10"/>
      <c r="V554" s="10" t="str">
        <f t="shared" si="109"/>
        <v>Equals</v>
      </c>
      <c r="W554" s="11" t="str" cm="1">
        <f t="array" ref="W554">NumberToWords(T554)</f>
        <v>Zero Rupees Only</v>
      </c>
      <c r="X554" s="10" t="str">
        <f t="shared" si="118"/>
        <v>Division</v>
      </c>
      <c r="Z554" s="9">
        <f t="shared" si="110"/>
        <v>0</v>
      </c>
      <c r="AB554" s="8">
        <f>_xlfn.XLOOKUP(AA554, 'Agency List'!A$2:A$145, 'Agency List'!B$2:B$145, "Not Found")</f>
        <v>0</v>
      </c>
      <c r="AC554" s="8">
        <f>_xlfn.XLOOKUP(AA554, 'Agency List'!A$2:A$145, 'Agency List'!C$2:C$145, "Not Found")</f>
        <v>0</v>
      </c>
      <c r="AD554" s="8">
        <f>_xlfn.XLOOKUP(AA554, 'Agency List'!A$2:A$145, 'Agency List'!D$2:D$145, "Not Found")</f>
        <v>0</v>
      </c>
      <c r="AE554" s="7"/>
      <c r="AF554" s="5"/>
      <c r="AG554" s="5" t="str">
        <f t="shared" si="111"/>
        <v>Bandhkam</v>
      </c>
      <c r="AH554" s="55"/>
      <c r="AI554" s="49"/>
      <c r="AJ554" s="20"/>
      <c r="AL554" s="16"/>
      <c r="AM554" s="12">
        <f t="shared" si="112"/>
        <v>0</v>
      </c>
      <c r="AN554" s="7">
        <f t="shared" si="113"/>
        <v>450</v>
      </c>
      <c r="AO554" s="12">
        <f t="shared" si="114"/>
        <v>0</v>
      </c>
      <c r="AP554" s="12">
        <f t="shared" si="115"/>
        <v>0</v>
      </c>
      <c r="AQ554" s="15">
        <f t="shared" si="116"/>
        <v>35</v>
      </c>
      <c r="AR554" s="7">
        <f t="shared" si="117"/>
        <v>390</v>
      </c>
      <c r="AS554" s="5"/>
      <c r="AU554" s="5"/>
      <c r="AV554" s="17"/>
      <c r="AW554" s="17"/>
      <c r="AX554" s="5"/>
      <c r="AY554" s="5"/>
      <c r="AZ554" s="13"/>
      <c r="BA554" s="12"/>
      <c r="BB554" s="7"/>
      <c r="BC554" s="14"/>
      <c r="BD554" s="14"/>
      <c r="BF554" s="12"/>
      <c r="BG554" s="14"/>
      <c r="BH554" s="19"/>
      <c r="BI554" s="5"/>
      <c r="BM554" s="18"/>
      <c r="BN554" s="18"/>
      <c r="BO554" s="18"/>
      <c r="BP554" s="18"/>
      <c r="BQ554" s="5"/>
      <c r="BR554" s="18"/>
      <c r="BS554" s="18"/>
      <c r="BT554" s="35">
        <f t="shared" si="119"/>
        <v>-1</v>
      </c>
    </row>
    <row r="555" spans="1:72" x14ac:dyDescent="0.35">
      <c r="A555" s="5"/>
      <c r="B555" s="5"/>
      <c r="C555" s="5"/>
      <c r="D555" s="5"/>
      <c r="E555" s="5"/>
      <c r="F555" s="8"/>
      <c r="G555" s="8"/>
      <c r="H555" s="5"/>
      <c r="I555" s="5" t="e" cm="1">
        <f t="array" ref="I555">_xlfn.IFS(
  H555="Mahuva", "Mahuva",
  H555="Jesar", "Mahuva",
  H555="Palitana", "Palitana",
  H555="Gariyadhar", "Palitana",
  H555="Talaja", "Talaja",
  H555="Vallabhipur", "Vallabhipur",
  H555="Umrala", "Vallabhipur",
  H555="Shihor", "Shihor",
  H555="Ghogha", "Bhavnagar",
  H555="Bhavnagar", "Bhavnagar"
)</f>
        <v>#N/A</v>
      </c>
      <c r="J555" s="5"/>
      <c r="K555" s="5"/>
      <c r="M555" s="5"/>
      <c r="Q555" s="7">
        <f t="shared" si="108"/>
        <v>120</v>
      </c>
      <c r="S555" s="33"/>
      <c r="U555" s="10"/>
      <c r="V555" s="10" t="str">
        <f t="shared" si="109"/>
        <v>Equals</v>
      </c>
      <c r="W555" s="11" t="str" cm="1">
        <f t="array" ref="W555">NumberToWords(T555)</f>
        <v>Zero Rupees Only</v>
      </c>
      <c r="X555" s="10" t="str">
        <f t="shared" si="118"/>
        <v>Division</v>
      </c>
      <c r="Z555" s="9">
        <f t="shared" si="110"/>
        <v>0</v>
      </c>
      <c r="AB555" s="8">
        <f>_xlfn.XLOOKUP(AA555, 'Agency List'!A$2:A$145, 'Agency List'!B$2:B$145, "Not Found")</f>
        <v>0</v>
      </c>
      <c r="AC555" s="8">
        <f>_xlfn.XLOOKUP(AA555, 'Agency List'!A$2:A$145, 'Agency List'!C$2:C$145, "Not Found")</f>
        <v>0</v>
      </c>
      <c r="AD555" s="8">
        <f>_xlfn.XLOOKUP(AA555, 'Agency List'!A$2:A$145, 'Agency List'!D$2:D$145, "Not Found")</f>
        <v>0</v>
      </c>
      <c r="AE555" s="7"/>
      <c r="AF555" s="5"/>
      <c r="AG555" s="5" t="str">
        <f t="shared" si="111"/>
        <v>Bandhkam</v>
      </c>
      <c r="AH555" s="55"/>
      <c r="AI555" s="49"/>
      <c r="AJ555" s="20"/>
      <c r="AL555" s="16"/>
      <c r="AM555" s="12">
        <f t="shared" si="112"/>
        <v>0</v>
      </c>
      <c r="AN555" s="7">
        <f t="shared" si="113"/>
        <v>450</v>
      </c>
      <c r="AO555" s="12">
        <f t="shared" si="114"/>
        <v>0</v>
      </c>
      <c r="AP555" s="12">
        <f t="shared" si="115"/>
        <v>0</v>
      </c>
      <c r="AQ555" s="15">
        <f t="shared" si="116"/>
        <v>35</v>
      </c>
      <c r="AR555" s="7">
        <f t="shared" si="117"/>
        <v>390</v>
      </c>
      <c r="AS555" s="5"/>
      <c r="AU555" s="5"/>
      <c r="AV555" s="17"/>
      <c r="AW555" s="17"/>
      <c r="AX555" s="5"/>
      <c r="AY555" s="5"/>
      <c r="AZ555" s="13"/>
      <c r="BA555" s="12"/>
      <c r="BB555" s="7"/>
      <c r="BC555" s="14"/>
      <c r="BD555" s="14"/>
      <c r="BF555" s="12"/>
      <c r="BG555" s="14"/>
      <c r="BH555" s="19"/>
      <c r="BI555" s="5"/>
      <c r="BM555" s="18"/>
      <c r="BN555" s="18"/>
      <c r="BO555" s="18"/>
      <c r="BP555" s="18"/>
      <c r="BQ555" s="5"/>
      <c r="BR555" s="18"/>
      <c r="BS555" s="18"/>
      <c r="BT555" s="35">
        <f t="shared" si="119"/>
        <v>-1</v>
      </c>
    </row>
    <row r="556" spans="1:72" x14ac:dyDescent="0.35">
      <c r="A556" s="5"/>
      <c r="B556" s="5"/>
      <c r="C556" s="5"/>
      <c r="D556" s="5"/>
      <c r="E556" s="5"/>
      <c r="F556" s="8"/>
      <c r="G556" s="8"/>
      <c r="H556" s="5"/>
      <c r="I556" s="5" t="e" cm="1">
        <f t="array" ref="I556">_xlfn.IFS(
  H556="Mahuva", "Mahuva",
  H556="Jesar", "Mahuva",
  H556="Palitana", "Palitana",
  H556="Gariyadhar", "Palitana",
  H556="Talaja", "Talaja",
  H556="Vallabhipur", "Vallabhipur",
  H556="Umrala", "Vallabhipur",
  H556="Shihor", "Shihor",
  H556="Ghogha", "Bhavnagar",
  H556="Bhavnagar", "Bhavnagar"
)</f>
        <v>#N/A</v>
      </c>
      <c r="J556" s="5"/>
      <c r="K556" s="5"/>
      <c r="M556" s="5"/>
      <c r="Q556" s="7">
        <f t="shared" si="108"/>
        <v>120</v>
      </c>
      <c r="S556" s="33"/>
      <c r="U556" s="10"/>
      <c r="V556" s="10" t="str">
        <f t="shared" si="109"/>
        <v>Equals</v>
      </c>
      <c r="W556" s="11" t="str" cm="1">
        <f t="array" ref="W556">NumberToWords(T556)</f>
        <v>Zero Rupees Only</v>
      </c>
      <c r="X556" s="10" t="str">
        <f t="shared" si="118"/>
        <v>Division</v>
      </c>
      <c r="Z556" s="9">
        <f t="shared" si="110"/>
        <v>0</v>
      </c>
      <c r="AB556" s="8">
        <f>_xlfn.XLOOKUP(AA556, 'Agency List'!A$2:A$145, 'Agency List'!B$2:B$145, "Not Found")</f>
        <v>0</v>
      </c>
      <c r="AC556" s="8">
        <f>_xlfn.XLOOKUP(AA556, 'Agency List'!A$2:A$145, 'Agency List'!C$2:C$145, "Not Found")</f>
        <v>0</v>
      </c>
      <c r="AD556" s="8">
        <f>_xlfn.XLOOKUP(AA556, 'Agency List'!A$2:A$145, 'Agency List'!D$2:D$145, "Not Found")</f>
        <v>0</v>
      </c>
      <c r="AE556" s="7"/>
      <c r="AF556" s="5"/>
      <c r="AG556" s="5" t="str">
        <f t="shared" si="111"/>
        <v>Bandhkam</v>
      </c>
      <c r="AH556" s="55"/>
      <c r="AI556" s="49"/>
      <c r="AJ556" s="20"/>
      <c r="AL556" s="16"/>
      <c r="AM556" s="12">
        <f t="shared" si="112"/>
        <v>0</v>
      </c>
      <c r="AN556" s="7">
        <f t="shared" si="113"/>
        <v>450</v>
      </c>
      <c r="AO556" s="12">
        <f t="shared" si="114"/>
        <v>0</v>
      </c>
      <c r="AP556" s="12">
        <f t="shared" si="115"/>
        <v>0</v>
      </c>
      <c r="AQ556" s="15">
        <f t="shared" si="116"/>
        <v>35</v>
      </c>
      <c r="AR556" s="7">
        <f t="shared" si="117"/>
        <v>390</v>
      </c>
      <c r="AS556" s="5"/>
      <c r="AU556" s="5"/>
      <c r="AV556" s="17"/>
      <c r="AW556" s="17"/>
      <c r="AX556" s="5"/>
      <c r="AY556" s="5"/>
      <c r="AZ556" s="13"/>
      <c r="BA556" s="12"/>
      <c r="BB556" s="7"/>
      <c r="BC556" s="14"/>
      <c r="BD556" s="14"/>
      <c r="BF556" s="12"/>
      <c r="BG556" s="14"/>
      <c r="BH556" s="19"/>
      <c r="BI556" s="5"/>
      <c r="BM556" s="18"/>
      <c r="BN556" s="18"/>
      <c r="BO556" s="18"/>
      <c r="BP556" s="18"/>
      <c r="BQ556" s="5"/>
      <c r="BR556" s="18"/>
      <c r="BS556" s="18"/>
      <c r="BT556" s="35">
        <f t="shared" si="119"/>
        <v>-1</v>
      </c>
    </row>
    <row r="557" spans="1:72" x14ac:dyDescent="0.35">
      <c r="A557" s="5"/>
      <c r="B557" s="5"/>
      <c r="C557" s="5"/>
      <c r="D557" s="5"/>
      <c r="E557" s="5"/>
      <c r="F557" s="8"/>
      <c r="G557" s="8"/>
      <c r="H557" s="5"/>
      <c r="I557" s="5" t="e" cm="1">
        <f t="array" ref="I557">_xlfn.IFS(
  H557="Mahuva", "Mahuva",
  H557="Jesar", "Mahuva",
  H557="Palitana", "Palitana",
  H557="Gariyadhar", "Palitana",
  H557="Talaja", "Talaja",
  H557="Vallabhipur", "Vallabhipur",
  H557="Umrala", "Vallabhipur",
  H557="Shihor", "Shihor",
  H557="Ghogha", "Bhavnagar",
  H557="Bhavnagar", "Bhavnagar"
)</f>
        <v>#N/A</v>
      </c>
      <c r="J557" s="5"/>
      <c r="K557" s="5"/>
      <c r="M557" s="5"/>
      <c r="Q557" s="7">
        <f t="shared" si="108"/>
        <v>120</v>
      </c>
      <c r="S557" s="33"/>
      <c r="U557" s="10"/>
      <c r="V557" s="10" t="str">
        <f t="shared" si="109"/>
        <v>Equals</v>
      </c>
      <c r="W557" s="11" t="str" cm="1">
        <f t="array" ref="W557">NumberToWords(T557)</f>
        <v>Zero Rupees Only</v>
      </c>
      <c r="X557" s="10" t="str">
        <f t="shared" si="118"/>
        <v>Division</v>
      </c>
      <c r="Z557" s="9">
        <f t="shared" si="110"/>
        <v>0</v>
      </c>
      <c r="AB557" s="8">
        <f>_xlfn.XLOOKUP(AA557, 'Agency List'!A$2:A$145, 'Agency List'!B$2:B$145, "Not Found")</f>
        <v>0</v>
      </c>
      <c r="AC557" s="8">
        <f>_xlfn.XLOOKUP(AA557, 'Agency List'!A$2:A$145, 'Agency List'!C$2:C$145, "Not Found")</f>
        <v>0</v>
      </c>
      <c r="AD557" s="8">
        <f>_xlfn.XLOOKUP(AA557, 'Agency List'!A$2:A$145, 'Agency List'!D$2:D$145, "Not Found")</f>
        <v>0</v>
      </c>
      <c r="AE557" s="7"/>
      <c r="AF557" s="5"/>
      <c r="AG557" s="5" t="str">
        <f t="shared" si="111"/>
        <v>Bandhkam</v>
      </c>
      <c r="AH557" s="55"/>
      <c r="AI557" s="49"/>
      <c r="AJ557" s="20"/>
      <c r="AL557" s="16"/>
      <c r="AM557" s="12">
        <f t="shared" si="112"/>
        <v>0</v>
      </c>
      <c r="AN557" s="7">
        <f t="shared" si="113"/>
        <v>450</v>
      </c>
      <c r="AO557" s="12">
        <f t="shared" si="114"/>
        <v>0</v>
      </c>
      <c r="AP557" s="12">
        <f t="shared" si="115"/>
        <v>0</v>
      </c>
      <c r="AQ557" s="15">
        <f t="shared" si="116"/>
        <v>35</v>
      </c>
      <c r="AR557" s="7">
        <f t="shared" si="117"/>
        <v>390</v>
      </c>
      <c r="AS557" s="5"/>
      <c r="AU557" s="5"/>
      <c r="AV557" s="17"/>
      <c r="AW557" s="17"/>
      <c r="AX557" s="5"/>
      <c r="AY557" s="5"/>
      <c r="AZ557" s="13"/>
      <c r="BA557" s="12"/>
      <c r="BB557" s="7"/>
      <c r="BC557" s="14"/>
      <c r="BD557" s="14"/>
      <c r="BF557" s="12"/>
      <c r="BG557" s="14"/>
      <c r="BH557" s="19"/>
      <c r="BI557" s="5"/>
      <c r="BM557" s="18"/>
      <c r="BN557" s="18"/>
      <c r="BO557" s="18"/>
      <c r="BP557" s="18"/>
      <c r="BQ557" s="5"/>
      <c r="BR557" s="18"/>
      <c r="BS557" s="18"/>
      <c r="BT557" s="35">
        <f t="shared" si="119"/>
        <v>-1</v>
      </c>
    </row>
    <row r="558" spans="1:72" x14ac:dyDescent="0.35">
      <c r="A558" s="5"/>
      <c r="B558" s="5"/>
      <c r="C558" s="5"/>
      <c r="D558" s="5"/>
      <c r="E558" s="5"/>
      <c r="F558" s="8"/>
      <c r="G558" s="8"/>
      <c r="H558" s="5"/>
      <c r="I558" s="5" t="e" cm="1">
        <f t="array" ref="I558">_xlfn.IFS(
  H558="Mahuva", "Mahuva",
  H558="Jesar", "Mahuva",
  H558="Palitana", "Palitana",
  H558="Gariyadhar", "Palitana",
  H558="Talaja", "Talaja",
  H558="Vallabhipur", "Vallabhipur",
  H558="Umrala", "Vallabhipur",
  H558="Shihor", "Shihor",
  H558="Ghogha", "Bhavnagar",
  H558="Bhavnagar", "Bhavnagar"
)</f>
        <v>#N/A</v>
      </c>
      <c r="J558" s="5"/>
      <c r="K558" s="5"/>
      <c r="M558" s="5"/>
      <c r="Q558" s="7">
        <f t="shared" si="108"/>
        <v>120</v>
      </c>
      <c r="S558" s="33"/>
      <c r="U558" s="10"/>
      <c r="V558" s="10" t="str">
        <f t="shared" si="109"/>
        <v>Equals</v>
      </c>
      <c r="W558" s="11" t="str" cm="1">
        <f t="array" ref="W558">NumberToWords(T558)</f>
        <v>Zero Rupees Only</v>
      </c>
      <c r="X558" s="10" t="str">
        <f t="shared" si="118"/>
        <v>Division</v>
      </c>
      <c r="Z558" s="9">
        <f t="shared" si="110"/>
        <v>0</v>
      </c>
      <c r="AB558" s="8">
        <f>_xlfn.XLOOKUP(AA558, 'Agency List'!A$2:A$145, 'Agency List'!B$2:B$145, "Not Found")</f>
        <v>0</v>
      </c>
      <c r="AC558" s="8">
        <f>_xlfn.XLOOKUP(AA558, 'Agency List'!A$2:A$145, 'Agency List'!C$2:C$145, "Not Found")</f>
        <v>0</v>
      </c>
      <c r="AD558" s="8">
        <f>_xlfn.XLOOKUP(AA558, 'Agency List'!A$2:A$145, 'Agency List'!D$2:D$145, "Not Found")</f>
        <v>0</v>
      </c>
      <c r="AE558" s="7"/>
      <c r="AF558" s="5"/>
      <c r="AG558" s="5" t="str">
        <f t="shared" si="111"/>
        <v>Bandhkam</v>
      </c>
      <c r="AH558" s="55"/>
      <c r="AI558" s="49"/>
      <c r="AJ558" s="20"/>
      <c r="AL558" s="16"/>
      <c r="AM558" s="12">
        <f t="shared" si="112"/>
        <v>0</v>
      </c>
      <c r="AN558" s="7">
        <f t="shared" si="113"/>
        <v>450</v>
      </c>
      <c r="AO558" s="12">
        <f t="shared" si="114"/>
        <v>0</v>
      </c>
      <c r="AP558" s="12">
        <f t="shared" si="115"/>
        <v>0</v>
      </c>
      <c r="AQ558" s="15">
        <f t="shared" si="116"/>
        <v>35</v>
      </c>
      <c r="AR558" s="7">
        <f t="shared" si="117"/>
        <v>390</v>
      </c>
      <c r="AS558" s="5"/>
      <c r="AU558" s="5"/>
      <c r="AV558" s="17"/>
      <c r="AW558" s="17"/>
      <c r="AX558" s="5"/>
      <c r="AY558" s="5"/>
      <c r="AZ558" s="13"/>
      <c r="BA558" s="12"/>
      <c r="BB558" s="7"/>
      <c r="BC558" s="14"/>
      <c r="BD558" s="14"/>
      <c r="BF558" s="12"/>
      <c r="BG558" s="14"/>
      <c r="BH558" s="19"/>
      <c r="BI558" s="5"/>
      <c r="BM558" s="18"/>
      <c r="BN558" s="18"/>
      <c r="BO558" s="18"/>
      <c r="BP558" s="18"/>
      <c r="BQ558" s="5"/>
      <c r="BR558" s="18"/>
      <c r="BS558" s="18"/>
      <c r="BT558" s="35">
        <f t="shared" si="119"/>
        <v>-1</v>
      </c>
    </row>
    <row r="559" spans="1:72" x14ac:dyDescent="0.35">
      <c r="A559" s="5"/>
      <c r="B559" s="5"/>
      <c r="C559" s="5"/>
      <c r="D559" s="5"/>
      <c r="E559" s="5"/>
      <c r="F559" s="8"/>
      <c r="G559" s="8"/>
      <c r="H559" s="5"/>
      <c r="I559" s="5" t="e" cm="1">
        <f t="array" ref="I559">_xlfn.IFS(
  H559="Mahuva", "Mahuva",
  H559="Jesar", "Mahuva",
  H559="Palitana", "Palitana",
  H559="Gariyadhar", "Palitana",
  H559="Talaja", "Talaja",
  H559="Vallabhipur", "Vallabhipur",
  H559="Umrala", "Vallabhipur",
  H559="Shihor", "Shihor",
  H559="Ghogha", "Bhavnagar",
  H559="Bhavnagar", "Bhavnagar"
)</f>
        <v>#N/A</v>
      </c>
      <c r="J559" s="5"/>
      <c r="K559" s="5"/>
      <c r="M559" s="5"/>
      <c r="Q559" s="7">
        <f t="shared" si="108"/>
        <v>120</v>
      </c>
      <c r="S559" s="33"/>
      <c r="U559" s="10"/>
      <c r="V559" s="10" t="str">
        <f t="shared" si="109"/>
        <v>Equals</v>
      </c>
      <c r="W559" s="11" t="str" cm="1">
        <f t="array" ref="W559">NumberToWords(T559)</f>
        <v>Zero Rupees Only</v>
      </c>
      <c r="X559" s="10" t="str">
        <f t="shared" si="118"/>
        <v>Division</v>
      </c>
      <c r="Z559" s="9">
        <f t="shared" si="110"/>
        <v>0</v>
      </c>
      <c r="AB559" s="8">
        <f>_xlfn.XLOOKUP(AA559, 'Agency List'!A$2:A$145, 'Agency List'!B$2:B$145, "Not Found")</f>
        <v>0</v>
      </c>
      <c r="AC559" s="8">
        <f>_xlfn.XLOOKUP(AA559, 'Agency List'!A$2:A$145, 'Agency List'!C$2:C$145, "Not Found")</f>
        <v>0</v>
      </c>
      <c r="AD559" s="8">
        <f>_xlfn.XLOOKUP(AA559, 'Agency List'!A$2:A$145, 'Agency List'!D$2:D$145, "Not Found")</f>
        <v>0</v>
      </c>
      <c r="AE559" s="7"/>
      <c r="AF559" s="5"/>
      <c r="AG559" s="5" t="str">
        <f t="shared" si="111"/>
        <v>Bandhkam</v>
      </c>
      <c r="AH559" s="55"/>
      <c r="AI559" s="49"/>
      <c r="AJ559" s="20"/>
      <c r="AL559" s="16"/>
      <c r="AM559" s="12">
        <f t="shared" si="112"/>
        <v>0</v>
      </c>
      <c r="AN559" s="7">
        <f t="shared" si="113"/>
        <v>450</v>
      </c>
      <c r="AO559" s="12">
        <f t="shared" si="114"/>
        <v>0</v>
      </c>
      <c r="AP559" s="12">
        <f t="shared" si="115"/>
        <v>0</v>
      </c>
      <c r="AQ559" s="15">
        <f t="shared" si="116"/>
        <v>35</v>
      </c>
      <c r="AR559" s="7">
        <f t="shared" si="117"/>
        <v>390</v>
      </c>
      <c r="AS559" s="5"/>
      <c r="AU559" s="5"/>
      <c r="AV559" s="17"/>
      <c r="AW559" s="17"/>
      <c r="AX559" s="5"/>
      <c r="AY559" s="5"/>
      <c r="AZ559" s="13"/>
      <c r="BA559" s="12"/>
      <c r="BB559" s="7"/>
      <c r="BC559" s="14"/>
      <c r="BD559" s="14"/>
      <c r="BF559" s="12"/>
      <c r="BG559" s="14"/>
      <c r="BH559" s="19"/>
      <c r="BI559" s="5"/>
      <c r="BM559" s="18"/>
      <c r="BN559" s="18"/>
      <c r="BO559" s="18"/>
      <c r="BP559" s="18"/>
      <c r="BQ559" s="5"/>
      <c r="BR559" s="18"/>
      <c r="BS559" s="18"/>
      <c r="BT559" s="35">
        <f t="shared" si="119"/>
        <v>-1</v>
      </c>
    </row>
    <row r="560" spans="1:72" x14ac:dyDescent="0.35">
      <c r="A560" s="5"/>
      <c r="B560" s="5"/>
      <c r="C560" s="5"/>
      <c r="D560" s="5"/>
      <c r="E560" s="5"/>
      <c r="F560" s="8"/>
      <c r="G560" s="8"/>
      <c r="H560" s="5"/>
      <c r="I560" s="5" t="e" cm="1">
        <f t="array" ref="I560">_xlfn.IFS(
  H560="Mahuva", "Mahuva",
  H560="Jesar", "Mahuva",
  H560="Palitana", "Palitana",
  H560="Gariyadhar", "Palitana",
  H560="Talaja", "Talaja",
  H560="Vallabhipur", "Vallabhipur",
  H560="Umrala", "Vallabhipur",
  H560="Shihor", "Shihor",
  H560="Ghogha", "Bhavnagar",
  H560="Bhavnagar", "Bhavnagar"
)</f>
        <v>#N/A</v>
      </c>
      <c r="J560" s="5"/>
      <c r="K560" s="5"/>
      <c r="M560" s="5"/>
      <c r="Q560" s="7">
        <f t="shared" si="108"/>
        <v>120</v>
      </c>
      <c r="S560" s="33"/>
      <c r="U560" s="10"/>
      <c r="V560" s="10" t="str">
        <f t="shared" si="109"/>
        <v>Equals</v>
      </c>
      <c r="W560" s="11" t="str" cm="1">
        <f t="array" ref="W560">NumberToWords(T560)</f>
        <v>Zero Rupees Only</v>
      </c>
      <c r="X560" s="10" t="str">
        <f t="shared" si="118"/>
        <v>Division</v>
      </c>
      <c r="Z560" s="9">
        <f t="shared" si="110"/>
        <v>0</v>
      </c>
      <c r="AB560" s="8">
        <f>_xlfn.XLOOKUP(AA560, 'Agency List'!A$2:A$145, 'Agency List'!B$2:B$145, "Not Found")</f>
        <v>0</v>
      </c>
      <c r="AC560" s="8">
        <f>_xlfn.XLOOKUP(AA560, 'Agency List'!A$2:A$145, 'Agency List'!C$2:C$145, "Not Found")</f>
        <v>0</v>
      </c>
      <c r="AD560" s="8">
        <f>_xlfn.XLOOKUP(AA560, 'Agency List'!A$2:A$145, 'Agency List'!D$2:D$145, "Not Found")</f>
        <v>0</v>
      </c>
      <c r="AE560" s="7"/>
      <c r="AF560" s="5"/>
      <c r="AG560" s="5" t="str">
        <f t="shared" si="111"/>
        <v>Bandhkam</v>
      </c>
      <c r="AH560" s="55"/>
      <c r="AI560" s="49"/>
      <c r="AJ560" s="20"/>
      <c r="AL560" s="16"/>
      <c r="AM560" s="12">
        <f t="shared" si="112"/>
        <v>0</v>
      </c>
      <c r="AN560" s="7">
        <f t="shared" si="113"/>
        <v>450</v>
      </c>
      <c r="AO560" s="12">
        <f t="shared" si="114"/>
        <v>0</v>
      </c>
      <c r="AP560" s="12">
        <f t="shared" si="115"/>
        <v>0</v>
      </c>
      <c r="AQ560" s="15">
        <f t="shared" si="116"/>
        <v>35</v>
      </c>
      <c r="AR560" s="7">
        <f t="shared" si="117"/>
        <v>390</v>
      </c>
      <c r="AS560" s="5"/>
      <c r="AU560" s="5"/>
      <c r="AV560" s="17"/>
      <c r="AW560" s="17"/>
      <c r="AX560" s="5"/>
      <c r="AY560" s="5"/>
      <c r="AZ560" s="13"/>
      <c r="BA560" s="12"/>
      <c r="BB560" s="7"/>
      <c r="BC560" s="14"/>
      <c r="BD560" s="14"/>
      <c r="BF560" s="12"/>
      <c r="BG560" s="14"/>
      <c r="BH560" s="19"/>
      <c r="BI560" s="5"/>
      <c r="BM560" s="18"/>
      <c r="BN560" s="18"/>
      <c r="BO560" s="18"/>
      <c r="BP560" s="18"/>
      <c r="BQ560" s="5"/>
      <c r="BR560" s="18"/>
      <c r="BS560" s="18"/>
      <c r="BT560" s="35">
        <f t="shared" si="119"/>
        <v>-1</v>
      </c>
    </row>
    <row r="561" spans="1:72" x14ac:dyDescent="0.35">
      <c r="A561" s="5"/>
      <c r="B561" s="5"/>
      <c r="C561" s="5"/>
      <c r="D561" s="5"/>
      <c r="E561" s="5"/>
      <c r="F561" s="8"/>
      <c r="G561" s="8"/>
      <c r="H561" s="5"/>
      <c r="I561" s="5" t="e" cm="1">
        <f t="array" ref="I561">_xlfn.IFS(
  H561="Mahuva", "Mahuva",
  H561="Jesar", "Mahuva",
  H561="Palitana", "Palitana",
  H561="Gariyadhar", "Palitana",
  H561="Talaja", "Talaja",
  H561="Vallabhipur", "Vallabhipur",
  H561="Umrala", "Vallabhipur",
  H561="Shihor", "Shihor",
  H561="Ghogha", "Bhavnagar",
  H561="Bhavnagar", "Bhavnagar"
)</f>
        <v>#N/A</v>
      </c>
      <c r="J561" s="5"/>
      <c r="K561" s="5"/>
      <c r="M561" s="5"/>
      <c r="Q561" s="7">
        <f t="shared" si="108"/>
        <v>120</v>
      </c>
      <c r="S561" s="33"/>
      <c r="U561" s="10"/>
      <c r="V561" s="10" t="str">
        <f t="shared" si="109"/>
        <v>Equals</v>
      </c>
      <c r="W561" s="11" t="str" cm="1">
        <f t="array" ref="W561">NumberToWords(T561)</f>
        <v>Zero Rupees Only</v>
      </c>
      <c r="X561" s="10" t="str">
        <f t="shared" si="118"/>
        <v>Division</v>
      </c>
      <c r="Z561" s="9">
        <f t="shared" si="110"/>
        <v>0</v>
      </c>
      <c r="AB561" s="8">
        <f>_xlfn.XLOOKUP(AA561, 'Agency List'!A$2:A$145, 'Agency List'!B$2:B$145, "Not Found")</f>
        <v>0</v>
      </c>
      <c r="AC561" s="8">
        <f>_xlfn.XLOOKUP(AA561, 'Agency List'!A$2:A$145, 'Agency List'!C$2:C$145, "Not Found")</f>
        <v>0</v>
      </c>
      <c r="AD561" s="8">
        <f>_xlfn.XLOOKUP(AA561, 'Agency List'!A$2:A$145, 'Agency List'!D$2:D$145, "Not Found")</f>
        <v>0</v>
      </c>
      <c r="AE561" s="7"/>
      <c r="AF561" s="5"/>
      <c r="AG561" s="5" t="str">
        <f t="shared" si="111"/>
        <v>Bandhkam</v>
      </c>
      <c r="AH561" s="55"/>
      <c r="AI561" s="49"/>
      <c r="AJ561" s="20"/>
      <c r="AL561" s="16"/>
      <c r="AM561" s="12">
        <f t="shared" si="112"/>
        <v>0</v>
      </c>
      <c r="AN561" s="7">
        <f t="shared" si="113"/>
        <v>450</v>
      </c>
      <c r="AO561" s="12">
        <f t="shared" si="114"/>
        <v>0</v>
      </c>
      <c r="AP561" s="12">
        <f t="shared" si="115"/>
        <v>0</v>
      </c>
      <c r="AQ561" s="15">
        <f t="shared" si="116"/>
        <v>35</v>
      </c>
      <c r="AR561" s="7">
        <f t="shared" si="117"/>
        <v>390</v>
      </c>
      <c r="AS561" s="5"/>
      <c r="AU561" s="5"/>
      <c r="AV561" s="17"/>
      <c r="AW561" s="17"/>
      <c r="AX561" s="5"/>
      <c r="AY561" s="5"/>
      <c r="AZ561" s="13"/>
      <c r="BA561" s="12"/>
      <c r="BB561" s="7"/>
      <c r="BC561" s="14"/>
      <c r="BD561" s="14"/>
      <c r="BF561" s="12"/>
      <c r="BG561" s="14"/>
      <c r="BH561" s="19"/>
      <c r="BI561" s="5"/>
      <c r="BM561" s="18"/>
      <c r="BN561" s="18"/>
      <c r="BO561" s="18"/>
      <c r="BP561" s="18"/>
      <c r="BQ561" s="5"/>
      <c r="BR561" s="18"/>
      <c r="BS561" s="18"/>
      <c r="BT561" s="35">
        <f t="shared" si="119"/>
        <v>-1</v>
      </c>
    </row>
    <row r="562" spans="1:72" x14ac:dyDescent="0.35">
      <c r="A562" s="5"/>
      <c r="B562" s="5"/>
      <c r="C562" s="5"/>
      <c r="D562" s="5"/>
      <c r="E562" s="5"/>
      <c r="F562" s="8"/>
      <c r="G562" s="8"/>
      <c r="H562" s="5"/>
      <c r="I562" s="5" t="e" cm="1">
        <f t="array" ref="I562">_xlfn.IFS(
  H562="Mahuva", "Mahuva",
  H562="Jesar", "Mahuva",
  H562="Palitana", "Palitana",
  H562="Gariyadhar", "Palitana",
  H562="Talaja", "Talaja",
  H562="Vallabhipur", "Vallabhipur",
  H562="Umrala", "Vallabhipur",
  H562="Shihor", "Shihor",
  H562="Ghogha", "Bhavnagar",
  H562="Bhavnagar", "Bhavnagar"
)</f>
        <v>#N/A</v>
      </c>
      <c r="J562" s="5"/>
      <c r="K562" s="5"/>
      <c r="M562" s="5"/>
      <c r="Q562" s="7">
        <f t="shared" si="108"/>
        <v>120</v>
      </c>
      <c r="S562" s="33"/>
      <c r="U562" s="10"/>
      <c r="V562" s="10" t="str">
        <f t="shared" si="109"/>
        <v>Equals</v>
      </c>
      <c r="W562" s="11" t="str" cm="1">
        <f t="array" ref="W562">NumberToWords(T562)</f>
        <v>Zero Rupees Only</v>
      </c>
      <c r="X562" s="10" t="str">
        <f t="shared" si="118"/>
        <v>Division</v>
      </c>
      <c r="Z562" s="9">
        <f t="shared" si="110"/>
        <v>0</v>
      </c>
      <c r="AB562" s="8">
        <f>_xlfn.XLOOKUP(AA562, 'Agency List'!A$2:A$145, 'Agency List'!B$2:B$145, "Not Found")</f>
        <v>0</v>
      </c>
      <c r="AC562" s="8">
        <f>_xlfn.XLOOKUP(AA562, 'Agency List'!A$2:A$145, 'Agency List'!C$2:C$145, "Not Found")</f>
        <v>0</v>
      </c>
      <c r="AD562" s="8">
        <f>_xlfn.XLOOKUP(AA562, 'Agency List'!A$2:A$145, 'Agency List'!D$2:D$145, "Not Found")</f>
        <v>0</v>
      </c>
      <c r="AE562" s="7"/>
      <c r="AF562" s="5"/>
      <c r="AG562" s="5" t="str">
        <f t="shared" si="111"/>
        <v>Bandhkam</v>
      </c>
      <c r="AH562" s="55"/>
      <c r="AI562" s="49"/>
      <c r="AJ562" s="20"/>
      <c r="AL562" s="16"/>
      <c r="AM562" s="12">
        <f t="shared" si="112"/>
        <v>0</v>
      </c>
      <c r="AN562" s="7">
        <f t="shared" si="113"/>
        <v>450</v>
      </c>
      <c r="AO562" s="12">
        <f t="shared" si="114"/>
        <v>0</v>
      </c>
      <c r="AP562" s="12">
        <f t="shared" si="115"/>
        <v>0</v>
      </c>
      <c r="AQ562" s="15">
        <f t="shared" si="116"/>
        <v>35</v>
      </c>
      <c r="AR562" s="7">
        <f t="shared" si="117"/>
        <v>390</v>
      </c>
      <c r="AS562" s="5"/>
      <c r="AU562" s="5"/>
      <c r="AV562" s="17"/>
      <c r="AW562" s="17"/>
      <c r="AX562" s="5"/>
      <c r="AY562" s="5"/>
      <c r="AZ562" s="13"/>
      <c r="BA562" s="12"/>
      <c r="BB562" s="7"/>
      <c r="BC562" s="14"/>
      <c r="BD562" s="14"/>
      <c r="BF562" s="12"/>
      <c r="BG562" s="14"/>
      <c r="BH562" s="19"/>
      <c r="BI562" s="5"/>
      <c r="BM562" s="18"/>
      <c r="BN562" s="18"/>
      <c r="BO562" s="18"/>
      <c r="BP562" s="18"/>
      <c r="BQ562" s="5"/>
      <c r="BR562" s="18"/>
      <c r="BS562" s="18"/>
      <c r="BT562" s="35">
        <f t="shared" si="119"/>
        <v>-1</v>
      </c>
    </row>
    <row r="563" spans="1:72" x14ac:dyDescent="0.35">
      <c r="A563" s="5"/>
      <c r="B563" s="5"/>
      <c r="C563" s="5"/>
      <c r="D563" s="5"/>
      <c r="E563" s="5"/>
      <c r="F563" s="8"/>
      <c r="G563" s="8"/>
      <c r="H563" s="5"/>
      <c r="I563" s="5" t="e" cm="1">
        <f t="array" ref="I563">_xlfn.IFS(
  H563="Mahuva", "Mahuva",
  H563="Jesar", "Mahuva",
  H563="Palitana", "Palitana",
  H563="Gariyadhar", "Palitana",
  H563="Talaja", "Talaja",
  H563="Vallabhipur", "Vallabhipur",
  H563="Umrala", "Vallabhipur",
  H563="Shihor", "Shihor",
  H563="Ghogha", "Bhavnagar",
  H563="Bhavnagar", "Bhavnagar"
)</f>
        <v>#N/A</v>
      </c>
      <c r="J563" s="5"/>
      <c r="K563" s="5"/>
      <c r="M563" s="5"/>
      <c r="Q563" s="7">
        <f t="shared" si="108"/>
        <v>120</v>
      </c>
      <c r="S563" s="33"/>
      <c r="U563" s="10"/>
      <c r="V563" s="10" t="str">
        <f t="shared" si="109"/>
        <v>Equals</v>
      </c>
      <c r="W563" s="11" t="str" cm="1">
        <f t="array" ref="W563">NumberToWords(T563)</f>
        <v>Zero Rupees Only</v>
      </c>
      <c r="X563" s="10" t="str">
        <f t="shared" si="118"/>
        <v>Division</v>
      </c>
      <c r="Z563" s="9">
        <f t="shared" si="110"/>
        <v>0</v>
      </c>
      <c r="AB563" s="8">
        <f>_xlfn.XLOOKUP(AA563, 'Agency List'!A$2:A$145, 'Agency List'!B$2:B$145, "Not Found")</f>
        <v>0</v>
      </c>
      <c r="AC563" s="8">
        <f>_xlfn.XLOOKUP(AA563, 'Agency List'!A$2:A$145, 'Agency List'!C$2:C$145, "Not Found")</f>
        <v>0</v>
      </c>
      <c r="AD563" s="8">
        <f>_xlfn.XLOOKUP(AA563, 'Agency List'!A$2:A$145, 'Agency List'!D$2:D$145, "Not Found")</f>
        <v>0</v>
      </c>
      <c r="AE563" s="7"/>
      <c r="AF563" s="5"/>
      <c r="AG563" s="5" t="str">
        <f t="shared" si="111"/>
        <v>Bandhkam</v>
      </c>
      <c r="AH563" s="55"/>
      <c r="AI563" s="49"/>
      <c r="AJ563" s="20"/>
      <c r="AL563" s="16"/>
      <c r="AM563" s="12">
        <f t="shared" si="112"/>
        <v>0</v>
      </c>
      <c r="AN563" s="7">
        <f t="shared" si="113"/>
        <v>450</v>
      </c>
      <c r="AO563" s="12">
        <f t="shared" si="114"/>
        <v>0</v>
      </c>
      <c r="AP563" s="12">
        <f t="shared" si="115"/>
        <v>0</v>
      </c>
      <c r="AQ563" s="15">
        <f t="shared" si="116"/>
        <v>35</v>
      </c>
      <c r="AR563" s="7">
        <f t="shared" si="117"/>
        <v>390</v>
      </c>
      <c r="AS563" s="5"/>
      <c r="AU563" s="5"/>
      <c r="AV563" s="17"/>
      <c r="AW563" s="17"/>
      <c r="AX563" s="5"/>
      <c r="AY563" s="5"/>
      <c r="AZ563" s="13"/>
      <c r="BA563" s="12"/>
      <c r="BB563" s="7"/>
      <c r="BC563" s="14"/>
      <c r="BD563" s="14"/>
      <c r="BF563" s="12"/>
      <c r="BG563" s="14"/>
      <c r="BH563" s="19"/>
      <c r="BI563" s="5"/>
      <c r="BM563" s="18"/>
      <c r="BN563" s="18"/>
      <c r="BO563" s="18"/>
      <c r="BP563" s="18"/>
      <c r="BQ563" s="5"/>
      <c r="BR563" s="18"/>
      <c r="BS563" s="18"/>
      <c r="BT563" s="35">
        <f t="shared" si="119"/>
        <v>-1</v>
      </c>
    </row>
    <row r="564" spans="1:72" x14ac:dyDescent="0.35">
      <c r="A564" s="5"/>
      <c r="B564" s="5"/>
      <c r="C564" s="5"/>
      <c r="D564" s="5"/>
      <c r="E564" s="5"/>
      <c r="F564" s="8"/>
      <c r="G564" s="8"/>
      <c r="H564" s="5"/>
      <c r="I564" s="5" t="e" cm="1">
        <f t="array" ref="I564">_xlfn.IFS(
  H564="Mahuva", "Mahuva",
  H564="Jesar", "Mahuva",
  H564="Palitana", "Palitana",
  H564="Gariyadhar", "Palitana",
  H564="Talaja", "Talaja",
  H564="Vallabhipur", "Vallabhipur",
  H564="Umrala", "Vallabhipur",
  H564="Shihor", "Shihor",
  H564="Ghogha", "Bhavnagar",
  H564="Bhavnagar", "Bhavnagar"
)</f>
        <v>#N/A</v>
      </c>
      <c r="J564" s="5"/>
      <c r="K564" s="5"/>
      <c r="M564" s="5"/>
      <c r="Q564" s="7">
        <f t="shared" si="108"/>
        <v>120</v>
      </c>
      <c r="S564" s="33"/>
      <c r="U564" s="10"/>
      <c r="V564" s="10" t="str">
        <f t="shared" si="109"/>
        <v>Equals</v>
      </c>
      <c r="W564" s="11" t="str" cm="1">
        <f t="array" ref="W564">NumberToWords(T564)</f>
        <v>Zero Rupees Only</v>
      </c>
      <c r="X564" s="10" t="str">
        <f t="shared" si="118"/>
        <v>Division</v>
      </c>
      <c r="Z564" s="9">
        <f t="shared" si="110"/>
        <v>0</v>
      </c>
      <c r="AB564" s="8">
        <f>_xlfn.XLOOKUP(AA564, 'Agency List'!A$2:A$145, 'Agency List'!B$2:B$145, "Not Found")</f>
        <v>0</v>
      </c>
      <c r="AC564" s="8">
        <f>_xlfn.XLOOKUP(AA564, 'Agency List'!A$2:A$145, 'Agency List'!C$2:C$145, "Not Found")</f>
        <v>0</v>
      </c>
      <c r="AD564" s="8">
        <f>_xlfn.XLOOKUP(AA564, 'Agency List'!A$2:A$145, 'Agency List'!D$2:D$145, "Not Found")</f>
        <v>0</v>
      </c>
      <c r="AE564" s="7"/>
      <c r="AF564" s="5"/>
      <c r="AG564" s="5" t="str">
        <f t="shared" si="111"/>
        <v>Bandhkam</v>
      </c>
      <c r="AH564" s="55"/>
      <c r="AI564" s="49"/>
      <c r="AJ564" s="20"/>
      <c r="AL564" s="16"/>
      <c r="AM564" s="12">
        <f t="shared" si="112"/>
        <v>0</v>
      </c>
      <c r="AN564" s="7">
        <f t="shared" si="113"/>
        <v>450</v>
      </c>
      <c r="AO564" s="12">
        <f t="shared" si="114"/>
        <v>0</v>
      </c>
      <c r="AP564" s="12">
        <f t="shared" si="115"/>
        <v>0</v>
      </c>
      <c r="AQ564" s="15">
        <f t="shared" si="116"/>
        <v>35</v>
      </c>
      <c r="AR564" s="7">
        <f t="shared" si="117"/>
        <v>390</v>
      </c>
      <c r="AS564" s="5"/>
      <c r="AU564" s="5"/>
      <c r="AV564" s="17"/>
      <c r="AW564" s="17"/>
      <c r="AX564" s="5"/>
      <c r="AY564" s="5"/>
      <c r="AZ564" s="13"/>
      <c r="BA564" s="12"/>
      <c r="BB564" s="7"/>
      <c r="BC564" s="14"/>
      <c r="BD564" s="14"/>
      <c r="BF564" s="12"/>
      <c r="BG564" s="14"/>
      <c r="BH564" s="19"/>
      <c r="BI564" s="5"/>
      <c r="BM564" s="18"/>
      <c r="BN564" s="18"/>
      <c r="BO564" s="18"/>
      <c r="BP564" s="18"/>
      <c r="BQ564" s="5"/>
      <c r="BR564" s="18"/>
      <c r="BS564" s="18"/>
      <c r="BT564" s="35">
        <f t="shared" si="119"/>
        <v>-1</v>
      </c>
    </row>
    <row r="565" spans="1:72" x14ac:dyDescent="0.35">
      <c r="A565" s="5"/>
      <c r="B565" s="5"/>
      <c r="C565" s="5"/>
      <c r="D565" s="5"/>
      <c r="E565" s="5"/>
      <c r="F565" s="8"/>
      <c r="G565" s="8"/>
      <c r="H565" s="5"/>
      <c r="I565" s="5" t="e" cm="1">
        <f t="array" ref="I565">_xlfn.IFS(
  H565="Mahuva", "Mahuva",
  H565="Jesar", "Mahuva",
  H565="Palitana", "Palitana",
  H565="Gariyadhar", "Palitana",
  H565="Talaja", "Talaja",
  H565="Vallabhipur", "Vallabhipur",
  H565="Umrala", "Vallabhipur",
  H565="Shihor", "Shihor",
  H565="Ghogha", "Bhavnagar",
  H565="Bhavnagar", "Bhavnagar"
)</f>
        <v>#N/A</v>
      </c>
      <c r="J565" s="5"/>
      <c r="K565" s="5"/>
      <c r="M565" s="5"/>
      <c r="Q565" s="7">
        <f t="shared" si="108"/>
        <v>120</v>
      </c>
      <c r="S565" s="33"/>
      <c r="U565" s="10"/>
      <c r="V565" s="10" t="str">
        <f t="shared" si="109"/>
        <v>Equals</v>
      </c>
      <c r="W565" s="11" t="str" cm="1">
        <f t="array" ref="W565">NumberToWords(T565)</f>
        <v>Zero Rupees Only</v>
      </c>
      <c r="X565" s="10" t="str">
        <f t="shared" si="118"/>
        <v>Division</v>
      </c>
      <c r="Z565" s="9">
        <f t="shared" si="110"/>
        <v>0</v>
      </c>
      <c r="AB565" s="8">
        <f>_xlfn.XLOOKUP(AA565, 'Agency List'!A$2:A$145, 'Agency List'!B$2:B$145, "Not Found")</f>
        <v>0</v>
      </c>
      <c r="AC565" s="8">
        <f>_xlfn.XLOOKUP(AA565, 'Agency List'!A$2:A$145, 'Agency List'!C$2:C$145, "Not Found")</f>
        <v>0</v>
      </c>
      <c r="AD565" s="8">
        <f>_xlfn.XLOOKUP(AA565, 'Agency List'!A$2:A$145, 'Agency List'!D$2:D$145, "Not Found")</f>
        <v>0</v>
      </c>
      <c r="AE565" s="7"/>
      <c r="AF565" s="5"/>
      <c r="AG565" s="5" t="str">
        <f t="shared" si="111"/>
        <v>Bandhkam</v>
      </c>
      <c r="AH565" s="55"/>
      <c r="AI565" s="49"/>
      <c r="AJ565" s="20"/>
      <c r="AL565" s="16"/>
      <c r="AM565" s="12">
        <f t="shared" si="112"/>
        <v>0</v>
      </c>
      <c r="AN565" s="7">
        <f t="shared" si="113"/>
        <v>450</v>
      </c>
      <c r="AO565" s="12">
        <f t="shared" si="114"/>
        <v>0</v>
      </c>
      <c r="AP565" s="12">
        <f t="shared" si="115"/>
        <v>0</v>
      </c>
      <c r="AQ565" s="15">
        <f t="shared" si="116"/>
        <v>35</v>
      </c>
      <c r="AR565" s="7">
        <f t="shared" si="117"/>
        <v>390</v>
      </c>
      <c r="AS565" s="5"/>
      <c r="AU565" s="5"/>
      <c r="AV565" s="17"/>
      <c r="AW565" s="17"/>
      <c r="AX565" s="5"/>
      <c r="AY565" s="5"/>
      <c r="AZ565" s="13"/>
      <c r="BA565" s="12"/>
      <c r="BB565" s="7"/>
      <c r="BC565" s="14"/>
      <c r="BD565" s="14"/>
      <c r="BF565" s="12"/>
      <c r="BG565" s="14"/>
      <c r="BH565" s="19"/>
      <c r="BI565" s="5"/>
      <c r="BM565" s="18"/>
      <c r="BN565" s="18"/>
      <c r="BO565" s="18"/>
      <c r="BP565" s="18"/>
      <c r="BQ565" s="5"/>
      <c r="BR565" s="18"/>
      <c r="BS565" s="18"/>
      <c r="BT565" s="35">
        <f t="shared" si="119"/>
        <v>-1</v>
      </c>
    </row>
    <row r="566" spans="1:72" x14ac:dyDescent="0.35">
      <c r="A566" s="5"/>
      <c r="B566" s="5"/>
      <c r="C566" s="5"/>
      <c r="D566" s="5"/>
      <c r="E566" s="5"/>
      <c r="F566" s="8"/>
      <c r="G566" s="8"/>
      <c r="H566" s="5"/>
      <c r="I566" s="5" t="e" cm="1">
        <f t="array" ref="I566">_xlfn.IFS(
  H566="Mahuva", "Mahuva",
  H566="Jesar", "Mahuva",
  H566="Palitana", "Palitana",
  H566="Gariyadhar", "Palitana",
  H566="Talaja", "Talaja",
  H566="Vallabhipur", "Vallabhipur",
  H566="Umrala", "Vallabhipur",
  H566="Shihor", "Shihor",
  H566="Ghogha", "Bhavnagar",
  H566="Bhavnagar", "Bhavnagar"
)</f>
        <v>#N/A</v>
      </c>
      <c r="J566" s="5"/>
      <c r="K566" s="5"/>
      <c r="M566" s="5"/>
      <c r="Q566" s="7">
        <f t="shared" si="108"/>
        <v>120</v>
      </c>
      <c r="S566" s="33"/>
      <c r="U566" s="10"/>
      <c r="V566" s="10" t="str">
        <f t="shared" si="109"/>
        <v>Equals</v>
      </c>
      <c r="W566" s="11" t="str" cm="1">
        <f t="array" ref="W566">NumberToWords(T566)</f>
        <v>Zero Rupees Only</v>
      </c>
      <c r="X566" s="10" t="str">
        <f t="shared" si="118"/>
        <v>Division</v>
      </c>
      <c r="Z566" s="9">
        <f t="shared" si="110"/>
        <v>0</v>
      </c>
      <c r="AB566" s="8">
        <f>_xlfn.XLOOKUP(AA566, 'Agency List'!A$2:A$145, 'Agency List'!B$2:B$145, "Not Found")</f>
        <v>0</v>
      </c>
      <c r="AC566" s="8">
        <f>_xlfn.XLOOKUP(AA566, 'Agency List'!A$2:A$145, 'Agency List'!C$2:C$145, "Not Found")</f>
        <v>0</v>
      </c>
      <c r="AD566" s="8">
        <f>_xlfn.XLOOKUP(AA566, 'Agency List'!A$2:A$145, 'Agency List'!D$2:D$145, "Not Found")</f>
        <v>0</v>
      </c>
      <c r="AE566" s="7"/>
      <c r="AF566" s="5"/>
      <c r="AG566" s="5" t="str">
        <f t="shared" si="111"/>
        <v>Bandhkam</v>
      </c>
      <c r="AH566" s="55"/>
      <c r="AI566" s="49"/>
      <c r="AJ566" s="20"/>
      <c r="AL566" s="16"/>
      <c r="AM566" s="12">
        <f t="shared" si="112"/>
        <v>0</v>
      </c>
      <c r="AN566" s="7">
        <f t="shared" si="113"/>
        <v>450</v>
      </c>
      <c r="AO566" s="12">
        <f t="shared" si="114"/>
        <v>0</v>
      </c>
      <c r="AP566" s="12">
        <f t="shared" si="115"/>
        <v>0</v>
      </c>
      <c r="AQ566" s="15">
        <f t="shared" si="116"/>
        <v>35</v>
      </c>
      <c r="AR566" s="7">
        <f t="shared" si="117"/>
        <v>390</v>
      </c>
      <c r="AS566" s="5"/>
      <c r="AU566" s="5"/>
      <c r="AV566" s="17"/>
      <c r="AW566" s="17"/>
      <c r="AX566" s="5"/>
      <c r="AY566" s="5"/>
      <c r="AZ566" s="13"/>
      <c r="BA566" s="12"/>
      <c r="BB566" s="7"/>
      <c r="BC566" s="14"/>
      <c r="BD566" s="14"/>
      <c r="BF566" s="12"/>
      <c r="BG566" s="14"/>
      <c r="BH566" s="19"/>
      <c r="BI566" s="5"/>
      <c r="BM566" s="18"/>
      <c r="BN566" s="18"/>
      <c r="BO566" s="18"/>
      <c r="BP566" s="18"/>
      <c r="BQ566" s="5"/>
      <c r="BR566" s="18"/>
      <c r="BS566" s="18"/>
      <c r="BT566" s="35">
        <f t="shared" si="119"/>
        <v>-1</v>
      </c>
    </row>
    <row r="567" spans="1:72" x14ac:dyDescent="0.35">
      <c r="A567" s="5"/>
      <c r="B567" s="5"/>
      <c r="C567" s="5"/>
      <c r="D567" s="5"/>
      <c r="E567" s="5"/>
      <c r="F567" s="8"/>
      <c r="G567" s="8"/>
      <c r="H567" s="5"/>
      <c r="I567" s="5" t="e" cm="1">
        <f t="array" ref="I567">_xlfn.IFS(
  H567="Mahuva", "Mahuva",
  H567="Jesar", "Mahuva",
  H567="Palitana", "Palitana",
  H567="Gariyadhar", "Palitana",
  H567="Talaja", "Talaja",
  H567="Vallabhipur", "Vallabhipur",
  H567="Umrala", "Vallabhipur",
  H567="Shihor", "Shihor",
  H567="Ghogha", "Bhavnagar",
  H567="Bhavnagar", "Bhavnagar"
)</f>
        <v>#N/A</v>
      </c>
      <c r="J567" s="5"/>
      <c r="K567" s="5"/>
      <c r="M567" s="5"/>
      <c r="Q567" s="7">
        <f t="shared" si="108"/>
        <v>120</v>
      </c>
      <c r="S567" s="33"/>
      <c r="U567" s="10"/>
      <c r="V567" s="10" t="str">
        <f t="shared" si="109"/>
        <v>Equals</v>
      </c>
      <c r="W567" s="11" t="str" cm="1">
        <f t="array" ref="W567">NumberToWords(T567)</f>
        <v>Zero Rupees Only</v>
      </c>
      <c r="X567" s="10" t="str">
        <f t="shared" si="118"/>
        <v>Division</v>
      </c>
      <c r="Z567" s="9">
        <f t="shared" si="110"/>
        <v>0</v>
      </c>
      <c r="AB567" s="8">
        <f>_xlfn.XLOOKUP(AA567, 'Agency List'!A$2:A$145, 'Agency List'!B$2:B$145, "Not Found")</f>
        <v>0</v>
      </c>
      <c r="AC567" s="8">
        <f>_xlfn.XLOOKUP(AA567, 'Agency List'!A$2:A$145, 'Agency List'!C$2:C$145, "Not Found")</f>
        <v>0</v>
      </c>
      <c r="AD567" s="8">
        <f>_xlfn.XLOOKUP(AA567, 'Agency List'!A$2:A$145, 'Agency List'!D$2:D$145, "Not Found")</f>
        <v>0</v>
      </c>
      <c r="AE567" s="7"/>
      <c r="AF567" s="5"/>
      <c r="AG567" s="5" t="str">
        <f t="shared" si="111"/>
        <v>Bandhkam</v>
      </c>
      <c r="AH567" s="55"/>
      <c r="AI567" s="49"/>
      <c r="AJ567" s="20"/>
      <c r="AL567" s="16"/>
      <c r="AM567" s="12">
        <f t="shared" si="112"/>
        <v>0</v>
      </c>
      <c r="AN567" s="7">
        <f t="shared" si="113"/>
        <v>450</v>
      </c>
      <c r="AO567" s="12">
        <f t="shared" si="114"/>
        <v>0</v>
      </c>
      <c r="AP567" s="12">
        <f t="shared" si="115"/>
        <v>0</v>
      </c>
      <c r="AQ567" s="15">
        <f t="shared" si="116"/>
        <v>35</v>
      </c>
      <c r="AR567" s="7">
        <f t="shared" si="117"/>
        <v>390</v>
      </c>
      <c r="AS567" s="5"/>
      <c r="AU567" s="5"/>
      <c r="AV567" s="17"/>
      <c r="AW567" s="17"/>
      <c r="AX567" s="5"/>
      <c r="AY567" s="5"/>
      <c r="AZ567" s="13"/>
      <c r="BA567" s="12"/>
      <c r="BB567" s="7"/>
      <c r="BC567" s="14"/>
      <c r="BD567" s="14"/>
      <c r="BF567" s="12"/>
      <c r="BG567" s="14"/>
      <c r="BH567" s="19"/>
      <c r="BI567" s="5"/>
      <c r="BM567" s="18"/>
      <c r="BN567" s="18"/>
      <c r="BO567" s="18"/>
      <c r="BP567" s="18"/>
      <c r="BQ567" s="5"/>
      <c r="BR567" s="18"/>
      <c r="BS567" s="18"/>
      <c r="BT567" s="35">
        <f t="shared" si="119"/>
        <v>-1</v>
      </c>
    </row>
    <row r="568" spans="1:72" x14ac:dyDescent="0.35">
      <c r="A568" s="5"/>
      <c r="B568" s="5"/>
      <c r="C568" s="5"/>
      <c r="D568" s="5"/>
      <c r="E568" s="5"/>
      <c r="F568" s="8"/>
      <c r="G568" s="8"/>
      <c r="H568" s="5"/>
      <c r="I568" s="5" t="e" cm="1">
        <f t="array" ref="I568">_xlfn.IFS(
  H568="Mahuva", "Mahuva",
  H568="Jesar", "Mahuva",
  H568="Palitana", "Palitana",
  H568="Gariyadhar", "Palitana",
  H568="Talaja", "Talaja",
  H568="Vallabhipur", "Vallabhipur",
  H568="Umrala", "Vallabhipur",
  H568="Shihor", "Shihor",
  H568="Ghogha", "Bhavnagar",
  H568="Bhavnagar", "Bhavnagar"
)</f>
        <v>#N/A</v>
      </c>
      <c r="J568" s="5"/>
      <c r="K568" s="5"/>
      <c r="M568" s="5"/>
      <c r="Q568" s="7">
        <f t="shared" si="108"/>
        <v>120</v>
      </c>
      <c r="S568" s="33"/>
      <c r="U568" s="10"/>
      <c r="V568" s="10" t="str">
        <f t="shared" si="109"/>
        <v>Equals</v>
      </c>
      <c r="W568" s="11" t="str" cm="1">
        <f t="array" ref="W568">NumberToWords(T568)</f>
        <v>Zero Rupees Only</v>
      </c>
      <c r="X568" s="10" t="str">
        <f t="shared" si="118"/>
        <v>Division</v>
      </c>
      <c r="Z568" s="9">
        <f t="shared" si="110"/>
        <v>0</v>
      </c>
      <c r="AB568" s="8">
        <f>_xlfn.XLOOKUP(AA568, 'Agency List'!A$2:A$145, 'Agency List'!B$2:B$145, "Not Found")</f>
        <v>0</v>
      </c>
      <c r="AC568" s="8">
        <f>_xlfn.XLOOKUP(AA568, 'Agency List'!A$2:A$145, 'Agency List'!C$2:C$145, "Not Found")</f>
        <v>0</v>
      </c>
      <c r="AD568" s="8">
        <f>_xlfn.XLOOKUP(AA568, 'Agency List'!A$2:A$145, 'Agency List'!D$2:D$145, "Not Found")</f>
        <v>0</v>
      </c>
      <c r="AE568" s="7"/>
      <c r="AF568" s="5"/>
      <c r="AG568" s="5" t="str">
        <f t="shared" si="111"/>
        <v>Bandhkam</v>
      </c>
      <c r="AH568" s="55"/>
      <c r="AI568" s="49"/>
      <c r="AJ568" s="20"/>
      <c r="AL568" s="16"/>
      <c r="AM568" s="12">
        <f t="shared" si="112"/>
        <v>0</v>
      </c>
      <c r="AN568" s="7">
        <f t="shared" si="113"/>
        <v>450</v>
      </c>
      <c r="AO568" s="12">
        <f t="shared" si="114"/>
        <v>0</v>
      </c>
      <c r="AP568" s="12">
        <f t="shared" si="115"/>
        <v>0</v>
      </c>
      <c r="AQ568" s="15">
        <f t="shared" si="116"/>
        <v>35</v>
      </c>
      <c r="AR568" s="7">
        <f t="shared" si="117"/>
        <v>390</v>
      </c>
      <c r="AS568" s="5"/>
      <c r="AU568" s="5"/>
      <c r="AV568" s="17"/>
      <c r="AW568" s="17"/>
      <c r="AX568" s="5"/>
      <c r="AY568" s="5"/>
      <c r="AZ568" s="13"/>
      <c r="BA568" s="12"/>
      <c r="BB568" s="7"/>
      <c r="BC568" s="14"/>
      <c r="BD568" s="14"/>
      <c r="BF568" s="12"/>
      <c r="BG568" s="14"/>
      <c r="BH568" s="19"/>
      <c r="BI568" s="5"/>
      <c r="BM568" s="18"/>
      <c r="BN568" s="18"/>
      <c r="BO568" s="18"/>
      <c r="BP568" s="18"/>
      <c r="BQ568" s="5"/>
      <c r="BR568" s="18"/>
      <c r="BS568" s="18"/>
      <c r="BT568" s="35">
        <f t="shared" si="119"/>
        <v>-1</v>
      </c>
    </row>
    <row r="569" spans="1:72" x14ac:dyDescent="0.35">
      <c r="A569" s="5"/>
      <c r="B569" s="5"/>
      <c r="C569" s="5"/>
      <c r="D569" s="5"/>
      <c r="E569" s="5"/>
      <c r="F569" s="8"/>
      <c r="G569" s="8"/>
      <c r="H569" s="5"/>
      <c r="I569" s="5" t="e" cm="1">
        <f t="array" ref="I569">_xlfn.IFS(
  H569="Mahuva", "Mahuva",
  H569="Jesar", "Mahuva",
  H569="Palitana", "Palitana",
  H569="Gariyadhar", "Palitana",
  H569="Talaja", "Talaja",
  H569="Vallabhipur", "Vallabhipur",
  H569="Umrala", "Vallabhipur",
  H569="Shihor", "Shihor",
  H569="Ghogha", "Bhavnagar",
  H569="Bhavnagar", "Bhavnagar"
)</f>
        <v>#N/A</v>
      </c>
      <c r="J569" s="5"/>
      <c r="K569" s="5"/>
      <c r="M569" s="5"/>
      <c r="Q569" s="7">
        <f t="shared" si="108"/>
        <v>120</v>
      </c>
      <c r="S569" s="33"/>
      <c r="U569" s="10"/>
      <c r="V569" s="10" t="str">
        <f t="shared" si="109"/>
        <v>Equals</v>
      </c>
      <c r="W569" s="11" t="str" cm="1">
        <f t="array" ref="W569">NumberToWords(T569)</f>
        <v>Zero Rupees Only</v>
      </c>
      <c r="X569" s="10" t="str">
        <f t="shared" si="118"/>
        <v>Division</v>
      </c>
      <c r="Z569" s="9">
        <f t="shared" si="110"/>
        <v>0</v>
      </c>
      <c r="AB569" s="8">
        <f>_xlfn.XLOOKUP(AA569, 'Agency List'!A$2:A$145, 'Agency List'!B$2:B$145, "Not Found")</f>
        <v>0</v>
      </c>
      <c r="AC569" s="8">
        <f>_xlfn.XLOOKUP(AA569, 'Agency List'!A$2:A$145, 'Agency List'!C$2:C$145, "Not Found")</f>
        <v>0</v>
      </c>
      <c r="AD569" s="8">
        <f>_xlfn.XLOOKUP(AA569, 'Agency List'!A$2:A$145, 'Agency List'!D$2:D$145, "Not Found")</f>
        <v>0</v>
      </c>
      <c r="AE569" s="7"/>
      <c r="AF569" s="5"/>
      <c r="AG569" s="5" t="str">
        <f t="shared" si="111"/>
        <v>Bandhkam</v>
      </c>
      <c r="AH569" s="55"/>
      <c r="AI569" s="49"/>
      <c r="AJ569" s="20"/>
      <c r="AL569" s="16"/>
      <c r="AM569" s="12">
        <f t="shared" si="112"/>
        <v>0</v>
      </c>
      <c r="AN569" s="7">
        <f t="shared" si="113"/>
        <v>450</v>
      </c>
      <c r="AO569" s="12">
        <f t="shared" si="114"/>
        <v>0</v>
      </c>
      <c r="AP569" s="12">
        <f t="shared" si="115"/>
        <v>0</v>
      </c>
      <c r="AQ569" s="15">
        <f t="shared" si="116"/>
        <v>35</v>
      </c>
      <c r="AR569" s="7">
        <f t="shared" si="117"/>
        <v>390</v>
      </c>
      <c r="AS569" s="5"/>
      <c r="AU569" s="5"/>
      <c r="AV569" s="17"/>
      <c r="AW569" s="17"/>
      <c r="AX569" s="5"/>
      <c r="AY569" s="5"/>
      <c r="AZ569" s="13"/>
      <c r="BA569" s="12"/>
      <c r="BB569" s="7"/>
      <c r="BC569" s="14"/>
      <c r="BD569" s="14"/>
      <c r="BF569" s="12"/>
      <c r="BG569" s="14"/>
      <c r="BH569" s="19"/>
      <c r="BI569" s="5"/>
      <c r="BM569" s="18"/>
      <c r="BN569" s="18"/>
      <c r="BO569" s="18"/>
      <c r="BP569" s="18"/>
      <c r="BQ569" s="5"/>
      <c r="BR569" s="18"/>
      <c r="BS569" s="18"/>
      <c r="BT569" s="35">
        <f t="shared" si="119"/>
        <v>-1</v>
      </c>
    </row>
    <row r="570" spans="1:72" x14ac:dyDescent="0.35">
      <c r="A570" s="5"/>
      <c r="B570" s="5"/>
      <c r="C570" s="5"/>
      <c r="D570" s="5"/>
      <c r="E570" s="5"/>
      <c r="F570" s="8"/>
      <c r="G570" s="8"/>
      <c r="H570" s="5"/>
      <c r="I570" s="5" t="e" cm="1">
        <f t="array" ref="I570">_xlfn.IFS(
  H570="Mahuva", "Mahuva",
  H570="Jesar", "Mahuva",
  H570="Palitana", "Palitana",
  H570="Gariyadhar", "Palitana",
  H570="Talaja", "Talaja",
  H570="Vallabhipur", "Vallabhipur",
  H570="Umrala", "Vallabhipur",
  H570="Shihor", "Shihor",
  H570="Ghogha", "Bhavnagar",
  H570="Bhavnagar", "Bhavnagar"
)</f>
        <v>#N/A</v>
      </c>
      <c r="J570" s="5"/>
      <c r="K570" s="5"/>
      <c r="M570" s="5"/>
      <c r="Q570" s="7">
        <f t="shared" si="108"/>
        <v>120</v>
      </c>
      <c r="S570" s="33"/>
      <c r="U570" s="10"/>
      <c r="V570" s="10" t="str">
        <f t="shared" si="109"/>
        <v>Equals</v>
      </c>
      <c r="W570" s="11" t="str" cm="1">
        <f t="array" ref="W570">NumberToWords(T570)</f>
        <v>Zero Rupees Only</v>
      </c>
      <c r="X570" s="10" t="str">
        <f t="shared" si="118"/>
        <v>Division</v>
      </c>
      <c r="Z570" s="9">
        <f t="shared" si="110"/>
        <v>0</v>
      </c>
      <c r="AB570" s="8">
        <f>_xlfn.XLOOKUP(AA570, 'Agency List'!A$2:A$145, 'Agency List'!B$2:B$145, "Not Found")</f>
        <v>0</v>
      </c>
      <c r="AC570" s="8">
        <f>_xlfn.XLOOKUP(AA570, 'Agency List'!A$2:A$145, 'Agency List'!C$2:C$145, "Not Found")</f>
        <v>0</v>
      </c>
      <c r="AD570" s="8">
        <f>_xlfn.XLOOKUP(AA570, 'Agency List'!A$2:A$145, 'Agency List'!D$2:D$145, "Not Found")</f>
        <v>0</v>
      </c>
      <c r="AE570" s="7"/>
      <c r="AF570" s="5"/>
      <c r="AG570" s="5" t="str">
        <f t="shared" si="111"/>
        <v>Bandhkam</v>
      </c>
      <c r="AH570" s="55"/>
      <c r="AI570" s="49"/>
      <c r="AJ570" s="20"/>
      <c r="AL570" s="16"/>
      <c r="AM570" s="12">
        <f t="shared" si="112"/>
        <v>0</v>
      </c>
      <c r="AN570" s="7">
        <f t="shared" si="113"/>
        <v>450</v>
      </c>
      <c r="AO570" s="12">
        <f t="shared" si="114"/>
        <v>0</v>
      </c>
      <c r="AP570" s="12">
        <f t="shared" si="115"/>
        <v>0</v>
      </c>
      <c r="AQ570" s="15">
        <f t="shared" si="116"/>
        <v>35</v>
      </c>
      <c r="AR570" s="7">
        <f t="shared" si="117"/>
        <v>390</v>
      </c>
      <c r="AS570" s="5"/>
      <c r="AU570" s="5"/>
      <c r="AV570" s="17"/>
      <c r="AW570" s="17"/>
      <c r="AX570" s="5"/>
      <c r="AY570" s="5"/>
      <c r="AZ570" s="13"/>
      <c r="BA570" s="12"/>
      <c r="BB570" s="7"/>
      <c r="BC570" s="14"/>
      <c r="BD570" s="14"/>
      <c r="BF570" s="12"/>
      <c r="BG570" s="14"/>
      <c r="BH570" s="19"/>
      <c r="BI570" s="5"/>
      <c r="BM570" s="18"/>
      <c r="BN570" s="18"/>
      <c r="BO570" s="18"/>
      <c r="BP570" s="18"/>
      <c r="BQ570" s="5"/>
      <c r="BR570" s="18"/>
      <c r="BS570" s="18"/>
      <c r="BT570" s="35">
        <f t="shared" si="119"/>
        <v>-1</v>
      </c>
    </row>
    <row r="571" spans="1:72" x14ac:dyDescent="0.35">
      <c r="A571" s="5"/>
      <c r="B571" s="5"/>
      <c r="C571" s="5"/>
      <c r="D571" s="5"/>
      <c r="E571" s="5"/>
      <c r="F571" s="8"/>
      <c r="G571" s="8"/>
      <c r="H571" s="5"/>
      <c r="I571" s="5" t="e" cm="1">
        <f t="array" ref="I571">_xlfn.IFS(
  H571="Mahuva", "Mahuva",
  H571="Jesar", "Mahuva",
  H571="Palitana", "Palitana",
  H571="Gariyadhar", "Palitana",
  H571="Talaja", "Talaja",
  H571="Vallabhipur", "Vallabhipur",
  H571="Umrala", "Vallabhipur",
  H571="Shihor", "Shihor",
  H571="Ghogha", "Bhavnagar",
  H571="Bhavnagar", "Bhavnagar"
)</f>
        <v>#N/A</v>
      </c>
      <c r="J571" s="5"/>
      <c r="K571" s="5"/>
      <c r="M571" s="5"/>
      <c r="Q571" s="7">
        <f t="shared" si="108"/>
        <v>120</v>
      </c>
      <c r="S571" s="33"/>
      <c r="U571" s="10"/>
      <c r="V571" s="10" t="str">
        <f t="shared" si="109"/>
        <v>Equals</v>
      </c>
      <c r="W571" s="11" t="str" cm="1">
        <f t="array" ref="W571">NumberToWords(T571)</f>
        <v>Zero Rupees Only</v>
      </c>
      <c r="X571" s="10" t="str">
        <f t="shared" si="118"/>
        <v>Division</v>
      </c>
      <c r="Z571" s="9">
        <f t="shared" si="110"/>
        <v>0</v>
      </c>
      <c r="AB571" s="8">
        <f>_xlfn.XLOOKUP(AA571, 'Agency List'!A$2:A$145, 'Agency List'!B$2:B$145, "Not Found")</f>
        <v>0</v>
      </c>
      <c r="AC571" s="8">
        <f>_xlfn.XLOOKUP(AA571, 'Agency List'!A$2:A$145, 'Agency List'!C$2:C$145, "Not Found")</f>
        <v>0</v>
      </c>
      <c r="AD571" s="8">
        <f>_xlfn.XLOOKUP(AA571, 'Agency List'!A$2:A$145, 'Agency List'!D$2:D$145, "Not Found")</f>
        <v>0</v>
      </c>
      <c r="AE571" s="7"/>
      <c r="AF571" s="5"/>
      <c r="AG571" s="5" t="str">
        <f t="shared" si="111"/>
        <v>Bandhkam</v>
      </c>
      <c r="AH571" s="55"/>
      <c r="AI571" s="49"/>
      <c r="AJ571" s="20"/>
      <c r="AL571" s="16"/>
      <c r="AM571" s="12">
        <f t="shared" si="112"/>
        <v>0</v>
      </c>
      <c r="AN571" s="7">
        <f t="shared" si="113"/>
        <v>450</v>
      </c>
      <c r="AO571" s="12">
        <f t="shared" si="114"/>
        <v>0</v>
      </c>
      <c r="AP571" s="12">
        <f t="shared" si="115"/>
        <v>0</v>
      </c>
      <c r="AQ571" s="15">
        <f t="shared" si="116"/>
        <v>35</v>
      </c>
      <c r="AR571" s="7">
        <f t="shared" si="117"/>
        <v>390</v>
      </c>
      <c r="AS571" s="5"/>
      <c r="AU571" s="5"/>
      <c r="AV571" s="17"/>
      <c r="AW571" s="17"/>
      <c r="AX571" s="5"/>
      <c r="AY571" s="5"/>
      <c r="AZ571" s="13"/>
      <c r="BA571" s="12"/>
      <c r="BB571" s="7"/>
      <c r="BC571" s="14"/>
      <c r="BD571" s="14"/>
      <c r="BF571" s="12"/>
      <c r="BG571" s="14"/>
      <c r="BH571" s="19"/>
      <c r="BI571" s="5"/>
      <c r="BM571" s="18"/>
      <c r="BN571" s="18"/>
      <c r="BO571" s="18"/>
      <c r="BP571" s="18"/>
      <c r="BQ571" s="5"/>
      <c r="BR571" s="18"/>
      <c r="BS571" s="18"/>
      <c r="BT571" s="35">
        <f t="shared" si="119"/>
        <v>-1</v>
      </c>
    </row>
    <row r="572" spans="1:72" x14ac:dyDescent="0.35">
      <c r="A572" s="5"/>
      <c r="B572" s="5"/>
      <c r="C572" s="5"/>
      <c r="D572" s="5"/>
      <c r="E572" s="5"/>
      <c r="F572" s="8"/>
      <c r="G572" s="8"/>
      <c r="H572" s="5"/>
      <c r="I572" s="5" t="e" cm="1">
        <f t="array" ref="I572">_xlfn.IFS(
  H572="Mahuva", "Mahuva",
  H572="Jesar", "Mahuva",
  H572="Palitana", "Palitana",
  H572="Gariyadhar", "Palitana",
  H572="Talaja", "Talaja",
  H572="Vallabhipur", "Vallabhipur",
  H572="Umrala", "Vallabhipur",
  H572="Shihor", "Shihor",
  H572="Ghogha", "Bhavnagar",
  H572="Bhavnagar", "Bhavnagar"
)</f>
        <v>#N/A</v>
      </c>
      <c r="J572" s="5"/>
      <c r="K572" s="5"/>
      <c r="M572" s="5"/>
      <c r="Q572" s="7">
        <f t="shared" si="108"/>
        <v>120</v>
      </c>
      <c r="S572" s="33"/>
      <c r="U572" s="10"/>
      <c r="V572" s="10" t="str">
        <f t="shared" si="109"/>
        <v>Equals</v>
      </c>
      <c r="W572" s="11" t="str" cm="1">
        <f t="array" ref="W572">NumberToWords(T572)</f>
        <v>Zero Rupees Only</v>
      </c>
      <c r="X572" s="10" t="str">
        <f t="shared" si="118"/>
        <v>Division</v>
      </c>
      <c r="Z572" s="9">
        <f t="shared" si="110"/>
        <v>0</v>
      </c>
      <c r="AB572" s="8">
        <f>_xlfn.XLOOKUP(AA572, 'Agency List'!A$2:A$145, 'Agency List'!B$2:B$145, "Not Found")</f>
        <v>0</v>
      </c>
      <c r="AC572" s="8">
        <f>_xlfn.XLOOKUP(AA572, 'Agency List'!A$2:A$145, 'Agency List'!C$2:C$145, "Not Found")</f>
        <v>0</v>
      </c>
      <c r="AD572" s="8">
        <f>_xlfn.XLOOKUP(AA572, 'Agency List'!A$2:A$145, 'Agency List'!D$2:D$145, "Not Found")</f>
        <v>0</v>
      </c>
      <c r="AE572" s="7"/>
      <c r="AF572" s="5"/>
      <c r="AG572" s="5" t="str">
        <f t="shared" si="111"/>
        <v>Bandhkam</v>
      </c>
      <c r="AH572" s="55"/>
      <c r="AI572" s="49"/>
      <c r="AJ572" s="20"/>
      <c r="AL572" s="16"/>
      <c r="AM572" s="12">
        <f t="shared" si="112"/>
        <v>0</v>
      </c>
      <c r="AN572" s="7">
        <f t="shared" si="113"/>
        <v>450</v>
      </c>
      <c r="AO572" s="12">
        <f t="shared" si="114"/>
        <v>0</v>
      </c>
      <c r="AP572" s="12">
        <f t="shared" si="115"/>
        <v>0</v>
      </c>
      <c r="AQ572" s="15">
        <f t="shared" si="116"/>
        <v>35</v>
      </c>
      <c r="AR572" s="7">
        <f t="shared" si="117"/>
        <v>390</v>
      </c>
      <c r="AS572" s="5"/>
      <c r="AU572" s="5"/>
      <c r="AV572" s="17"/>
      <c r="AW572" s="17"/>
      <c r="AX572" s="5"/>
      <c r="AY572" s="5"/>
      <c r="AZ572" s="13"/>
      <c r="BA572" s="12"/>
      <c r="BB572" s="7"/>
      <c r="BC572" s="14"/>
      <c r="BD572" s="14"/>
      <c r="BF572" s="12"/>
      <c r="BG572" s="14"/>
      <c r="BH572" s="19"/>
      <c r="BI572" s="5"/>
      <c r="BM572" s="18"/>
      <c r="BN572" s="18"/>
      <c r="BO572" s="18"/>
      <c r="BP572" s="18"/>
      <c r="BQ572" s="5"/>
      <c r="BR572" s="18"/>
      <c r="BS572" s="18"/>
      <c r="BT572" s="35">
        <f t="shared" si="119"/>
        <v>-1</v>
      </c>
    </row>
    <row r="573" spans="1:72" x14ac:dyDescent="0.35">
      <c r="A573" s="5"/>
      <c r="B573" s="5"/>
      <c r="C573" s="5"/>
      <c r="D573" s="5"/>
      <c r="E573" s="5"/>
      <c r="F573" s="8"/>
      <c r="G573" s="8"/>
      <c r="H573" s="5"/>
      <c r="I573" s="5" t="e" cm="1">
        <f t="array" ref="I573">_xlfn.IFS(
  H573="Mahuva", "Mahuva",
  H573="Jesar", "Mahuva",
  H573="Palitana", "Palitana",
  H573="Gariyadhar", "Palitana",
  H573="Talaja", "Talaja",
  H573="Vallabhipur", "Vallabhipur",
  H573="Umrala", "Vallabhipur",
  H573="Shihor", "Shihor",
  H573="Ghogha", "Bhavnagar",
  H573="Bhavnagar", "Bhavnagar"
)</f>
        <v>#N/A</v>
      </c>
      <c r="J573" s="5"/>
      <c r="K573" s="5"/>
      <c r="M573" s="5"/>
      <c r="Q573" s="7">
        <f t="shared" si="108"/>
        <v>120</v>
      </c>
      <c r="S573" s="33"/>
      <c r="U573" s="10"/>
      <c r="V573" s="10" t="str">
        <f t="shared" si="109"/>
        <v>Equals</v>
      </c>
      <c r="W573" s="11" t="str" cm="1">
        <f t="array" ref="W573">NumberToWords(T573)</f>
        <v>Zero Rupees Only</v>
      </c>
      <c r="X573" s="10" t="str">
        <f t="shared" si="118"/>
        <v>Division</v>
      </c>
      <c r="Z573" s="9">
        <f t="shared" si="110"/>
        <v>0</v>
      </c>
      <c r="AB573" s="8">
        <f>_xlfn.XLOOKUP(AA573, 'Agency List'!A$2:A$145, 'Agency List'!B$2:B$145, "Not Found")</f>
        <v>0</v>
      </c>
      <c r="AC573" s="8">
        <f>_xlfn.XLOOKUP(AA573, 'Agency List'!A$2:A$145, 'Agency List'!C$2:C$145, "Not Found")</f>
        <v>0</v>
      </c>
      <c r="AD573" s="8">
        <f>_xlfn.XLOOKUP(AA573, 'Agency List'!A$2:A$145, 'Agency List'!D$2:D$145, "Not Found")</f>
        <v>0</v>
      </c>
      <c r="AE573" s="7"/>
      <c r="AF573" s="5"/>
      <c r="AG573" s="5" t="str">
        <f t="shared" si="111"/>
        <v>Bandhkam</v>
      </c>
      <c r="AH573" s="55"/>
      <c r="AI573" s="49"/>
      <c r="AJ573" s="20"/>
      <c r="AL573" s="16"/>
      <c r="AM573" s="12">
        <f t="shared" si="112"/>
        <v>0</v>
      </c>
      <c r="AN573" s="7">
        <f t="shared" si="113"/>
        <v>450</v>
      </c>
      <c r="AO573" s="12">
        <f t="shared" si="114"/>
        <v>0</v>
      </c>
      <c r="AP573" s="12">
        <f t="shared" si="115"/>
        <v>0</v>
      </c>
      <c r="AQ573" s="15">
        <f t="shared" si="116"/>
        <v>35</v>
      </c>
      <c r="AR573" s="7">
        <f t="shared" si="117"/>
        <v>390</v>
      </c>
      <c r="AS573" s="5"/>
      <c r="AU573" s="5"/>
      <c r="AV573" s="17"/>
      <c r="AW573" s="17"/>
      <c r="AX573" s="5"/>
      <c r="AY573" s="5"/>
      <c r="AZ573" s="13"/>
      <c r="BA573" s="12"/>
      <c r="BB573" s="7"/>
      <c r="BC573" s="14"/>
      <c r="BD573" s="14"/>
      <c r="BF573" s="12"/>
      <c r="BG573" s="14"/>
      <c r="BH573" s="19"/>
      <c r="BI573" s="5"/>
      <c r="BM573" s="18"/>
      <c r="BN573" s="18"/>
      <c r="BO573" s="18"/>
      <c r="BP573" s="18"/>
      <c r="BQ573" s="5"/>
      <c r="BR573" s="18"/>
      <c r="BS573" s="18"/>
      <c r="BT573" s="35">
        <f t="shared" si="119"/>
        <v>-1</v>
      </c>
    </row>
    <row r="574" spans="1:72" x14ac:dyDescent="0.35">
      <c r="A574" s="5"/>
      <c r="B574" s="5"/>
      <c r="C574" s="5"/>
      <c r="D574" s="5"/>
      <c r="E574" s="5"/>
      <c r="F574" s="8"/>
      <c r="G574" s="8"/>
      <c r="H574" s="5"/>
      <c r="I574" s="5" t="e" cm="1">
        <f t="array" ref="I574">_xlfn.IFS(
  H574="Mahuva", "Mahuva",
  H574="Jesar", "Mahuva",
  H574="Palitana", "Palitana",
  H574="Gariyadhar", "Palitana",
  H574="Talaja", "Talaja",
  H574="Vallabhipur", "Vallabhipur",
  H574="Umrala", "Vallabhipur",
  H574="Shihor", "Shihor",
  H574="Ghogha", "Bhavnagar",
  H574="Bhavnagar", "Bhavnagar"
)</f>
        <v>#N/A</v>
      </c>
      <c r="J574" s="5"/>
      <c r="K574" s="5"/>
      <c r="M574" s="5"/>
      <c r="Q574" s="7">
        <f t="shared" si="108"/>
        <v>120</v>
      </c>
      <c r="S574" s="33"/>
      <c r="U574" s="10"/>
      <c r="V574" s="10" t="str">
        <f t="shared" si="109"/>
        <v>Equals</v>
      </c>
      <c r="W574" s="11" t="str" cm="1">
        <f t="array" ref="W574">NumberToWords(T574)</f>
        <v>Zero Rupees Only</v>
      </c>
      <c r="X574" s="10" t="str">
        <f t="shared" si="118"/>
        <v>Division</v>
      </c>
      <c r="Z574" s="9">
        <f t="shared" si="110"/>
        <v>0</v>
      </c>
      <c r="AB574" s="8">
        <f>_xlfn.XLOOKUP(AA574, 'Agency List'!A$2:A$145, 'Agency List'!B$2:B$145, "Not Found")</f>
        <v>0</v>
      </c>
      <c r="AC574" s="8">
        <f>_xlfn.XLOOKUP(AA574, 'Agency List'!A$2:A$145, 'Agency List'!C$2:C$145, "Not Found")</f>
        <v>0</v>
      </c>
      <c r="AD574" s="8">
        <f>_xlfn.XLOOKUP(AA574, 'Agency List'!A$2:A$145, 'Agency List'!D$2:D$145, "Not Found")</f>
        <v>0</v>
      </c>
      <c r="AE574" s="7"/>
      <c r="AF574" s="5"/>
      <c r="AG574" s="5" t="str">
        <f t="shared" si="111"/>
        <v>Bandhkam</v>
      </c>
      <c r="AH574" s="55"/>
      <c r="AI574" s="49"/>
      <c r="AJ574" s="20"/>
      <c r="AL574" s="16"/>
      <c r="AM574" s="12">
        <f t="shared" si="112"/>
        <v>0</v>
      </c>
      <c r="AN574" s="7">
        <f t="shared" si="113"/>
        <v>450</v>
      </c>
      <c r="AO574" s="12">
        <f t="shared" si="114"/>
        <v>0</v>
      </c>
      <c r="AP574" s="12">
        <f t="shared" si="115"/>
        <v>0</v>
      </c>
      <c r="AQ574" s="15">
        <f t="shared" si="116"/>
        <v>35</v>
      </c>
      <c r="AR574" s="7">
        <f t="shared" si="117"/>
        <v>390</v>
      </c>
      <c r="AS574" s="5"/>
      <c r="AU574" s="5"/>
      <c r="AV574" s="17"/>
      <c r="AW574" s="17"/>
      <c r="AX574" s="5"/>
      <c r="AY574" s="5"/>
      <c r="AZ574" s="13"/>
      <c r="BA574" s="12"/>
      <c r="BB574" s="7"/>
      <c r="BC574" s="14"/>
      <c r="BD574" s="14"/>
      <c r="BF574" s="12"/>
      <c r="BG574" s="14"/>
      <c r="BH574" s="19"/>
      <c r="BI574" s="5"/>
      <c r="BM574" s="18"/>
      <c r="BN574" s="18"/>
      <c r="BO574" s="18"/>
      <c r="BP574" s="18"/>
      <c r="BQ574" s="5"/>
      <c r="BR574" s="18"/>
      <c r="BS574" s="18"/>
      <c r="BT574" s="35">
        <f t="shared" si="119"/>
        <v>-1</v>
      </c>
    </row>
    <row r="575" spans="1:72" x14ac:dyDescent="0.35">
      <c r="A575" s="5"/>
      <c r="B575" s="5"/>
      <c r="C575" s="5"/>
      <c r="D575" s="5"/>
      <c r="E575" s="5"/>
      <c r="F575" s="8"/>
      <c r="G575" s="8"/>
      <c r="H575" s="5"/>
      <c r="I575" s="5" t="e" cm="1">
        <f t="array" ref="I575">_xlfn.IFS(
  H575="Mahuva", "Mahuva",
  H575="Jesar", "Mahuva",
  H575="Palitana", "Palitana",
  H575="Gariyadhar", "Palitana",
  H575="Talaja", "Talaja",
  H575="Vallabhipur", "Vallabhipur",
  H575="Umrala", "Vallabhipur",
  H575="Shihor", "Shihor",
  H575="Ghogha", "Bhavnagar",
  H575="Bhavnagar", "Bhavnagar"
)</f>
        <v>#N/A</v>
      </c>
      <c r="J575" s="5"/>
      <c r="K575" s="5"/>
      <c r="M575" s="5"/>
      <c r="Q575" s="7">
        <f t="shared" si="108"/>
        <v>120</v>
      </c>
      <c r="S575" s="33"/>
      <c r="U575" s="10"/>
      <c r="V575" s="10" t="str">
        <f t="shared" si="109"/>
        <v>Equals</v>
      </c>
      <c r="W575" s="11" t="str" cm="1">
        <f t="array" ref="W575">NumberToWords(T575)</f>
        <v>Zero Rupees Only</v>
      </c>
      <c r="X575" s="10" t="str">
        <f t="shared" si="118"/>
        <v>Division</v>
      </c>
      <c r="Z575" s="9">
        <f t="shared" si="110"/>
        <v>0</v>
      </c>
      <c r="AB575" s="8">
        <f>_xlfn.XLOOKUP(AA575, 'Agency List'!A$2:A$145, 'Agency List'!B$2:B$145, "Not Found")</f>
        <v>0</v>
      </c>
      <c r="AC575" s="8">
        <f>_xlfn.XLOOKUP(AA575, 'Agency List'!A$2:A$145, 'Agency List'!C$2:C$145, "Not Found")</f>
        <v>0</v>
      </c>
      <c r="AD575" s="8">
        <f>_xlfn.XLOOKUP(AA575, 'Agency List'!A$2:A$145, 'Agency List'!D$2:D$145, "Not Found")</f>
        <v>0</v>
      </c>
      <c r="AE575" s="7"/>
      <c r="AF575" s="5"/>
      <c r="AG575" s="5" t="str">
        <f t="shared" si="111"/>
        <v>Bandhkam</v>
      </c>
      <c r="AH575" s="55"/>
      <c r="AI575" s="49"/>
      <c r="AJ575" s="20"/>
      <c r="AL575" s="16"/>
      <c r="AM575" s="12">
        <f t="shared" si="112"/>
        <v>0</v>
      </c>
      <c r="AN575" s="7">
        <f t="shared" si="113"/>
        <v>450</v>
      </c>
      <c r="AO575" s="12">
        <f t="shared" si="114"/>
        <v>0</v>
      </c>
      <c r="AP575" s="12">
        <f t="shared" si="115"/>
        <v>0</v>
      </c>
      <c r="AQ575" s="15">
        <f t="shared" si="116"/>
        <v>35</v>
      </c>
      <c r="AR575" s="7">
        <f t="shared" si="117"/>
        <v>390</v>
      </c>
      <c r="AS575" s="5"/>
      <c r="AU575" s="5"/>
      <c r="AV575" s="17"/>
      <c r="AW575" s="17"/>
      <c r="AX575" s="5"/>
      <c r="AY575" s="5"/>
      <c r="AZ575" s="13"/>
      <c r="BA575" s="12"/>
      <c r="BB575" s="7"/>
      <c r="BC575" s="14"/>
      <c r="BD575" s="14"/>
      <c r="BF575" s="12"/>
      <c r="BG575" s="14"/>
      <c r="BH575" s="19"/>
      <c r="BI575" s="5"/>
      <c r="BM575" s="18"/>
      <c r="BN575" s="18"/>
      <c r="BO575" s="18"/>
      <c r="BP575" s="18"/>
      <c r="BQ575" s="5"/>
      <c r="BR575" s="18"/>
      <c r="BS575" s="18"/>
      <c r="BT575" s="35">
        <f t="shared" ref="BT575:BT606" si="120">EDATE(BH575,AL575)-1</f>
        <v>-1</v>
      </c>
    </row>
    <row r="576" spans="1:72" x14ac:dyDescent="0.35">
      <c r="A576" s="5"/>
      <c r="B576" s="5"/>
      <c r="C576" s="5"/>
      <c r="D576" s="5"/>
      <c r="E576" s="5"/>
      <c r="F576" s="8"/>
      <c r="G576" s="8"/>
      <c r="H576" s="5"/>
      <c r="I576" s="5" t="e" cm="1">
        <f t="array" ref="I576">_xlfn.IFS(
  H576="Mahuva", "Mahuva",
  H576="Jesar", "Mahuva",
  H576="Palitana", "Palitana",
  H576="Gariyadhar", "Palitana",
  H576="Talaja", "Talaja",
  H576="Vallabhipur", "Vallabhipur",
  H576="Umrala", "Vallabhipur",
  H576="Shihor", "Shihor",
  H576="Ghogha", "Bhavnagar",
  H576="Bhavnagar", "Bhavnagar"
)</f>
        <v>#N/A</v>
      </c>
      <c r="J576" s="5"/>
      <c r="K576" s="5"/>
      <c r="M576" s="5"/>
      <c r="Q576" s="7">
        <f t="shared" si="108"/>
        <v>120</v>
      </c>
      <c r="S576" s="33"/>
      <c r="U576" s="10"/>
      <c r="V576" s="10" t="str">
        <f t="shared" si="109"/>
        <v>Equals</v>
      </c>
      <c r="W576" s="11" t="str" cm="1">
        <f t="array" ref="W576">NumberToWords(T576)</f>
        <v>Zero Rupees Only</v>
      </c>
      <c r="X576" s="10" t="str">
        <f t="shared" si="118"/>
        <v>Division</v>
      </c>
      <c r="Z576" s="9">
        <f t="shared" si="110"/>
        <v>0</v>
      </c>
      <c r="AB576" s="8">
        <f>_xlfn.XLOOKUP(AA576, 'Agency List'!A$2:A$145, 'Agency List'!B$2:B$145, "Not Found")</f>
        <v>0</v>
      </c>
      <c r="AC576" s="8">
        <f>_xlfn.XLOOKUP(AA576, 'Agency List'!A$2:A$145, 'Agency List'!C$2:C$145, "Not Found")</f>
        <v>0</v>
      </c>
      <c r="AD576" s="8">
        <f>_xlfn.XLOOKUP(AA576, 'Agency List'!A$2:A$145, 'Agency List'!D$2:D$145, "Not Found")</f>
        <v>0</v>
      </c>
      <c r="AE576" s="7"/>
      <c r="AF576" s="5"/>
      <c r="AG576" s="5" t="str">
        <f t="shared" si="111"/>
        <v>Bandhkam</v>
      </c>
      <c r="AH576" s="55"/>
      <c r="AI576" s="49"/>
      <c r="AJ576" s="20"/>
      <c r="AL576" s="16"/>
      <c r="AM576" s="12">
        <f t="shared" si="112"/>
        <v>0</v>
      </c>
      <c r="AN576" s="7">
        <f t="shared" si="113"/>
        <v>450</v>
      </c>
      <c r="AO576" s="12">
        <f t="shared" si="114"/>
        <v>0</v>
      </c>
      <c r="AP576" s="12">
        <f t="shared" si="115"/>
        <v>0</v>
      </c>
      <c r="AQ576" s="15">
        <f t="shared" si="116"/>
        <v>35</v>
      </c>
      <c r="AR576" s="7">
        <f t="shared" si="117"/>
        <v>390</v>
      </c>
      <c r="AS576" s="5"/>
      <c r="AU576" s="5"/>
      <c r="AV576" s="17"/>
      <c r="AW576" s="17"/>
      <c r="AX576" s="5"/>
      <c r="AY576" s="5"/>
      <c r="AZ576" s="13"/>
      <c r="BA576" s="12"/>
      <c r="BB576" s="7"/>
      <c r="BC576" s="14"/>
      <c r="BD576" s="14"/>
      <c r="BF576" s="12"/>
      <c r="BG576" s="14"/>
      <c r="BH576" s="19"/>
      <c r="BI576" s="5"/>
      <c r="BM576" s="18"/>
      <c r="BN576" s="18"/>
      <c r="BO576" s="18"/>
      <c r="BP576" s="18"/>
      <c r="BQ576" s="5"/>
      <c r="BR576" s="18"/>
      <c r="BS576" s="18"/>
      <c r="BT576" s="35">
        <f t="shared" si="120"/>
        <v>-1</v>
      </c>
    </row>
    <row r="577" spans="1:72" x14ac:dyDescent="0.35">
      <c r="A577" s="5"/>
      <c r="B577" s="5"/>
      <c r="C577" s="5"/>
      <c r="D577" s="5"/>
      <c r="E577" s="5"/>
      <c r="F577" s="8"/>
      <c r="G577" s="8"/>
      <c r="H577" s="5"/>
      <c r="I577" s="5" t="e" cm="1">
        <f t="array" ref="I577">_xlfn.IFS(
  H577="Mahuva", "Mahuva",
  H577="Jesar", "Mahuva",
  H577="Palitana", "Palitana",
  H577="Gariyadhar", "Palitana",
  H577="Talaja", "Talaja",
  H577="Vallabhipur", "Vallabhipur",
  H577="Umrala", "Vallabhipur",
  H577="Shihor", "Shihor",
  H577="Ghogha", "Bhavnagar",
  H577="Bhavnagar", "Bhavnagar"
)</f>
        <v>#N/A</v>
      </c>
      <c r="J577" s="5"/>
      <c r="K577" s="5"/>
      <c r="M577" s="5"/>
      <c r="Q577" s="7">
        <f t="shared" si="108"/>
        <v>120</v>
      </c>
      <c r="S577" s="33"/>
      <c r="U577" s="10"/>
      <c r="V577" s="10" t="str">
        <f t="shared" si="109"/>
        <v>Equals</v>
      </c>
      <c r="W577" s="11" t="str" cm="1">
        <f t="array" ref="W577">NumberToWords(T577)</f>
        <v>Zero Rupees Only</v>
      </c>
      <c r="X577" s="10" t="str">
        <f t="shared" si="118"/>
        <v>Division</v>
      </c>
      <c r="Z577" s="9">
        <f t="shared" si="110"/>
        <v>0</v>
      </c>
      <c r="AB577" s="8">
        <f>_xlfn.XLOOKUP(AA577, 'Agency List'!A$2:A$145, 'Agency List'!B$2:B$145, "Not Found")</f>
        <v>0</v>
      </c>
      <c r="AC577" s="8">
        <f>_xlfn.XLOOKUP(AA577, 'Agency List'!A$2:A$145, 'Agency List'!C$2:C$145, "Not Found")</f>
        <v>0</v>
      </c>
      <c r="AD577" s="8">
        <f>_xlfn.XLOOKUP(AA577, 'Agency List'!A$2:A$145, 'Agency List'!D$2:D$145, "Not Found")</f>
        <v>0</v>
      </c>
      <c r="AE577" s="7"/>
      <c r="AF577" s="5"/>
      <c r="AG577" s="5" t="str">
        <f t="shared" si="111"/>
        <v>Bandhkam</v>
      </c>
      <c r="AH577" s="55"/>
      <c r="AI577" s="49"/>
      <c r="AJ577" s="20"/>
      <c r="AL577" s="16"/>
      <c r="AM577" s="12">
        <f t="shared" si="112"/>
        <v>0</v>
      </c>
      <c r="AN577" s="7">
        <f t="shared" si="113"/>
        <v>450</v>
      </c>
      <c r="AO577" s="12">
        <f t="shared" si="114"/>
        <v>0</v>
      </c>
      <c r="AP577" s="12">
        <f t="shared" si="115"/>
        <v>0</v>
      </c>
      <c r="AQ577" s="15">
        <f t="shared" si="116"/>
        <v>35</v>
      </c>
      <c r="AR577" s="7">
        <f t="shared" si="117"/>
        <v>390</v>
      </c>
      <c r="AS577" s="5"/>
      <c r="AU577" s="5"/>
      <c r="AV577" s="17"/>
      <c r="AW577" s="17"/>
      <c r="AX577" s="5"/>
      <c r="AY577" s="5"/>
      <c r="AZ577" s="13"/>
      <c r="BA577" s="12"/>
      <c r="BB577" s="7"/>
      <c r="BC577" s="14"/>
      <c r="BD577" s="14"/>
      <c r="BF577" s="12"/>
      <c r="BG577" s="14"/>
      <c r="BH577" s="19"/>
      <c r="BI577" s="5"/>
      <c r="BM577" s="18"/>
      <c r="BN577" s="18"/>
      <c r="BO577" s="18"/>
      <c r="BP577" s="18"/>
      <c r="BQ577" s="5"/>
      <c r="BR577" s="18"/>
      <c r="BS577" s="18"/>
      <c r="BT577" s="35">
        <f t="shared" si="120"/>
        <v>-1</v>
      </c>
    </row>
    <row r="578" spans="1:72" x14ac:dyDescent="0.35">
      <c r="A578" s="5"/>
      <c r="B578" s="5"/>
      <c r="C578" s="5"/>
      <c r="D578" s="5"/>
      <c r="E578" s="5"/>
      <c r="F578" s="8"/>
      <c r="G578" s="8"/>
      <c r="H578" s="5"/>
      <c r="I578" s="5" t="e" cm="1">
        <f t="array" ref="I578">_xlfn.IFS(
  H578="Mahuva", "Mahuva",
  H578="Jesar", "Mahuva",
  H578="Palitana", "Palitana",
  H578="Gariyadhar", "Palitana",
  H578="Talaja", "Talaja",
  H578="Vallabhipur", "Vallabhipur",
  H578="Umrala", "Vallabhipur",
  H578="Shihor", "Shihor",
  H578="Ghogha", "Bhavnagar",
  H578="Bhavnagar", "Bhavnagar"
)</f>
        <v>#N/A</v>
      </c>
      <c r="J578" s="5"/>
      <c r="K578" s="5"/>
      <c r="M578" s="5"/>
      <c r="Q578" s="7">
        <f t="shared" ref="Q578:Q641" si="121">O578+120</f>
        <v>120</v>
      </c>
      <c r="S578" s="33"/>
      <c r="U578" s="10"/>
      <c r="V578" s="10" t="str">
        <f t="shared" ref="V578:V641" si="122">IF(U578&lt;0,"Below",IF(U578&gt;0,"Above","Equals"))</f>
        <v>Equals</v>
      </c>
      <c r="W578" s="11" t="str" cm="1">
        <f t="array" ref="W578">NumberToWords(T578)</f>
        <v>Zero Rupees Only</v>
      </c>
      <c r="X578" s="10" t="str">
        <f t="shared" si="118"/>
        <v>Division</v>
      </c>
      <c r="Z578" s="9">
        <f t="shared" ref="Z578:Z641" si="123">T578+Y578</f>
        <v>0</v>
      </c>
      <c r="AB578" s="8">
        <f>_xlfn.XLOOKUP(AA578, 'Agency List'!A$2:A$145, 'Agency List'!B$2:B$145, "Not Found")</f>
        <v>0</v>
      </c>
      <c r="AC578" s="8">
        <f>_xlfn.XLOOKUP(AA578, 'Agency List'!A$2:A$145, 'Agency List'!C$2:C$145, "Not Found")</f>
        <v>0</v>
      </c>
      <c r="AD578" s="8">
        <f>_xlfn.XLOOKUP(AA578, 'Agency List'!A$2:A$145, 'Agency List'!D$2:D$145, "Not Found")</f>
        <v>0</v>
      </c>
      <c r="AE578" s="7"/>
      <c r="AF578" s="5"/>
      <c r="AG578" s="5" t="str">
        <f t="shared" ref="AG578:AG641" si="124">IF(AND(
   AF578&lt;&gt;"5054 MMGSY NORMAL",
   AF578&lt;&gt;"3054 MMGSY NORMAL",
   AF578&lt;&gt;"5054 MMGSY SCSP",
   AF578&lt;&gt;"5054 Suvidhapath"
),
   IF(T578&gt;2500000,"Karobari","Bandhkam"),
   "NA"
)</f>
        <v>Bandhkam</v>
      </c>
      <c r="AH578" s="55"/>
      <c r="AI578" s="49"/>
      <c r="AJ578" s="20"/>
      <c r="AL578" s="16"/>
      <c r="AM578" s="12">
        <f t="shared" ref="AM578:AM641" si="125">CEILING(T578*5/100, 1000)</f>
        <v>0</v>
      </c>
      <c r="AN578" s="7">
        <f t="shared" ref="AN578:AN641" si="126">AR578+60</f>
        <v>450</v>
      </c>
      <c r="AO578" s="12">
        <f t="shared" ref="AO578:AO641" si="127">CEILING(((AM578+AP578)*4.9/100),100)</f>
        <v>0</v>
      </c>
      <c r="AP578" s="12">
        <f t="shared" ref="AP578:AP641" si="128">IF(U578&lt;-20,(CEILING(((R578*90/100)-T578)*30/100, 1000)),IF(U578&lt;-10,(CEILING(((R578*90/100)-T578)*20/100, 1000)),0))</f>
        <v>0</v>
      </c>
      <c r="AQ578" s="15">
        <f t="shared" ref="AQ578:AQ641" si="129">BH578+AL578*30+35</f>
        <v>35</v>
      </c>
      <c r="AR578" s="7">
        <f t="shared" ref="AR578:AR641" si="130" xml:space="preserve">   IF(R578&gt;10000000,
      BH578 + AL578*30 + 36*30 + 30,
      BH578 + AL578*30 + 12*30 + 30
   )</f>
        <v>390</v>
      </c>
      <c r="AS578" s="5"/>
      <c r="AU578" s="5"/>
      <c r="AV578" s="17"/>
      <c r="AW578" s="17"/>
      <c r="AX578" s="5"/>
      <c r="AY578" s="5"/>
      <c r="AZ578" s="13"/>
      <c r="BA578" s="12"/>
      <c r="BB578" s="7"/>
      <c r="BC578" s="14"/>
      <c r="BD578" s="14"/>
      <c r="BF578" s="12"/>
      <c r="BG578" s="14"/>
      <c r="BH578" s="19"/>
      <c r="BI578" s="5"/>
      <c r="BM578" s="18"/>
      <c r="BN578" s="18"/>
      <c r="BO578" s="18"/>
      <c r="BP578" s="18"/>
      <c r="BQ578" s="5"/>
      <c r="BR578" s="18"/>
      <c r="BS578" s="18"/>
      <c r="BT578" s="35">
        <f t="shared" si="120"/>
        <v>-1</v>
      </c>
    </row>
    <row r="579" spans="1:72" x14ac:dyDescent="0.35">
      <c r="A579" s="5"/>
      <c r="B579" s="5"/>
      <c r="C579" s="5"/>
      <c r="D579" s="5"/>
      <c r="E579" s="5"/>
      <c r="F579" s="8"/>
      <c r="G579" s="8"/>
      <c r="H579" s="5"/>
      <c r="I579" s="5" t="e" cm="1">
        <f t="array" ref="I579">_xlfn.IFS(
  H579="Mahuva", "Mahuva",
  H579="Jesar", "Mahuva",
  H579="Palitana", "Palitana",
  H579="Gariyadhar", "Palitana",
  H579="Talaja", "Talaja",
  H579="Vallabhipur", "Vallabhipur",
  H579="Umrala", "Vallabhipur",
  H579="Shihor", "Shihor",
  H579="Ghogha", "Bhavnagar",
  H579="Bhavnagar", "Bhavnagar"
)</f>
        <v>#N/A</v>
      </c>
      <c r="J579" s="5"/>
      <c r="K579" s="5"/>
      <c r="M579" s="5"/>
      <c r="Q579" s="7">
        <f t="shared" si="121"/>
        <v>120</v>
      </c>
      <c r="S579" s="33"/>
      <c r="U579" s="10"/>
      <c r="V579" s="10" t="str">
        <f t="shared" si="122"/>
        <v>Equals</v>
      </c>
      <c r="W579" s="11" t="str" cm="1">
        <f t="array" ref="W579">NumberToWords(T579)</f>
        <v>Zero Rupees Only</v>
      </c>
      <c r="X579" s="10" t="str">
        <f t="shared" si="118"/>
        <v>Division</v>
      </c>
      <c r="Z579" s="9">
        <f t="shared" si="123"/>
        <v>0</v>
      </c>
      <c r="AB579" s="8">
        <f>_xlfn.XLOOKUP(AA579, 'Agency List'!A$2:A$145, 'Agency List'!B$2:B$145, "Not Found")</f>
        <v>0</v>
      </c>
      <c r="AC579" s="8">
        <f>_xlfn.XLOOKUP(AA579, 'Agency List'!A$2:A$145, 'Agency List'!C$2:C$145, "Not Found")</f>
        <v>0</v>
      </c>
      <c r="AD579" s="8">
        <f>_xlfn.XLOOKUP(AA579, 'Agency List'!A$2:A$145, 'Agency List'!D$2:D$145, "Not Found")</f>
        <v>0</v>
      </c>
      <c r="AE579" s="7"/>
      <c r="AF579" s="5"/>
      <c r="AG579" s="5" t="str">
        <f t="shared" si="124"/>
        <v>Bandhkam</v>
      </c>
      <c r="AH579" s="55"/>
      <c r="AI579" s="49"/>
      <c r="AJ579" s="20"/>
      <c r="AL579" s="16"/>
      <c r="AM579" s="12">
        <f t="shared" si="125"/>
        <v>0</v>
      </c>
      <c r="AN579" s="7">
        <f t="shared" si="126"/>
        <v>450</v>
      </c>
      <c r="AO579" s="12">
        <f t="shared" si="127"/>
        <v>0</v>
      </c>
      <c r="AP579" s="12">
        <f t="shared" si="128"/>
        <v>0</v>
      </c>
      <c r="AQ579" s="15">
        <f t="shared" si="129"/>
        <v>35</v>
      </c>
      <c r="AR579" s="7">
        <f t="shared" si="130"/>
        <v>390</v>
      </c>
      <c r="AS579" s="5"/>
      <c r="AU579" s="5"/>
      <c r="AV579" s="17"/>
      <c r="AW579" s="17"/>
      <c r="AX579" s="5"/>
      <c r="AY579" s="5"/>
      <c r="AZ579" s="13"/>
      <c r="BA579" s="12"/>
      <c r="BB579" s="7"/>
      <c r="BC579" s="14"/>
      <c r="BD579" s="14"/>
      <c r="BF579" s="12"/>
      <c r="BG579" s="14"/>
      <c r="BH579" s="19"/>
      <c r="BI579" s="5"/>
      <c r="BM579" s="18"/>
      <c r="BN579" s="18"/>
      <c r="BO579" s="18"/>
      <c r="BP579" s="18"/>
      <c r="BQ579" s="5"/>
      <c r="BR579" s="18"/>
      <c r="BS579" s="18"/>
      <c r="BT579" s="35">
        <f t="shared" si="120"/>
        <v>-1</v>
      </c>
    </row>
    <row r="580" spans="1:72" x14ac:dyDescent="0.35">
      <c r="A580" s="5"/>
      <c r="B580" s="5"/>
      <c r="C580" s="5"/>
      <c r="D580" s="5"/>
      <c r="E580" s="5"/>
      <c r="F580" s="8"/>
      <c r="G580" s="8"/>
      <c r="H580" s="5"/>
      <c r="I580" s="5" t="e" cm="1">
        <f t="array" ref="I580">_xlfn.IFS(
  H580="Mahuva", "Mahuva",
  H580="Jesar", "Mahuva",
  H580="Palitana", "Palitana",
  H580="Gariyadhar", "Palitana",
  H580="Talaja", "Talaja",
  H580="Vallabhipur", "Vallabhipur",
  H580="Umrala", "Vallabhipur",
  H580="Shihor", "Shihor",
  H580="Ghogha", "Bhavnagar",
  H580="Bhavnagar", "Bhavnagar"
)</f>
        <v>#N/A</v>
      </c>
      <c r="J580" s="5"/>
      <c r="K580" s="5"/>
      <c r="M580" s="5"/>
      <c r="Q580" s="7">
        <f t="shared" si="121"/>
        <v>120</v>
      </c>
      <c r="S580" s="33"/>
      <c r="U580" s="10"/>
      <c r="V580" s="10" t="str">
        <f t="shared" si="122"/>
        <v>Equals</v>
      </c>
      <c r="W580" s="11" t="str" cm="1">
        <f t="array" ref="W580">NumberToWords(T580)</f>
        <v>Zero Rupees Only</v>
      </c>
      <c r="X580" s="10" t="str">
        <f t="shared" si="118"/>
        <v>Division</v>
      </c>
      <c r="Z580" s="9">
        <f t="shared" si="123"/>
        <v>0</v>
      </c>
      <c r="AB580" s="8">
        <f>_xlfn.XLOOKUP(AA580, 'Agency List'!A$2:A$145, 'Agency List'!B$2:B$145, "Not Found")</f>
        <v>0</v>
      </c>
      <c r="AC580" s="8">
        <f>_xlfn.XLOOKUP(AA580, 'Agency List'!A$2:A$145, 'Agency List'!C$2:C$145, "Not Found")</f>
        <v>0</v>
      </c>
      <c r="AD580" s="8">
        <f>_xlfn.XLOOKUP(AA580, 'Agency List'!A$2:A$145, 'Agency List'!D$2:D$145, "Not Found")</f>
        <v>0</v>
      </c>
      <c r="AE580" s="7"/>
      <c r="AF580" s="5"/>
      <c r="AG580" s="5" t="str">
        <f t="shared" si="124"/>
        <v>Bandhkam</v>
      </c>
      <c r="AH580" s="55"/>
      <c r="AI580" s="49"/>
      <c r="AJ580" s="20"/>
      <c r="AL580" s="16"/>
      <c r="AM580" s="12">
        <f t="shared" si="125"/>
        <v>0</v>
      </c>
      <c r="AN580" s="7">
        <f t="shared" si="126"/>
        <v>450</v>
      </c>
      <c r="AO580" s="12">
        <f t="shared" si="127"/>
        <v>0</v>
      </c>
      <c r="AP580" s="12">
        <f t="shared" si="128"/>
        <v>0</v>
      </c>
      <c r="AQ580" s="15">
        <f t="shared" si="129"/>
        <v>35</v>
      </c>
      <c r="AR580" s="7">
        <f t="shared" si="130"/>
        <v>390</v>
      </c>
      <c r="AS580" s="5"/>
      <c r="AU580" s="5"/>
      <c r="AV580" s="17"/>
      <c r="AW580" s="17"/>
      <c r="AX580" s="5"/>
      <c r="AY580" s="5"/>
      <c r="AZ580" s="13"/>
      <c r="BA580" s="12"/>
      <c r="BB580" s="7"/>
      <c r="BC580" s="14"/>
      <c r="BD580" s="14"/>
      <c r="BF580" s="12"/>
      <c r="BG580" s="14"/>
      <c r="BH580" s="19"/>
      <c r="BI580" s="5"/>
      <c r="BM580" s="18"/>
      <c r="BN580" s="18"/>
      <c r="BO580" s="18"/>
      <c r="BP580" s="18"/>
      <c r="BQ580" s="5"/>
      <c r="BR580" s="18"/>
      <c r="BS580" s="18"/>
      <c r="BT580" s="35">
        <f t="shared" si="120"/>
        <v>-1</v>
      </c>
    </row>
    <row r="581" spans="1:72" x14ac:dyDescent="0.35">
      <c r="A581" s="5"/>
      <c r="B581" s="5"/>
      <c r="C581" s="5"/>
      <c r="D581" s="5"/>
      <c r="E581" s="5"/>
      <c r="F581" s="8"/>
      <c r="G581" s="8"/>
      <c r="H581" s="5"/>
      <c r="I581" s="5" t="e" cm="1">
        <f t="array" ref="I581">_xlfn.IFS(
  H581="Mahuva", "Mahuva",
  H581="Jesar", "Mahuva",
  H581="Palitana", "Palitana",
  H581="Gariyadhar", "Palitana",
  H581="Talaja", "Talaja",
  H581="Vallabhipur", "Vallabhipur",
  H581="Umrala", "Vallabhipur",
  H581="Shihor", "Shihor",
  H581="Ghogha", "Bhavnagar",
  H581="Bhavnagar", "Bhavnagar"
)</f>
        <v>#N/A</v>
      </c>
      <c r="J581" s="5"/>
      <c r="K581" s="5"/>
      <c r="M581" s="5"/>
      <c r="Q581" s="7">
        <f t="shared" si="121"/>
        <v>120</v>
      </c>
      <c r="S581" s="33"/>
      <c r="U581" s="10"/>
      <c r="V581" s="10" t="str">
        <f t="shared" si="122"/>
        <v>Equals</v>
      </c>
      <c r="W581" s="11" t="str" cm="1">
        <f t="array" ref="W581">NumberToWords(T581)</f>
        <v>Zero Rupees Only</v>
      </c>
      <c r="X581" s="10" t="str">
        <f t="shared" si="118"/>
        <v>Division</v>
      </c>
      <c r="Z581" s="9">
        <f t="shared" si="123"/>
        <v>0</v>
      </c>
      <c r="AB581" s="8">
        <f>_xlfn.XLOOKUP(AA581, 'Agency List'!A$2:A$145, 'Agency List'!B$2:B$145, "Not Found")</f>
        <v>0</v>
      </c>
      <c r="AC581" s="8">
        <f>_xlfn.XLOOKUP(AA581, 'Agency List'!A$2:A$145, 'Agency List'!C$2:C$145, "Not Found")</f>
        <v>0</v>
      </c>
      <c r="AD581" s="8">
        <f>_xlfn.XLOOKUP(AA581, 'Agency List'!A$2:A$145, 'Agency List'!D$2:D$145, "Not Found")</f>
        <v>0</v>
      </c>
      <c r="AE581" s="7"/>
      <c r="AF581" s="5"/>
      <c r="AG581" s="5" t="str">
        <f t="shared" si="124"/>
        <v>Bandhkam</v>
      </c>
      <c r="AH581" s="55"/>
      <c r="AI581" s="49"/>
      <c r="AJ581" s="20"/>
      <c r="AL581" s="16"/>
      <c r="AM581" s="12">
        <f t="shared" si="125"/>
        <v>0</v>
      </c>
      <c r="AN581" s="7">
        <f t="shared" si="126"/>
        <v>450</v>
      </c>
      <c r="AO581" s="12">
        <f t="shared" si="127"/>
        <v>0</v>
      </c>
      <c r="AP581" s="12">
        <f t="shared" si="128"/>
        <v>0</v>
      </c>
      <c r="AQ581" s="15">
        <f t="shared" si="129"/>
        <v>35</v>
      </c>
      <c r="AR581" s="7">
        <f t="shared" si="130"/>
        <v>390</v>
      </c>
      <c r="AS581" s="5"/>
      <c r="AU581" s="5"/>
      <c r="AV581" s="17"/>
      <c r="AW581" s="17"/>
      <c r="AX581" s="5"/>
      <c r="AY581" s="5"/>
      <c r="AZ581" s="13"/>
      <c r="BA581" s="12"/>
      <c r="BB581" s="7"/>
      <c r="BC581" s="14"/>
      <c r="BD581" s="14"/>
      <c r="BF581" s="12"/>
      <c r="BG581" s="14"/>
      <c r="BH581" s="19"/>
      <c r="BI581" s="5"/>
      <c r="BM581" s="18"/>
      <c r="BN581" s="18"/>
      <c r="BO581" s="18"/>
      <c r="BP581" s="18"/>
      <c r="BQ581" s="5"/>
      <c r="BR581" s="18"/>
      <c r="BS581" s="18"/>
      <c r="BT581" s="35">
        <f t="shared" si="120"/>
        <v>-1</v>
      </c>
    </row>
    <row r="582" spans="1:72" x14ac:dyDescent="0.35">
      <c r="A582" s="5"/>
      <c r="B582" s="5"/>
      <c r="C582" s="5"/>
      <c r="D582" s="5"/>
      <c r="E582" s="5"/>
      <c r="F582" s="8"/>
      <c r="G582" s="8"/>
      <c r="H582" s="5"/>
      <c r="I582" s="5" t="e" cm="1">
        <f t="array" ref="I582">_xlfn.IFS(
  H582="Mahuva", "Mahuva",
  H582="Jesar", "Mahuva",
  H582="Palitana", "Palitana",
  H582="Gariyadhar", "Palitana",
  H582="Talaja", "Talaja",
  H582="Vallabhipur", "Vallabhipur",
  H582="Umrala", "Vallabhipur",
  H582="Shihor", "Shihor",
  H582="Ghogha", "Bhavnagar",
  H582="Bhavnagar", "Bhavnagar"
)</f>
        <v>#N/A</v>
      </c>
      <c r="J582" s="5"/>
      <c r="K582" s="5"/>
      <c r="M582" s="5"/>
      <c r="Q582" s="7">
        <f t="shared" si="121"/>
        <v>120</v>
      </c>
      <c r="S582" s="33"/>
      <c r="U582" s="10"/>
      <c r="V582" s="10" t="str">
        <f t="shared" si="122"/>
        <v>Equals</v>
      </c>
      <c r="W582" s="11" t="str" cm="1">
        <f t="array" ref="W582">NumberToWords(T582)</f>
        <v>Zero Rupees Only</v>
      </c>
      <c r="X582" s="10" t="str">
        <f t="shared" si="118"/>
        <v>Division</v>
      </c>
      <c r="Z582" s="9">
        <f t="shared" si="123"/>
        <v>0</v>
      </c>
      <c r="AB582" s="8">
        <f>_xlfn.XLOOKUP(AA582, 'Agency List'!A$2:A$145, 'Agency List'!B$2:B$145, "Not Found")</f>
        <v>0</v>
      </c>
      <c r="AC582" s="8">
        <f>_xlfn.XLOOKUP(AA582, 'Agency List'!A$2:A$145, 'Agency List'!C$2:C$145, "Not Found")</f>
        <v>0</v>
      </c>
      <c r="AD582" s="8">
        <f>_xlfn.XLOOKUP(AA582, 'Agency List'!A$2:A$145, 'Agency List'!D$2:D$145, "Not Found")</f>
        <v>0</v>
      </c>
      <c r="AE582" s="7"/>
      <c r="AF582" s="5"/>
      <c r="AG582" s="5" t="str">
        <f t="shared" si="124"/>
        <v>Bandhkam</v>
      </c>
      <c r="AH582" s="55"/>
      <c r="AI582" s="49"/>
      <c r="AJ582" s="20"/>
      <c r="AL582" s="16"/>
      <c r="AM582" s="12">
        <f t="shared" si="125"/>
        <v>0</v>
      </c>
      <c r="AN582" s="7">
        <f t="shared" si="126"/>
        <v>450</v>
      </c>
      <c r="AO582" s="12">
        <f t="shared" si="127"/>
        <v>0</v>
      </c>
      <c r="AP582" s="12">
        <f t="shared" si="128"/>
        <v>0</v>
      </c>
      <c r="AQ582" s="15">
        <f t="shared" si="129"/>
        <v>35</v>
      </c>
      <c r="AR582" s="7">
        <f t="shared" si="130"/>
        <v>390</v>
      </c>
      <c r="AS582" s="5"/>
      <c r="AU582" s="5"/>
      <c r="AV582" s="17"/>
      <c r="AW582" s="17"/>
      <c r="AX582" s="5"/>
      <c r="AY582" s="5"/>
      <c r="AZ582" s="13"/>
      <c r="BA582" s="12"/>
      <c r="BB582" s="7"/>
      <c r="BC582" s="14"/>
      <c r="BD582" s="14"/>
      <c r="BF582" s="12"/>
      <c r="BG582" s="14"/>
      <c r="BH582" s="19"/>
      <c r="BI582" s="5"/>
      <c r="BM582" s="18"/>
      <c r="BN582" s="18"/>
      <c r="BO582" s="18"/>
      <c r="BP582" s="18"/>
      <c r="BQ582" s="5"/>
      <c r="BR582" s="18"/>
      <c r="BS582" s="18"/>
      <c r="BT582" s="35">
        <f t="shared" si="120"/>
        <v>-1</v>
      </c>
    </row>
    <row r="583" spans="1:72" x14ac:dyDescent="0.35">
      <c r="A583" s="5"/>
      <c r="B583" s="5"/>
      <c r="C583" s="5"/>
      <c r="D583" s="5"/>
      <c r="E583" s="5"/>
      <c r="F583" s="8"/>
      <c r="G583" s="8"/>
      <c r="H583" s="5"/>
      <c r="I583" s="5" t="e" cm="1">
        <f t="array" ref="I583">_xlfn.IFS(
  H583="Mahuva", "Mahuva",
  H583="Jesar", "Mahuva",
  H583="Palitana", "Palitana",
  H583="Gariyadhar", "Palitana",
  H583="Talaja", "Talaja",
  H583="Vallabhipur", "Vallabhipur",
  H583="Umrala", "Vallabhipur",
  H583="Shihor", "Shihor",
  H583="Ghogha", "Bhavnagar",
  H583="Bhavnagar", "Bhavnagar"
)</f>
        <v>#N/A</v>
      </c>
      <c r="J583" s="5"/>
      <c r="K583" s="5"/>
      <c r="M583" s="5"/>
      <c r="Q583" s="7">
        <f t="shared" si="121"/>
        <v>120</v>
      </c>
      <c r="S583" s="33"/>
      <c r="U583" s="10"/>
      <c r="V583" s="10" t="str">
        <f t="shared" si="122"/>
        <v>Equals</v>
      </c>
      <c r="W583" s="11" t="str" cm="1">
        <f t="array" ref="W583">NumberToWords(T583)</f>
        <v>Zero Rupees Only</v>
      </c>
      <c r="X583" s="10" t="str">
        <f t="shared" si="118"/>
        <v>Division</v>
      </c>
      <c r="Z583" s="9">
        <f t="shared" si="123"/>
        <v>0</v>
      </c>
      <c r="AB583" s="8">
        <f>_xlfn.XLOOKUP(AA583, 'Agency List'!A$2:A$145, 'Agency List'!B$2:B$145, "Not Found")</f>
        <v>0</v>
      </c>
      <c r="AC583" s="8">
        <f>_xlfn.XLOOKUP(AA583, 'Agency List'!A$2:A$145, 'Agency List'!C$2:C$145, "Not Found")</f>
        <v>0</v>
      </c>
      <c r="AD583" s="8">
        <f>_xlfn.XLOOKUP(AA583, 'Agency List'!A$2:A$145, 'Agency List'!D$2:D$145, "Not Found")</f>
        <v>0</v>
      </c>
      <c r="AE583" s="7"/>
      <c r="AF583" s="5"/>
      <c r="AG583" s="5" t="str">
        <f t="shared" si="124"/>
        <v>Bandhkam</v>
      </c>
      <c r="AH583" s="55"/>
      <c r="AI583" s="49"/>
      <c r="AJ583" s="20"/>
      <c r="AL583" s="16"/>
      <c r="AM583" s="12">
        <f t="shared" si="125"/>
        <v>0</v>
      </c>
      <c r="AN583" s="7">
        <f t="shared" si="126"/>
        <v>450</v>
      </c>
      <c r="AO583" s="12">
        <f t="shared" si="127"/>
        <v>0</v>
      </c>
      <c r="AP583" s="12">
        <f t="shared" si="128"/>
        <v>0</v>
      </c>
      <c r="AQ583" s="15">
        <f t="shared" si="129"/>
        <v>35</v>
      </c>
      <c r="AR583" s="7">
        <f t="shared" si="130"/>
        <v>390</v>
      </c>
      <c r="AS583" s="5"/>
      <c r="AU583" s="5"/>
      <c r="AV583" s="17"/>
      <c r="AW583" s="17"/>
      <c r="AX583" s="5"/>
      <c r="AY583" s="5"/>
      <c r="AZ583" s="13"/>
      <c r="BA583" s="12"/>
      <c r="BB583" s="7"/>
      <c r="BC583" s="14"/>
      <c r="BD583" s="14"/>
      <c r="BF583" s="12"/>
      <c r="BG583" s="14"/>
      <c r="BH583" s="19"/>
      <c r="BI583" s="5"/>
      <c r="BM583" s="18"/>
      <c r="BN583" s="18"/>
      <c r="BO583" s="18"/>
      <c r="BP583" s="18"/>
      <c r="BQ583" s="5"/>
      <c r="BR583" s="18"/>
      <c r="BS583" s="18"/>
      <c r="BT583" s="35">
        <f t="shared" si="120"/>
        <v>-1</v>
      </c>
    </row>
    <row r="584" spans="1:72" x14ac:dyDescent="0.35">
      <c r="A584" s="5"/>
      <c r="B584" s="5"/>
      <c r="C584" s="5"/>
      <c r="D584" s="5"/>
      <c r="E584" s="5"/>
      <c r="F584" s="8"/>
      <c r="G584" s="8"/>
      <c r="H584" s="5"/>
      <c r="I584" s="5" t="e" cm="1">
        <f t="array" ref="I584">_xlfn.IFS(
  H584="Mahuva", "Mahuva",
  H584="Jesar", "Mahuva",
  H584="Palitana", "Palitana",
  H584="Gariyadhar", "Palitana",
  H584="Talaja", "Talaja",
  H584="Vallabhipur", "Vallabhipur",
  H584="Umrala", "Vallabhipur",
  H584="Shihor", "Shihor",
  H584="Ghogha", "Bhavnagar",
  H584="Bhavnagar", "Bhavnagar"
)</f>
        <v>#N/A</v>
      </c>
      <c r="J584" s="5"/>
      <c r="K584" s="5"/>
      <c r="M584" s="5"/>
      <c r="Q584" s="7">
        <f t="shared" si="121"/>
        <v>120</v>
      </c>
      <c r="S584" s="33"/>
      <c r="U584" s="10"/>
      <c r="V584" s="10" t="str">
        <f t="shared" si="122"/>
        <v>Equals</v>
      </c>
      <c r="W584" s="11" t="str" cm="1">
        <f t="array" ref="W584">NumberToWords(T584)</f>
        <v>Zero Rupees Only</v>
      </c>
      <c r="X584" s="10" t="str">
        <f t="shared" si="118"/>
        <v>Division</v>
      </c>
      <c r="Z584" s="9">
        <f t="shared" si="123"/>
        <v>0</v>
      </c>
      <c r="AB584" s="8">
        <f>_xlfn.XLOOKUP(AA584, 'Agency List'!A$2:A$145, 'Agency List'!B$2:B$145, "Not Found")</f>
        <v>0</v>
      </c>
      <c r="AC584" s="8">
        <f>_xlfn.XLOOKUP(AA584, 'Agency List'!A$2:A$145, 'Agency List'!C$2:C$145, "Not Found")</f>
        <v>0</v>
      </c>
      <c r="AD584" s="8">
        <f>_xlfn.XLOOKUP(AA584, 'Agency List'!A$2:A$145, 'Agency List'!D$2:D$145, "Not Found")</f>
        <v>0</v>
      </c>
      <c r="AE584" s="7"/>
      <c r="AF584" s="5"/>
      <c r="AG584" s="5" t="str">
        <f t="shared" si="124"/>
        <v>Bandhkam</v>
      </c>
      <c r="AH584" s="55"/>
      <c r="AI584" s="49"/>
      <c r="AJ584" s="20"/>
      <c r="AL584" s="16"/>
      <c r="AM584" s="12">
        <f t="shared" si="125"/>
        <v>0</v>
      </c>
      <c r="AN584" s="7">
        <f t="shared" si="126"/>
        <v>450</v>
      </c>
      <c r="AO584" s="12">
        <f t="shared" si="127"/>
        <v>0</v>
      </c>
      <c r="AP584" s="12">
        <f t="shared" si="128"/>
        <v>0</v>
      </c>
      <c r="AQ584" s="15">
        <f t="shared" si="129"/>
        <v>35</v>
      </c>
      <c r="AR584" s="7">
        <f t="shared" si="130"/>
        <v>390</v>
      </c>
      <c r="AS584" s="5"/>
      <c r="AU584" s="5"/>
      <c r="AV584" s="17"/>
      <c r="AW584" s="17"/>
      <c r="AX584" s="5"/>
      <c r="AY584" s="5"/>
      <c r="AZ584" s="13"/>
      <c r="BA584" s="12"/>
      <c r="BB584" s="7"/>
      <c r="BC584" s="14"/>
      <c r="BD584" s="14"/>
      <c r="BF584" s="12"/>
      <c r="BG584" s="14"/>
      <c r="BH584" s="19"/>
      <c r="BI584" s="5"/>
      <c r="BM584" s="18"/>
      <c r="BN584" s="18"/>
      <c r="BO584" s="18"/>
      <c r="BP584" s="18"/>
      <c r="BQ584" s="5"/>
      <c r="BR584" s="18"/>
      <c r="BS584" s="18"/>
      <c r="BT584" s="35">
        <f t="shared" si="120"/>
        <v>-1</v>
      </c>
    </row>
    <row r="585" spans="1:72" x14ac:dyDescent="0.35">
      <c r="A585" s="5"/>
      <c r="B585" s="5"/>
      <c r="C585" s="5"/>
      <c r="D585" s="5"/>
      <c r="E585" s="5"/>
      <c r="F585" s="8"/>
      <c r="G585" s="8"/>
      <c r="H585" s="5"/>
      <c r="I585" s="5" t="e" cm="1">
        <f t="array" ref="I585">_xlfn.IFS(
  H585="Mahuva", "Mahuva",
  H585="Jesar", "Mahuva",
  H585="Palitana", "Palitana",
  H585="Gariyadhar", "Palitana",
  H585="Talaja", "Talaja",
  H585="Vallabhipur", "Vallabhipur",
  H585="Umrala", "Vallabhipur",
  H585="Shihor", "Shihor",
  H585="Ghogha", "Bhavnagar",
  H585="Bhavnagar", "Bhavnagar"
)</f>
        <v>#N/A</v>
      </c>
      <c r="J585" s="5"/>
      <c r="K585" s="5"/>
      <c r="M585" s="5"/>
      <c r="Q585" s="7">
        <f t="shared" si="121"/>
        <v>120</v>
      </c>
      <c r="S585" s="33"/>
      <c r="U585" s="10"/>
      <c r="V585" s="10" t="str">
        <f t="shared" si="122"/>
        <v>Equals</v>
      </c>
      <c r="W585" s="11" t="str" cm="1">
        <f t="array" ref="W585">NumberToWords(T585)</f>
        <v>Zero Rupees Only</v>
      </c>
      <c r="X585" s="10" t="str">
        <f t="shared" si="118"/>
        <v>Division</v>
      </c>
      <c r="Z585" s="9">
        <f t="shared" si="123"/>
        <v>0</v>
      </c>
      <c r="AB585" s="8">
        <f>_xlfn.XLOOKUP(AA585, 'Agency List'!A$2:A$145, 'Agency List'!B$2:B$145, "Not Found")</f>
        <v>0</v>
      </c>
      <c r="AC585" s="8">
        <f>_xlfn.XLOOKUP(AA585, 'Agency List'!A$2:A$145, 'Agency List'!C$2:C$145, "Not Found")</f>
        <v>0</v>
      </c>
      <c r="AD585" s="8">
        <f>_xlfn.XLOOKUP(AA585, 'Agency List'!A$2:A$145, 'Agency List'!D$2:D$145, "Not Found")</f>
        <v>0</v>
      </c>
      <c r="AE585" s="7"/>
      <c r="AF585" s="5"/>
      <c r="AG585" s="5" t="str">
        <f t="shared" si="124"/>
        <v>Bandhkam</v>
      </c>
      <c r="AH585" s="55"/>
      <c r="AI585" s="49"/>
      <c r="AJ585" s="20"/>
      <c r="AL585" s="16"/>
      <c r="AM585" s="12">
        <f t="shared" si="125"/>
        <v>0</v>
      </c>
      <c r="AN585" s="7">
        <f t="shared" si="126"/>
        <v>450</v>
      </c>
      <c r="AO585" s="12">
        <f t="shared" si="127"/>
        <v>0</v>
      </c>
      <c r="AP585" s="12">
        <f t="shared" si="128"/>
        <v>0</v>
      </c>
      <c r="AQ585" s="15">
        <f t="shared" si="129"/>
        <v>35</v>
      </c>
      <c r="AR585" s="7">
        <f t="shared" si="130"/>
        <v>390</v>
      </c>
      <c r="AS585" s="5"/>
      <c r="AU585" s="5"/>
      <c r="AV585" s="17"/>
      <c r="AW585" s="17"/>
      <c r="AX585" s="5"/>
      <c r="AY585" s="5"/>
      <c r="AZ585" s="13"/>
      <c r="BA585" s="12"/>
      <c r="BB585" s="7"/>
      <c r="BC585" s="14"/>
      <c r="BD585" s="14"/>
      <c r="BF585" s="12"/>
      <c r="BG585" s="14"/>
      <c r="BH585" s="19"/>
      <c r="BI585" s="5"/>
      <c r="BM585" s="18"/>
      <c r="BN585" s="18"/>
      <c r="BO585" s="18"/>
      <c r="BP585" s="18"/>
      <c r="BQ585" s="5"/>
      <c r="BR585" s="18"/>
      <c r="BS585" s="18"/>
      <c r="BT585" s="35">
        <f t="shared" si="120"/>
        <v>-1</v>
      </c>
    </row>
    <row r="586" spans="1:72" x14ac:dyDescent="0.35">
      <c r="A586" s="5"/>
      <c r="B586" s="5"/>
      <c r="C586" s="5"/>
      <c r="D586" s="5"/>
      <c r="E586" s="5"/>
      <c r="F586" s="8"/>
      <c r="G586" s="8"/>
      <c r="H586" s="5"/>
      <c r="I586" s="5" t="e" cm="1">
        <f t="array" ref="I586">_xlfn.IFS(
  H586="Mahuva", "Mahuva",
  H586="Jesar", "Mahuva",
  H586="Palitana", "Palitana",
  H586="Gariyadhar", "Palitana",
  H586="Talaja", "Talaja",
  H586="Vallabhipur", "Vallabhipur",
  H586="Umrala", "Vallabhipur",
  H586="Shihor", "Shihor",
  H586="Ghogha", "Bhavnagar",
  H586="Bhavnagar", "Bhavnagar"
)</f>
        <v>#N/A</v>
      </c>
      <c r="J586" s="5"/>
      <c r="K586" s="5"/>
      <c r="M586" s="5"/>
      <c r="Q586" s="7">
        <f t="shared" si="121"/>
        <v>120</v>
      </c>
      <c r="S586" s="33"/>
      <c r="U586" s="10"/>
      <c r="V586" s="10" t="str">
        <f t="shared" si="122"/>
        <v>Equals</v>
      </c>
      <c r="W586" s="11" t="str" cm="1">
        <f t="array" ref="W586">NumberToWords(T586)</f>
        <v>Zero Rupees Only</v>
      </c>
      <c r="X586" s="10" t="str">
        <f t="shared" si="118"/>
        <v>Division</v>
      </c>
      <c r="Z586" s="9">
        <f t="shared" si="123"/>
        <v>0</v>
      </c>
      <c r="AB586" s="8">
        <f>_xlfn.XLOOKUP(AA586, 'Agency List'!A$2:A$145, 'Agency List'!B$2:B$145, "Not Found")</f>
        <v>0</v>
      </c>
      <c r="AC586" s="8">
        <f>_xlfn.XLOOKUP(AA586, 'Agency List'!A$2:A$145, 'Agency List'!C$2:C$145, "Not Found")</f>
        <v>0</v>
      </c>
      <c r="AD586" s="8">
        <f>_xlfn.XLOOKUP(AA586, 'Agency List'!A$2:A$145, 'Agency List'!D$2:D$145, "Not Found")</f>
        <v>0</v>
      </c>
      <c r="AE586" s="7"/>
      <c r="AF586" s="5"/>
      <c r="AG586" s="5" t="str">
        <f t="shared" si="124"/>
        <v>Bandhkam</v>
      </c>
      <c r="AH586" s="55"/>
      <c r="AI586" s="49"/>
      <c r="AJ586" s="20"/>
      <c r="AL586" s="16"/>
      <c r="AM586" s="12">
        <f t="shared" si="125"/>
        <v>0</v>
      </c>
      <c r="AN586" s="7">
        <f t="shared" si="126"/>
        <v>450</v>
      </c>
      <c r="AO586" s="12">
        <f t="shared" si="127"/>
        <v>0</v>
      </c>
      <c r="AP586" s="12">
        <f t="shared" si="128"/>
        <v>0</v>
      </c>
      <c r="AQ586" s="15">
        <f t="shared" si="129"/>
        <v>35</v>
      </c>
      <c r="AR586" s="7">
        <f t="shared" si="130"/>
        <v>390</v>
      </c>
      <c r="AS586" s="5"/>
      <c r="AU586" s="5"/>
      <c r="AV586" s="17"/>
      <c r="AW586" s="17"/>
      <c r="AX586" s="5"/>
      <c r="AY586" s="5"/>
      <c r="AZ586" s="13"/>
      <c r="BA586" s="12"/>
      <c r="BB586" s="7"/>
      <c r="BC586" s="14"/>
      <c r="BD586" s="14"/>
      <c r="BF586" s="12"/>
      <c r="BG586" s="14"/>
      <c r="BH586" s="19"/>
      <c r="BI586" s="5"/>
      <c r="BM586" s="18"/>
      <c r="BN586" s="18"/>
      <c r="BO586" s="18"/>
      <c r="BP586" s="18"/>
      <c r="BQ586" s="5"/>
      <c r="BR586" s="18"/>
      <c r="BS586" s="18"/>
      <c r="BT586" s="35">
        <f t="shared" si="120"/>
        <v>-1</v>
      </c>
    </row>
    <row r="587" spans="1:72" x14ac:dyDescent="0.35">
      <c r="A587" s="5"/>
      <c r="B587" s="5"/>
      <c r="C587" s="5"/>
      <c r="D587" s="5"/>
      <c r="E587" s="5"/>
      <c r="F587" s="8"/>
      <c r="G587" s="8"/>
      <c r="H587" s="5"/>
      <c r="I587" s="5" t="e" cm="1">
        <f t="array" ref="I587">_xlfn.IFS(
  H587="Mahuva", "Mahuva",
  H587="Jesar", "Mahuva",
  H587="Palitana", "Palitana",
  H587="Gariyadhar", "Palitana",
  H587="Talaja", "Talaja",
  H587="Vallabhipur", "Vallabhipur",
  H587="Umrala", "Vallabhipur",
  H587="Shihor", "Shihor",
  H587="Ghogha", "Bhavnagar",
  H587="Bhavnagar", "Bhavnagar"
)</f>
        <v>#N/A</v>
      </c>
      <c r="J587" s="5"/>
      <c r="K587" s="5"/>
      <c r="M587" s="5"/>
      <c r="Q587" s="7">
        <f t="shared" si="121"/>
        <v>120</v>
      </c>
      <c r="S587" s="33"/>
      <c r="U587" s="10"/>
      <c r="V587" s="10" t="str">
        <f t="shared" si="122"/>
        <v>Equals</v>
      </c>
      <c r="W587" s="11" t="str" cm="1">
        <f t="array" ref="W587">NumberToWords(T587)</f>
        <v>Zero Rupees Only</v>
      </c>
      <c r="X587" s="10" t="str">
        <f t="shared" si="118"/>
        <v>Division</v>
      </c>
      <c r="Z587" s="9">
        <f t="shared" si="123"/>
        <v>0</v>
      </c>
      <c r="AB587" s="8">
        <f>_xlfn.XLOOKUP(AA587, 'Agency List'!A$2:A$145, 'Agency List'!B$2:B$145, "Not Found")</f>
        <v>0</v>
      </c>
      <c r="AC587" s="8">
        <f>_xlfn.XLOOKUP(AA587, 'Agency List'!A$2:A$145, 'Agency List'!C$2:C$145, "Not Found")</f>
        <v>0</v>
      </c>
      <c r="AD587" s="8">
        <f>_xlfn.XLOOKUP(AA587, 'Agency List'!A$2:A$145, 'Agency List'!D$2:D$145, "Not Found")</f>
        <v>0</v>
      </c>
      <c r="AE587" s="7"/>
      <c r="AF587" s="5"/>
      <c r="AG587" s="5" t="str">
        <f t="shared" si="124"/>
        <v>Bandhkam</v>
      </c>
      <c r="AH587" s="55"/>
      <c r="AI587" s="49"/>
      <c r="AJ587" s="20"/>
      <c r="AL587" s="16"/>
      <c r="AM587" s="12">
        <f t="shared" si="125"/>
        <v>0</v>
      </c>
      <c r="AN587" s="7">
        <f t="shared" si="126"/>
        <v>450</v>
      </c>
      <c r="AO587" s="12">
        <f t="shared" si="127"/>
        <v>0</v>
      </c>
      <c r="AP587" s="12">
        <f t="shared" si="128"/>
        <v>0</v>
      </c>
      <c r="AQ587" s="15">
        <f t="shared" si="129"/>
        <v>35</v>
      </c>
      <c r="AR587" s="7">
        <f t="shared" si="130"/>
        <v>390</v>
      </c>
      <c r="AS587" s="5"/>
      <c r="AU587" s="5"/>
      <c r="AV587" s="17"/>
      <c r="AW587" s="17"/>
      <c r="AX587" s="5"/>
      <c r="AY587" s="5"/>
      <c r="AZ587" s="13"/>
      <c r="BA587" s="12"/>
      <c r="BB587" s="7"/>
      <c r="BC587" s="14"/>
      <c r="BD587" s="14"/>
      <c r="BF587" s="12"/>
      <c r="BG587" s="14"/>
      <c r="BH587" s="19"/>
      <c r="BI587" s="5"/>
      <c r="BM587" s="18"/>
      <c r="BN587" s="18"/>
      <c r="BO587" s="18"/>
      <c r="BP587" s="18"/>
      <c r="BQ587" s="5"/>
      <c r="BR587" s="18"/>
      <c r="BS587" s="18"/>
      <c r="BT587" s="35">
        <f t="shared" si="120"/>
        <v>-1</v>
      </c>
    </row>
    <row r="588" spans="1:72" x14ac:dyDescent="0.35">
      <c r="A588" s="5"/>
      <c r="B588" s="5"/>
      <c r="C588" s="5"/>
      <c r="D588" s="5"/>
      <c r="E588" s="5"/>
      <c r="F588" s="8"/>
      <c r="G588" s="8"/>
      <c r="H588" s="5"/>
      <c r="I588" s="5" t="e" cm="1">
        <f t="array" ref="I588">_xlfn.IFS(
  H588="Mahuva", "Mahuva",
  H588="Jesar", "Mahuva",
  H588="Palitana", "Palitana",
  H588="Gariyadhar", "Palitana",
  H588="Talaja", "Talaja",
  H588="Vallabhipur", "Vallabhipur",
  H588="Umrala", "Vallabhipur",
  H588="Shihor", "Shihor",
  H588="Ghogha", "Bhavnagar",
  H588="Bhavnagar", "Bhavnagar"
)</f>
        <v>#N/A</v>
      </c>
      <c r="J588" s="5"/>
      <c r="K588" s="5"/>
      <c r="M588" s="5"/>
      <c r="Q588" s="7">
        <f t="shared" si="121"/>
        <v>120</v>
      </c>
      <c r="S588" s="33"/>
      <c r="U588" s="10"/>
      <c r="V588" s="10" t="str">
        <f t="shared" si="122"/>
        <v>Equals</v>
      </c>
      <c r="W588" s="11" t="str" cm="1">
        <f t="array" ref="W588">NumberToWords(T588)</f>
        <v>Zero Rupees Only</v>
      </c>
      <c r="X588" s="10" t="str">
        <f t="shared" si="118"/>
        <v>Division</v>
      </c>
      <c r="Z588" s="9">
        <f t="shared" si="123"/>
        <v>0</v>
      </c>
      <c r="AB588" s="8">
        <f>_xlfn.XLOOKUP(AA588, 'Agency List'!A$2:A$145, 'Agency List'!B$2:B$145, "Not Found")</f>
        <v>0</v>
      </c>
      <c r="AC588" s="8">
        <f>_xlfn.XLOOKUP(AA588, 'Agency List'!A$2:A$145, 'Agency List'!C$2:C$145, "Not Found")</f>
        <v>0</v>
      </c>
      <c r="AD588" s="8">
        <f>_xlfn.XLOOKUP(AA588, 'Agency List'!A$2:A$145, 'Agency List'!D$2:D$145, "Not Found")</f>
        <v>0</v>
      </c>
      <c r="AE588" s="7"/>
      <c r="AF588" s="5"/>
      <c r="AG588" s="5" t="str">
        <f t="shared" si="124"/>
        <v>Bandhkam</v>
      </c>
      <c r="AH588" s="55"/>
      <c r="AI588" s="49"/>
      <c r="AJ588" s="20"/>
      <c r="AL588" s="16"/>
      <c r="AM588" s="12">
        <f t="shared" si="125"/>
        <v>0</v>
      </c>
      <c r="AN588" s="7">
        <f t="shared" si="126"/>
        <v>450</v>
      </c>
      <c r="AO588" s="12">
        <f t="shared" si="127"/>
        <v>0</v>
      </c>
      <c r="AP588" s="12">
        <f t="shared" si="128"/>
        <v>0</v>
      </c>
      <c r="AQ588" s="15">
        <f t="shared" si="129"/>
        <v>35</v>
      </c>
      <c r="AR588" s="7">
        <f t="shared" si="130"/>
        <v>390</v>
      </c>
      <c r="AS588" s="5"/>
      <c r="AU588" s="5"/>
      <c r="AV588" s="17"/>
      <c r="AW588" s="17"/>
      <c r="AX588" s="5"/>
      <c r="AY588" s="5"/>
      <c r="AZ588" s="13"/>
      <c r="BA588" s="12"/>
      <c r="BB588" s="7"/>
      <c r="BC588" s="14"/>
      <c r="BD588" s="14"/>
      <c r="BF588" s="12"/>
      <c r="BG588" s="14"/>
      <c r="BH588" s="19"/>
      <c r="BI588" s="5"/>
      <c r="BM588" s="18"/>
      <c r="BN588" s="18"/>
      <c r="BO588" s="18"/>
      <c r="BP588" s="18"/>
      <c r="BQ588" s="5"/>
      <c r="BR588" s="18"/>
      <c r="BS588" s="18"/>
      <c r="BT588" s="35">
        <f t="shared" si="120"/>
        <v>-1</v>
      </c>
    </row>
    <row r="589" spans="1:72" x14ac:dyDescent="0.35">
      <c r="A589" s="5"/>
      <c r="B589" s="5"/>
      <c r="C589" s="5"/>
      <c r="D589" s="5"/>
      <c r="E589" s="5"/>
      <c r="F589" s="8"/>
      <c r="G589" s="8"/>
      <c r="H589" s="5"/>
      <c r="I589" s="5" t="e" cm="1">
        <f t="array" ref="I589">_xlfn.IFS(
  H589="Mahuva", "Mahuva",
  H589="Jesar", "Mahuva",
  H589="Palitana", "Palitana",
  H589="Gariyadhar", "Palitana",
  H589="Talaja", "Talaja",
  H589="Vallabhipur", "Vallabhipur",
  H589="Umrala", "Vallabhipur",
  H589="Shihor", "Shihor",
  H589="Ghogha", "Bhavnagar",
  H589="Bhavnagar", "Bhavnagar"
)</f>
        <v>#N/A</v>
      </c>
      <c r="J589" s="5"/>
      <c r="K589" s="5"/>
      <c r="M589" s="5"/>
      <c r="Q589" s="7">
        <f t="shared" si="121"/>
        <v>120</v>
      </c>
      <c r="S589" s="33"/>
      <c r="U589" s="10"/>
      <c r="V589" s="10" t="str">
        <f t="shared" si="122"/>
        <v>Equals</v>
      </c>
      <c r="W589" s="11" t="str" cm="1">
        <f t="array" ref="W589">NumberToWords(T589)</f>
        <v>Zero Rupees Only</v>
      </c>
      <c r="X589" s="10" t="str">
        <f t="shared" si="118"/>
        <v>Division</v>
      </c>
      <c r="Z589" s="9">
        <f t="shared" si="123"/>
        <v>0</v>
      </c>
      <c r="AB589" s="8">
        <f>_xlfn.XLOOKUP(AA589, 'Agency List'!A$2:A$145, 'Agency List'!B$2:B$145, "Not Found")</f>
        <v>0</v>
      </c>
      <c r="AC589" s="8">
        <f>_xlfn.XLOOKUP(AA589, 'Agency List'!A$2:A$145, 'Agency List'!C$2:C$145, "Not Found")</f>
        <v>0</v>
      </c>
      <c r="AD589" s="8">
        <f>_xlfn.XLOOKUP(AA589, 'Agency List'!A$2:A$145, 'Agency List'!D$2:D$145, "Not Found")</f>
        <v>0</v>
      </c>
      <c r="AE589" s="7"/>
      <c r="AF589" s="5"/>
      <c r="AG589" s="5" t="str">
        <f t="shared" si="124"/>
        <v>Bandhkam</v>
      </c>
      <c r="AH589" s="55"/>
      <c r="AI589" s="49"/>
      <c r="AJ589" s="20"/>
      <c r="AL589" s="16"/>
      <c r="AM589" s="12">
        <f t="shared" si="125"/>
        <v>0</v>
      </c>
      <c r="AN589" s="7">
        <f t="shared" si="126"/>
        <v>450</v>
      </c>
      <c r="AO589" s="12">
        <f t="shared" si="127"/>
        <v>0</v>
      </c>
      <c r="AP589" s="12">
        <f t="shared" si="128"/>
        <v>0</v>
      </c>
      <c r="AQ589" s="15">
        <f t="shared" si="129"/>
        <v>35</v>
      </c>
      <c r="AR589" s="7">
        <f t="shared" si="130"/>
        <v>390</v>
      </c>
      <c r="AS589" s="5"/>
      <c r="AU589" s="5"/>
      <c r="AV589" s="17"/>
      <c r="AW589" s="17"/>
      <c r="AX589" s="5"/>
      <c r="AY589" s="5"/>
      <c r="AZ589" s="13"/>
      <c r="BA589" s="12"/>
      <c r="BB589" s="7"/>
      <c r="BC589" s="14"/>
      <c r="BD589" s="14"/>
      <c r="BF589" s="12"/>
      <c r="BG589" s="14"/>
      <c r="BH589" s="19"/>
      <c r="BI589" s="5"/>
      <c r="BM589" s="18"/>
      <c r="BN589" s="18"/>
      <c r="BO589" s="18"/>
      <c r="BP589" s="18"/>
      <c r="BQ589" s="5"/>
      <c r="BR589" s="18"/>
      <c r="BS589" s="18"/>
      <c r="BT589" s="35">
        <f t="shared" si="120"/>
        <v>-1</v>
      </c>
    </row>
    <row r="590" spans="1:72" x14ac:dyDescent="0.35">
      <c r="A590" s="5"/>
      <c r="B590" s="5"/>
      <c r="C590" s="5"/>
      <c r="D590" s="5"/>
      <c r="E590" s="5"/>
      <c r="F590" s="8"/>
      <c r="G590" s="8"/>
      <c r="H590" s="5"/>
      <c r="I590" s="5" t="e" cm="1">
        <f t="array" ref="I590">_xlfn.IFS(
  H590="Mahuva", "Mahuva",
  H590="Jesar", "Mahuva",
  H590="Palitana", "Palitana",
  H590="Gariyadhar", "Palitana",
  H590="Talaja", "Talaja",
  H590="Vallabhipur", "Vallabhipur",
  H590="Umrala", "Vallabhipur",
  H590="Shihor", "Shihor",
  H590="Ghogha", "Bhavnagar",
  H590="Bhavnagar", "Bhavnagar"
)</f>
        <v>#N/A</v>
      </c>
      <c r="J590" s="5"/>
      <c r="K590" s="5"/>
      <c r="M590" s="5"/>
      <c r="Q590" s="7">
        <f t="shared" si="121"/>
        <v>120</v>
      </c>
      <c r="S590" s="33"/>
      <c r="U590" s="10"/>
      <c r="V590" s="10" t="str">
        <f t="shared" si="122"/>
        <v>Equals</v>
      </c>
      <c r="W590" s="11" t="str" cm="1">
        <f t="array" ref="W590">NumberToWords(T590)</f>
        <v>Zero Rupees Only</v>
      </c>
      <c r="X590" s="10" t="str">
        <f t="shared" si="118"/>
        <v>Division</v>
      </c>
      <c r="Z590" s="9">
        <f t="shared" si="123"/>
        <v>0</v>
      </c>
      <c r="AB590" s="8">
        <f>_xlfn.XLOOKUP(AA590, 'Agency List'!A$2:A$145, 'Agency List'!B$2:B$145, "Not Found")</f>
        <v>0</v>
      </c>
      <c r="AC590" s="8">
        <f>_xlfn.XLOOKUP(AA590, 'Agency List'!A$2:A$145, 'Agency List'!C$2:C$145, "Not Found")</f>
        <v>0</v>
      </c>
      <c r="AD590" s="8">
        <f>_xlfn.XLOOKUP(AA590, 'Agency List'!A$2:A$145, 'Agency List'!D$2:D$145, "Not Found")</f>
        <v>0</v>
      </c>
      <c r="AE590" s="7"/>
      <c r="AF590" s="5"/>
      <c r="AG590" s="5" t="str">
        <f t="shared" si="124"/>
        <v>Bandhkam</v>
      </c>
      <c r="AH590" s="55"/>
      <c r="AI590" s="49"/>
      <c r="AJ590" s="20"/>
      <c r="AL590" s="16"/>
      <c r="AM590" s="12">
        <f t="shared" si="125"/>
        <v>0</v>
      </c>
      <c r="AN590" s="7">
        <f t="shared" si="126"/>
        <v>450</v>
      </c>
      <c r="AO590" s="12">
        <f t="shared" si="127"/>
        <v>0</v>
      </c>
      <c r="AP590" s="12">
        <f t="shared" si="128"/>
        <v>0</v>
      </c>
      <c r="AQ590" s="15">
        <f t="shared" si="129"/>
        <v>35</v>
      </c>
      <c r="AR590" s="7">
        <f t="shared" si="130"/>
        <v>390</v>
      </c>
      <c r="AS590" s="5"/>
      <c r="AU590" s="5"/>
      <c r="AV590" s="17"/>
      <c r="AW590" s="17"/>
      <c r="AX590" s="5"/>
      <c r="AY590" s="5"/>
      <c r="AZ590" s="13"/>
      <c r="BA590" s="12"/>
      <c r="BB590" s="7"/>
      <c r="BC590" s="14"/>
      <c r="BD590" s="14"/>
      <c r="BF590" s="12"/>
      <c r="BG590" s="14"/>
      <c r="BH590" s="19"/>
      <c r="BI590" s="5"/>
      <c r="BM590" s="18"/>
      <c r="BN590" s="18"/>
      <c r="BO590" s="18"/>
      <c r="BP590" s="18"/>
      <c r="BQ590" s="5"/>
      <c r="BR590" s="18"/>
      <c r="BS590" s="18"/>
      <c r="BT590" s="35">
        <f t="shared" si="120"/>
        <v>-1</v>
      </c>
    </row>
    <row r="591" spans="1:72" x14ac:dyDescent="0.35">
      <c r="A591" s="5"/>
      <c r="B591" s="5"/>
      <c r="C591" s="5"/>
      <c r="D591" s="5"/>
      <c r="E591" s="5"/>
      <c r="F591" s="8"/>
      <c r="G591" s="8"/>
      <c r="H591" s="5"/>
      <c r="I591" s="5" t="e" cm="1">
        <f t="array" ref="I591">_xlfn.IFS(
  H591="Mahuva", "Mahuva",
  H591="Jesar", "Mahuva",
  H591="Palitana", "Palitana",
  H591="Gariyadhar", "Palitana",
  H591="Talaja", "Talaja",
  H591="Vallabhipur", "Vallabhipur",
  H591="Umrala", "Vallabhipur",
  H591="Shihor", "Shihor",
  H591="Ghogha", "Bhavnagar",
  H591="Bhavnagar", "Bhavnagar"
)</f>
        <v>#N/A</v>
      </c>
      <c r="J591" s="5"/>
      <c r="K591" s="5"/>
      <c r="M591" s="5"/>
      <c r="Q591" s="7">
        <f t="shared" si="121"/>
        <v>120</v>
      </c>
      <c r="S591" s="33"/>
      <c r="U591" s="10"/>
      <c r="V591" s="10" t="str">
        <f t="shared" si="122"/>
        <v>Equals</v>
      </c>
      <c r="W591" s="11" t="str" cm="1">
        <f t="array" ref="W591">NumberToWords(T591)</f>
        <v>Zero Rupees Only</v>
      </c>
      <c r="X591" s="10" t="str">
        <f t="shared" si="118"/>
        <v>Division</v>
      </c>
      <c r="Z591" s="9">
        <f t="shared" si="123"/>
        <v>0</v>
      </c>
      <c r="AB591" s="8">
        <f>_xlfn.XLOOKUP(AA591, 'Agency List'!A$2:A$145, 'Agency List'!B$2:B$145, "Not Found")</f>
        <v>0</v>
      </c>
      <c r="AC591" s="8">
        <f>_xlfn.XLOOKUP(AA591, 'Agency List'!A$2:A$145, 'Agency List'!C$2:C$145, "Not Found")</f>
        <v>0</v>
      </c>
      <c r="AD591" s="8">
        <f>_xlfn.XLOOKUP(AA591, 'Agency List'!A$2:A$145, 'Agency List'!D$2:D$145, "Not Found")</f>
        <v>0</v>
      </c>
      <c r="AE591" s="7"/>
      <c r="AF591" s="5"/>
      <c r="AG591" s="5" t="str">
        <f t="shared" si="124"/>
        <v>Bandhkam</v>
      </c>
      <c r="AH591" s="55"/>
      <c r="AI591" s="49"/>
      <c r="AJ591" s="20"/>
      <c r="AL591" s="16"/>
      <c r="AM591" s="12">
        <f t="shared" si="125"/>
        <v>0</v>
      </c>
      <c r="AN591" s="7">
        <f t="shared" si="126"/>
        <v>450</v>
      </c>
      <c r="AO591" s="12">
        <f t="shared" si="127"/>
        <v>0</v>
      </c>
      <c r="AP591" s="12">
        <f t="shared" si="128"/>
        <v>0</v>
      </c>
      <c r="AQ591" s="15">
        <f t="shared" si="129"/>
        <v>35</v>
      </c>
      <c r="AR591" s="7">
        <f t="shared" si="130"/>
        <v>390</v>
      </c>
      <c r="AS591" s="5"/>
      <c r="AU591" s="5"/>
      <c r="AV591" s="17"/>
      <c r="AW591" s="17"/>
      <c r="AX591" s="5"/>
      <c r="AY591" s="5"/>
      <c r="AZ591" s="13"/>
      <c r="BA591" s="12"/>
      <c r="BB591" s="7"/>
      <c r="BC591" s="14"/>
      <c r="BD591" s="14"/>
      <c r="BF591" s="12"/>
      <c r="BG591" s="14"/>
      <c r="BH591" s="19"/>
      <c r="BI591" s="5"/>
      <c r="BM591" s="18"/>
      <c r="BN591" s="18"/>
      <c r="BO591" s="18"/>
      <c r="BP591" s="18"/>
      <c r="BQ591" s="5"/>
      <c r="BR591" s="18"/>
      <c r="BS591" s="18"/>
      <c r="BT591" s="35">
        <f t="shared" si="120"/>
        <v>-1</v>
      </c>
    </row>
    <row r="592" spans="1:72" x14ac:dyDescent="0.35">
      <c r="A592" s="5"/>
      <c r="B592" s="5"/>
      <c r="C592" s="5"/>
      <c r="D592" s="5"/>
      <c r="E592" s="5"/>
      <c r="F592" s="8"/>
      <c r="G592" s="8"/>
      <c r="H592" s="5"/>
      <c r="I592" s="5" t="e" cm="1">
        <f t="array" ref="I592">_xlfn.IFS(
  H592="Mahuva", "Mahuva",
  H592="Jesar", "Mahuva",
  H592="Palitana", "Palitana",
  H592="Gariyadhar", "Palitana",
  H592="Talaja", "Talaja",
  H592="Vallabhipur", "Vallabhipur",
  H592="Umrala", "Vallabhipur",
  H592="Shihor", "Shihor",
  H592="Ghogha", "Bhavnagar",
  H592="Bhavnagar", "Bhavnagar"
)</f>
        <v>#N/A</v>
      </c>
      <c r="J592" s="5"/>
      <c r="K592" s="5"/>
      <c r="M592" s="5"/>
      <c r="Q592" s="7">
        <f t="shared" si="121"/>
        <v>120</v>
      </c>
      <c r="S592" s="33"/>
      <c r="U592" s="10"/>
      <c r="V592" s="10" t="str">
        <f t="shared" si="122"/>
        <v>Equals</v>
      </c>
      <c r="W592" s="11" t="str" cm="1">
        <f t="array" ref="W592">NumberToWords(T592)</f>
        <v>Zero Rupees Only</v>
      </c>
      <c r="X592" s="10" t="str">
        <f t="shared" si="118"/>
        <v>Division</v>
      </c>
      <c r="Z592" s="9">
        <f t="shared" si="123"/>
        <v>0</v>
      </c>
      <c r="AB592" s="8">
        <f>_xlfn.XLOOKUP(AA592, 'Agency List'!A$2:A$145, 'Agency List'!B$2:B$145, "Not Found")</f>
        <v>0</v>
      </c>
      <c r="AC592" s="8">
        <f>_xlfn.XLOOKUP(AA592, 'Agency List'!A$2:A$145, 'Agency List'!C$2:C$145, "Not Found")</f>
        <v>0</v>
      </c>
      <c r="AD592" s="8">
        <f>_xlfn.XLOOKUP(AA592, 'Agency List'!A$2:A$145, 'Agency List'!D$2:D$145, "Not Found")</f>
        <v>0</v>
      </c>
      <c r="AE592" s="7"/>
      <c r="AF592" s="5"/>
      <c r="AG592" s="5" t="str">
        <f t="shared" si="124"/>
        <v>Bandhkam</v>
      </c>
      <c r="AH592" s="55"/>
      <c r="AI592" s="49"/>
      <c r="AJ592" s="20"/>
      <c r="AL592" s="16"/>
      <c r="AM592" s="12">
        <f t="shared" si="125"/>
        <v>0</v>
      </c>
      <c r="AN592" s="7">
        <f t="shared" si="126"/>
        <v>450</v>
      </c>
      <c r="AO592" s="12">
        <f t="shared" si="127"/>
        <v>0</v>
      </c>
      <c r="AP592" s="12">
        <f t="shared" si="128"/>
        <v>0</v>
      </c>
      <c r="AQ592" s="15">
        <f t="shared" si="129"/>
        <v>35</v>
      </c>
      <c r="AR592" s="7">
        <f t="shared" si="130"/>
        <v>390</v>
      </c>
      <c r="AS592" s="5"/>
      <c r="AU592" s="5"/>
      <c r="AV592" s="17"/>
      <c r="AW592" s="17"/>
      <c r="AX592" s="5"/>
      <c r="AY592" s="5"/>
      <c r="AZ592" s="13"/>
      <c r="BA592" s="12"/>
      <c r="BB592" s="7"/>
      <c r="BC592" s="14"/>
      <c r="BD592" s="14"/>
      <c r="BF592" s="12"/>
      <c r="BG592" s="14"/>
      <c r="BH592" s="19"/>
      <c r="BI592" s="5"/>
      <c r="BM592" s="18"/>
      <c r="BN592" s="18"/>
      <c r="BO592" s="18"/>
      <c r="BP592" s="18"/>
      <c r="BQ592" s="5"/>
      <c r="BR592" s="18"/>
      <c r="BS592" s="18"/>
      <c r="BT592" s="35">
        <f t="shared" si="120"/>
        <v>-1</v>
      </c>
    </row>
    <row r="593" spans="1:72" x14ac:dyDescent="0.35">
      <c r="A593" s="5"/>
      <c r="B593" s="5"/>
      <c r="C593" s="5"/>
      <c r="D593" s="5"/>
      <c r="E593" s="5"/>
      <c r="F593" s="8"/>
      <c r="G593" s="8"/>
      <c r="H593" s="5"/>
      <c r="I593" s="5" t="e" cm="1">
        <f t="array" ref="I593">_xlfn.IFS(
  H593="Mahuva", "Mahuva",
  H593="Jesar", "Mahuva",
  H593="Palitana", "Palitana",
  H593="Gariyadhar", "Palitana",
  H593="Talaja", "Talaja",
  H593="Vallabhipur", "Vallabhipur",
  H593="Umrala", "Vallabhipur",
  H593="Shihor", "Shihor",
  H593="Ghogha", "Bhavnagar",
  H593="Bhavnagar", "Bhavnagar"
)</f>
        <v>#N/A</v>
      </c>
      <c r="J593" s="5"/>
      <c r="K593" s="5"/>
      <c r="M593" s="5"/>
      <c r="Q593" s="7">
        <f t="shared" si="121"/>
        <v>120</v>
      </c>
      <c r="S593" s="33"/>
      <c r="U593" s="10"/>
      <c r="V593" s="10" t="str">
        <f t="shared" si="122"/>
        <v>Equals</v>
      </c>
      <c r="W593" s="11" t="str" cm="1">
        <f t="array" ref="W593">NumberToWords(T593)</f>
        <v>Zero Rupees Only</v>
      </c>
      <c r="X593" s="10" t="str">
        <f t="shared" si="118"/>
        <v>Division</v>
      </c>
      <c r="Z593" s="9">
        <f t="shared" si="123"/>
        <v>0</v>
      </c>
      <c r="AB593" s="8">
        <f>_xlfn.XLOOKUP(AA593, 'Agency List'!A$2:A$145, 'Agency List'!B$2:B$145, "Not Found")</f>
        <v>0</v>
      </c>
      <c r="AC593" s="8">
        <f>_xlfn.XLOOKUP(AA593, 'Agency List'!A$2:A$145, 'Agency List'!C$2:C$145, "Not Found")</f>
        <v>0</v>
      </c>
      <c r="AD593" s="8">
        <f>_xlfn.XLOOKUP(AA593, 'Agency List'!A$2:A$145, 'Agency List'!D$2:D$145, "Not Found")</f>
        <v>0</v>
      </c>
      <c r="AE593" s="7"/>
      <c r="AF593" s="5"/>
      <c r="AG593" s="5" t="str">
        <f t="shared" si="124"/>
        <v>Bandhkam</v>
      </c>
      <c r="AH593" s="55"/>
      <c r="AI593" s="49"/>
      <c r="AJ593" s="20"/>
      <c r="AL593" s="16"/>
      <c r="AM593" s="12">
        <f t="shared" si="125"/>
        <v>0</v>
      </c>
      <c r="AN593" s="7">
        <f t="shared" si="126"/>
        <v>450</v>
      </c>
      <c r="AO593" s="12">
        <f t="shared" si="127"/>
        <v>0</v>
      </c>
      <c r="AP593" s="12">
        <f t="shared" si="128"/>
        <v>0</v>
      </c>
      <c r="AQ593" s="15">
        <f t="shared" si="129"/>
        <v>35</v>
      </c>
      <c r="AR593" s="7">
        <f t="shared" si="130"/>
        <v>390</v>
      </c>
      <c r="AS593" s="5"/>
      <c r="AU593" s="5"/>
      <c r="AV593" s="17"/>
      <c r="AW593" s="17"/>
      <c r="AX593" s="5"/>
      <c r="AY593" s="5"/>
      <c r="AZ593" s="13"/>
      <c r="BA593" s="12"/>
      <c r="BB593" s="7"/>
      <c r="BC593" s="14"/>
      <c r="BD593" s="14"/>
      <c r="BF593" s="12"/>
      <c r="BG593" s="14"/>
      <c r="BH593" s="19"/>
      <c r="BI593" s="5"/>
      <c r="BM593" s="18"/>
      <c r="BN593" s="18"/>
      <c r="BO593" s="18"/>
      <c r="BP593" s="18"/>
      <c r="BQ593" s="5"/>
      <c r="BR593" s="18"/>
      <c r="BS593" s="18"/>
      <c r="BT593" s="35">
        <f t="shared" si="120"/>
        <v>-1</v>
      </c>
    </row>
    <row r="594" spans="1:72" x14ac:dyDescent="0.35">
      <c r="A594" s="5"/>
      <c r="B594" s="5"/>
      <c r="C594" s="5"/>
      <c r="D594" s="5"/>
      <c r="E594" s="5"/>
      <c r="F594" s="8"/>
      <c r="G594" s="8"/>
      <c r="H594" s="5"/>
      <c r="I594" s="5" t="e" cm="1">
        <f t="array" ref="I594">_xlfn.IFS(
  H594="Mahuva", "Mahuva",
  H594="Jesar", "Mahuva",
  H594="Palitana", "Palitana",
  H594="Gariyadhar", "Palitana",
  H594="Talaja", "Talaja",
  H594="Vallabhipur", "Vallabhipur",
  H594="Umrala", "Vallabhipur",
  H594="Shihor", "Shihor",
  H594="Ghogha", "Bhavnagar",
  H594="Bhavnagar", "Bhavnagar"
)</f>
        <v>#N/A</v>
      </c>
      <c r="J594" s="5"/>
      <c r="K594" s="5"/>
      <c r="M594" s="5"/>
      <c r="Q594" s="7">
        <f t="shared" si="121"/>
        <v>120</v>
      </c>
      <c r="S594" s="33"/>
      <c r="U594" s="10"/>
      <c r="V594" s="10" t="str">
        <f t="shared" si="122"/>
        <v>Equals</v>
      </c>
      <c r="W594" s="11" t="str" cm="1">
        <f t="array" ref="W594">NumberToWords(T594)</f>
        <v>Zero Rupees Only</v>
      </c>
      <c r="X594" s="10" t="str">
        <f t="shared" si="118"/>
        <v>Division</v>
      </c>
      <c r="Z594" s="9">
        <f t="shared" si="123"/>
        <v>0</v>
      </c>
      <c r="AB594" s="8">
        <f>_xlfn.XLOOKUP(AA594, 'Agency List'!A$2:A$145, 'Agency List'!B$2:B$145, "Not Found")</f>
        <v>0</v>
      </c>
      <c r="AC594" s="8">
        <f>_xlfn.XLOOKUP(AA594, 'Agency List'!A$2:A$145, 'Agency List'!C$2:C$145, "Not Found")</f>
        <v>0</v>
      </c>
      <c r="AD594" s="8">
        <f>_xlfn.XLOOKUP(AA594, 'Agency List'!A$2:A$145, 'Agency List'!D$2:D$145, "Not Found")</f>
        <v>0</v>
      </c>
      <c r="AE594" s="7"/>
      <c r="AF594" s="5"/>
      <c r="AG594" s="5" t="str">
        <f t="shared" si="124"/>
        <v>Bandhkam</v>
      </c>
      <c r="AH594" s="55"/>
      <c r="AI594" s="49"/>
      <c r="AJ594" s="20"/>
      <c r="AL594" s="16"/>
      <c r="AM594" s="12">
        <f t="shared" si="125"/>
        <v>0</v>
      </c>
      <c r="AN594" s="7">
        <f t="shared" si="126"/>
        <v>450</v>
      </c>
      <c r="AO594" s="12">
        <f t="shared" si="127"/>
        <v>0</v>
      </c>
      <c r="AP594" s="12">
        <f t="shared" si="128"/>
        <v>0</v>
      </c>
      <c r="AQ594" s="15">
        <f t="shared" si="129"/>
        <v>35</v>
      </c>
      <c r="AR594" s="7">
        <f t="shared" si="130"/>
        <v>390</v>
      </c>
      <c r="AS594" s="5"/>
      <c r="AU594" s="5"/>
      <c r="AV594" s="17"/>
      <c r="AW594" s="17"/>
      <c r="AX594" s="5"/>
      <c r="AY594" s="5"/>
      <c r="AZ594" s="13"/>
      <c r="BA594" s="12"/>
      <c r="BB594" s="7"/>
      <c r="BC594" s="14"/>
      <c r="BD594" s="14"/>
      <c r="BF594" s="12"/>
      <c r="BG594" s="14"/>
      <c r="BH594" s="19"/>
      <c r="BI594" s="5"/>
      <c r="BM594" s="18"/>
      <c r="BN594" s="18"/>
      <c r="BO594" s="18"/>
      <c r="BP594" s="18"/>
      <c r="BQ594" s="5"/>
      <c r="BR594" s="18"/>
      <c r="BS594" s="18"/>
      <c r="BT594" s="35">
        <f t="shared" si="120"/>
        <v>-1</v>
      </c>
    </row>
    <row r="595" spans="1:72" x14ac:dyDescent="0.35">
      <c r="A595" s="5"/>
      <c r="B595" s="5"/>
      <c r="C595" s="5"/>
      <c r="D595" s="5"/>
      <c r="E595" s="5"/>
      <c r="F595" s="8"/>
      <c r="G595" s="8"/>
      <c r="H595" s="5"/>
      <c r="I595" s="5" t="e" cm="1">
        <f t="array" ref="I595">_xlfn.IFS(
  H595="Mahuva", "Mahuva",
  H595="Jesar", "Mahuva",
  H595="Palitana", "Palitana",
  H595="Gariyadhar", "Palitana",
  H595="Talaja", "Talaja",
  H595="Vallabhipur", "Vallabhipur",
  H595="Umrala", "Vallabhipur",
  H595="Shihor", "Shihor",
  H595="Ghogha", "Bhavnagar",
  H595="Bhavnagar", "Bhavnagar"
)</f>
        <v>#N/A</v>
      </c>
      <c r="J595" s="5"/>
      <c r="K595" s="5"/>
      <c r="M595" s="5"/>
      <c r="Q595" s="7">
        <f t="shared" si="121"/>
        <v>120</v>
      </c>
      <c r="S595" s="33"/>
      <c r="U595" s="10"/>
      <c r="V595" s="10" t="str">
        <f t="shared" si="122"/>
        <v>Equals</v>
      </c>
      <c r="W595" s="11" t="str" cm="1">
        <f t="array" ref="W595">NumberToWords(T595)</f>
        <v>Zero Rupees Only</v>
      </c>
      <c r="X595" s="10" t="str">
        <f t="shared" si="118"/>
        <v>Division</v>
      </c>
      <c r="Z595" s="9">
        <f t="shared" si="123"/>
        <v>0</v>
      </c>
      <c r="AB595" s="8">
        <f>_xlfn.XLOOKUP(AA595, 'Agency List'!A$2:A$145, 'Agency List'!B$2:B$145, "Not Found")</f>
        <v>0</v>
      </c>
      <c r="AC595" s="8">
        <f>_xlfn.XLOOKUP(AA595, 'Agency List'!A$2:A$145, 'Agency List'!C$2:C$145, "Not Found")</f>
        <v>0</v>
      </c>
      <c r="AD595" s="8">
        <f>_xlfn.XLOOKUP(AA595, 'Agency List'!A$2:A$145, 'Agency List'!D$2:D$145, "Not Found")</f>
        <v>0</v>
      </c>
      <c r="AE595" s="7"/>
      <c r="AF595" s="5"/>
      <c r="AG595" s="5" t="str">
        <f t="shared" si="124"/>
        <v>Bandhkam</v>
      </c>
      <c r="AH595" s="55"/>
      <c r="AI595" s="49"/>
      <c r="AJ595" s="20"/>
      <c r="AL595" s="16"/>
      <c r="AM595" s="12">
        <f t="shared" si="125"/>
        <v>0</v>
      </c>
      <c r="AN595" s="7">
        <f t="shared" si="126"/>
        <v>450</v>
      </c>
      <c r="AO595" s="12">
        <f t="shared" si="127"/>
        <v>0</v>
      </c>
      <c r="AP595" s="12">
        <f t="shared" si="128"/>
        <v>0</v>
      </c>
      <c r="AQ595" s="15">
        <f t="shared" si="129"/>
        <v>35</v>
      </c>
      <c r="AR595" s="7">
        <f t="shared" si="130"/>
        <v>390</v>
      </c>
      <c r="AS595" s="5"/>
      <c r="AU595" s="5"/>
      <c r="AV595" s="17"/>
      <c r="AW595" s="17"/>
      <c r="AX595" s="5"/>
      <c r="AY595" s="5"/>
      <c r="AZ595" s="13"/>
      <c r="BA595" s="12"/>
      <c r="BB595" s="7"/>
      <c r="BC595" s="14"/>
      <c r="BD595" s="14"/>
      <c r="BF595" s="12"/>
      <c r="BG595" s="14"/>
      <c r="BH595" s="19"/>
      <c r="BI595" s="5"/>
      <c r="BM595" s="18"/>
      <c r="BN595" s="18"/>
      <c r="BO595" s="18"/>
      <c r="BP595" s="18"/>
      <c r="BQ595" s="5"/>
      <c r="BR595" s="18"/>
      <c r="BS595" s="18"/>
      <c r="BT595" s="35">
        <f t="shared" si="120"/>
        <v>-1</v>
      </c>
    </row>
    <row r="596" spans="1:72" x14ac:dyDescent="0.35">
      <c r="A596" s="5"/>
      <c r="B596" s="5"/>
      <c r="C596" s="5"/>
      <c r="D596" s="5"/>
      <c r="E596" s="5"/>
      <c r="F596" s="8"/>
      <c r="G596" s="8"/>
      <c r="H596" s="5"/>
      <c r="I596" s="5" t="e" cm="1">
        <f t="array" ref="I596">_xlfn.IFS(
  H596="Mahuva", "Mahuva",
  H596="Jesar", "Mahuva",
  H596="Palitana", "Palitana",
  H596="Gariyadhar", "Palitana",
  H596="Talaja", "Talaja",
  H596="Vallabhipur", "Vallabhipur",
  H596="Umrala", "Vallabhipur",
  H596="Shihor", "Shihor",
  H596="Ghogha", "Bhavnagar",
  H596="Bhavnagar", "Bhavnagar"
)</f>
        <v>#N/A</v>
      </c>
      <c r="J596" s="5"/>
      <c r="K596" s="5"/>
      <c r="M596" s="5"/>
      <c r="Q596" s="7">
        <f t="shared" si="121"/>
        <v>120</v>
      </c>
      <c r="S596" s="33"/>
      <c r="U596" s="10"/>
      <c r="V596" s="10" t="str">
        <f t="shared" si="122"/>
        <v>Equals</v>
      </c>
      <c r="W596" s="11" t="str" cm="1">
        <f t="array" ref="W596">NumberToWords(T596)</f>
        <v>Zero Rupees Only</v>
      </c>
      <c r="X596" s="10" t="str">
        <f t="shared" si="118"/>
        <v>Division</v>
      </c>
      <c r="Z596" s="9">
        <f t="shared" si="123"/>
        <v>0</v>
      </c>
      <c r="AB596" s="8">
        <f>_xlfn.XLOOKUP(AA596, 'Agency List'!A$2:A$145, 'Agency List'!B$2:B$145, "Not Found")</f>
        <v>0</v>
      </c>
      <c r="AC596" s="8">
        <f>_xlfn.XLOOKUP(AA596, 'Agency List'!A$2:A$145, 'Agency List'!C$2:C$145, "Not Found")</f>
        <v>0</v>
      </c>
      <c r="AD596" s="8">
        <f>_xlfn.XLOOKUP(AA596, 'Agency List'!A$2:A$145, 'Agency List'!D$2:D$145, "Not Found")</f>
        <v>0</v>
      </c>
      <c r="AE596" s="7"/>
      <c r="AF596" s="5"/>
      <c r="AG596" s="5" t="str">
        <f t="shared" si="124"/>
        <v>Bandhkam</v>
      </c>
      <c r="AH596" s="55"/>
      <c r="AI596" s="49"/>
      <c r="AJ596" s="20"/>
      <c r="AL596" s="16"/>
      <c r="AM596" s="12">
        <f t="shared" si="125"/>
        <v>0</v>
      </c>
      <c r="AN596" s="7">
        <f t="shared" si="126"/>
        <v>450</v>
      </c>
      <c r="AO596" s="12">
        <f t="shared" si="127"/>
        <v>0</v>
      </c>
      <c r="AP596" s="12">
        <f t="shared" si="128"/>
        <v>0</v>
      </c>
      <c r="AQ596" s="15">
        <f t="shared" si="129"/>
        <v>35</v>
      </c>
      <c r="AR596" s="7">
        <f t="shared" si="130"/>
        <v>390</v>
      </c>
      <c r="AS596" s="5"/>
      <c r="AU596" s="5"/>
      <c r="AV596" s="17"/>
      <c r="AW596" s="17"/>
      <c r="AX596" s="5"/>
      <c r="AY596" s="5"/>
      <c r="AZ596" s="13"/>
      <c r="BA596" s="12"/>
      <c r="BB596" s="7"/>
      <c r="BC596" s="14"/>
      <c r="BD596" s="14"/>
      <c r="BF596" s="12"/>
      <c r="BG596" s="14"/>
      <c r="BH596" s="19"/>
      <c r="BI596" s="5"/>
      <c r="BM596" s="18"/>
      <c r="BN596" s="18"/>
      <c r="BO596" s="18"/>
      <c r="BP596" s="18"/>
      <c r="BQ596" s="5"/>
      <c r="BR596" s="18"/>
      <c r="BS596" s="18"/>
      <c r="BT596" s="35">
        <f t="shared" si="120"/>
        <v>-1</v>
      </c>
    </row>
    <row r="597" spans="1:72" x14ac:dyDescent="0.35">
      <c r="A597" s="5"/>
      <c r="B597" s="5"/>
      <c r="C597" s="5"/>
      <c r="D597" s="5"/>
      <c r="E597" s="5"/>
      <c r="F597" s="8"/>
      <c r="G597" s="8"/>
      <c r="H597" s="5"/>
      <c r="I597" s="5" t="e" cm="1">
        <f t="array" ref="I597">_xlfn.IFS(
  H597="Mahuva", "Mahuva",
  H597="Jesar", "Mahuva",
  H597="Palitana", "Palitana",
  H597="Gariyadhar", "Palitana",
  H597="Talaja", "Talaja",
  H597="Vallabhipur", "Vallabhipur",
  H597="Umrala", "Vallabhipur",
  H597="Shihor", "Shihor",
  H597="Ghogha", "Bhavnagar",
  H597="Bhavnagar", "Bhavnagar"
)</f>
        <v>#N/A</v>
      </c>
      <c r="J597" s="5"/>
      <c r="K597" s="5"/>
      <c r="M597" s="5"/>
      <c r="Q597" s="7">
        <f t="shared" si="121"/>
        <v>120</v>
      </c>
      <c r="S597" s="33"/>
      <c r="U597" s="10"/>
      <c r="V597" s="10" t="str">
        <f t="shared" si="122"/>
        <v>Equals</v>
      </c>
      <c r="W597" s="11" t="str" cm="1">
        <f t="array" ref="W597">NumberToWords(T597)</f>
        <v>Zero Rupees Only</v>
      </c>
      <c r="X597" s="10" t="str">
        <f t="shared" si="118"/>
        <v>Division</v>
      </c>
      <c r="Z597" s="9">
        <f t="shared" si="123"/>
        <v>0</v>
      </c>
      <c r="AB597" s="8">
        <f>_xlfn.XLOOKUP(AA597, 'Agency List'!A$2:A$145, 'Agency List'!B$2:B$145, "Not Found")</f>
        <v>0</v>
      </c>
      <c r="AC597" s="8">
        <f>_xlfn.XLOOKUP(AA597, 'Agency List'!A$2:A$145, 'Agency List'!C$2:C$145, "Not Found")</f>
        <v>0</v>
      </c>
      <c r="AD597" s="8">
        <f>_xlfn.XLOOKUP(AA597, 'Agency List'!A$2:A$145, 'Agency List'!D$2:D$145, "Not Found")</f>
        <v>0</v>
      </c>
      <c r="AE597" s="7"/>
      <c r="AF597" s="5"/>
      <c r="AG597" s="5" t="str">
        <f t="shared" si="124"/>
        <v>Bandhkam</v>
      </c>
      <c r="AH597" s="55"/>
      <c r="AI597" s="49"/>
      <c r="AJ597" s="20"/>
      <c r="AL597" s="16"/>
      <c r="AM597" s="12">
        <f t="shared" si="125"/>
        <v>0</v>
      </c>
      <c r="AN597" s="7">
        <f t="shared" si="126"/>
        <v>450</v>
      </c>
      <c r="AO597" s="12">
        <f t="shared" si="127"/>
        <v>0</v>
      </c>
      <c r="AP597" s="12">
        <f t="shared" si="128"/>
        <v>0</v>
      </c>
      <c r="AQ597" s="15">
        <f t="shared" si="129"/>
        <v>35</v>
      </c>
      <c r="AR597" s="7">
        <f t="shared" si="130"/>
        <v>390</v>
      </c>
      <c r="AS597" s="5"/>
      <c r="AU597" s="5"/>
      <c r="AV597" s="17"/>
      <c r="AW597" s="17"/>
      <c r="AX597" s="5"/>
      <c r="AY597" s="5"/>
      <c r="AZ597" s="13"/>
      <c r="BA597" s="12"/>
      <c r="BB597" s="7"/>
      <c r="BC597" s="14"/>
      <c r="BD597" s="14"/>
      <c r="BF597" s="12"/>
      <c r="BG597" s="14"/>
      <c r="BH597" s="19"/>
      <c r="BI597" s="5"/>
      <c r="BM597" s="18"/>
      <c r="BN597" s="18"/>
      <c r="BO597" s="18"/>
      <c r="BP597" s="18"/>
      <c r="BQ597" s="5"/>
      <c r="BR597" s="18"/>
      <c r="BS597" s="18"/>
      <c r="BT597" s="35">
        <f t="shared" si="120"/>
        <v>-1</v>
      </c>
    </row>
    <row r="598" spans="1:72" x14ac:dyDescent="0.35">
      <c r="A598" s="5"/>
      <c r="B598" s="5"/>
      <c r="C598" s="5"/>
      <c r="D598" s="5"/>
      <c r="E598" s="5"/>
      <c r="F598" s="8"/>
      <c r="G598" s="8"/>
      <c r="H598" s="5"/>
      <c r="I598" s="5" t="e" cm="1">
        <f t="array" ref="I598">_xlfn.IFS(
  H598="Mahuva", "Mahuva",
  H598="Jesar", "Mahuva",
  H598="Palitana", "Palitana",
  H598="Gariyadhar", "Palitana",
  H598="Talaja", "Talaja",
  H598="Vallabhipur", "Vallabhipur",
  H598="Umrala", "Vallabhipur",
  H598="Shihor", "Shihor",
  H598="Ghogha", "Bhavnagar",
  H598="Bhavnagar", "Bhavnagar"
)</f>
        <v>#N/A</v>
      </c>
      <c r="J598" s="5"/>
      <c r="K598" s="5"/>
      <c r="M598" s="5"/>
      <c r="Q598" s="7">
        <f t="shared" si="121"/>
        <v>120</v>
      </c>
      <c r="S598" s="33"/>
      <c r="U598" s="10"/>
      <c r="V598" s="10" t="str">
        <f t="shared" si="122"/>
        <v>Equals</v>
      </c>
      <c r="W598" s="11" t="str" cm="1">
        <f t="array" ref="W598">NumberToWords(T598)</f>
        <v>Zero Rupees Only</v>
      </c>
      <c r="X598" s="10" t="str">
        <f t="shared" si="118"/>
        <v>Division</v>
      </c>
      <c r="Z598" s="9">
        <f t="shared" si="123"/>
        <v>0</v>
      </c>
      <c r="AB598" s="8">
        <f>_xlfn.XLOOKUP(AA598, 'Agency List'!A$2:A$145, 'Agency List'!B$2:B$145, "Not Found")</f>
        <v>0</v>
      </c>
      <c r="AC598" s="8">
        <f>_xlfn.XLOOKUP(AA598, 'Agency List'!A$2:A$145, 'Agency List'!C$2:C$145, "Not Found")</f>
        <v>0</v>
      </c>
      <c r="AD598" s="8">
        <f>_xlfn.XLOOKUP(AA598, 'Agency List'!A$2:A$145, 'Agency List'!D$2:D$145, "Not Found")</f>
        <v>0</v>
      </c>
      <c r="AE598" s="7"/>
      <c r="AF598" s="5"/>
      <c r="AG598" s="5" t="str">
        <f t="shared" si="124"/>
        <v>Bandhkam</v>
      </c>
      <c r="AH598" s="55"/>
      <c r="AI598" s="49"/>
      <c r="AJ598" s="20"/>
      <c r="AL598" s="16"/>
      <c r="AM598" s="12">
        <f t="shared" si="125"/>
        <v>0</v>
      </c>
      <c r="AN598" s="7">
        <f t="shared" si="126"/>
        <v>450</v>
      </c>
      <c r="AO598" s="12">
        <f t="shared" si="127"/>
        <v>0</v>
      </c>
      <c r="AP598" s="12">
        <f t="shared" si="128"/>
        <v>0</v>
      </c>
      <c r="AQ598" s="15">
        <f t="shared" si="129"/>
        <v>35</v>
      </c>
      <c r="AR598" s="7">
        <f t="shared" si="130"/>
        <v>390</v>
      </c>
      <c r="AS598" s="5"/>
      <c r="AU598" s="5"/>
      <c r="AV598" s="17"/>
      <c r="AW598" s="17"/>
      <c r="AX598" s="5"/>
      <c r="AY598" s="5"/>
      <c r="AZ598" s="13"/>
      <c r="BA598" s="12"/>
      <c r="BB598" s="7"/>
      <c r="BC598" s="14"/>
      <c r="BD598" s="14"/>
      <c r="BF598" s="12"/>
      <c r="BG598" s="14"/>
      <c r="BH598" s="19"/>
      <c r="BI598" s="5"/>
      <c r="BM598" s="18"/>
      <c r="BN598" s="18"/>
      <c r="BO598" s="18"/>
      <c r="BP598" s="18"/>
      <c r="BQ598" s="5"/>
      <c r="BR598" s="18"/>
      <c r="BS598" s="18"/>
      <c r="BT598" s="35">
        <f t="shared" si="120"/>
        <v>-1</v>
      </c>
    </row>
    <row r="599" spans="1:72" x14ac:dyDescent="0.35">
      <c r="A599" s="5"/>
      <c r="B599" s="5"/>
      <c r="C599" s="5"/>
      <c r="D599" s="5"/>
      <c r="E599" s="5"/>
      <c r="F599" s="8"/>
      <c r="G599" s="8"/>
      <c r="H599" s="5"/>
      <c r="I599" s="5" t="e" cm="1">
        <f t="array" ref="I599">_xlfn.IFS(
  H599="Mahuva", "Mahuva",
  H599="Jesar", "Mahuva",
  H599="Palitana", "Palitana",
  H599="Gariyadhar", "Palitana",
  H599="Talaja", "Talaja",
  H599="Vallabhipur", "Vallabhipur",
  H599="Umrala", "Vallabhipur",
  H599="Shihor", "Shihor",
  H599="Ghogha", "Bhavnagar",
  H599="Bhavnagar", "Bhavnagar"
)</f>
        <v>#N/A</v>
      </c>
      <c r="J599" s="5"/>
      <c r="K599" s="5"/>
      <c r="M599" s="5"/>
      <c r="Q599" s="7">
        <f t="shared" si="121"/>
        <v>120</v>
      </c>
      <c r="S599" s="33"/>
      <c r="U599" s="10"/>
      <c r="V599" s="10" t="str">
        <f t="shared" si="122"/>
        <v>Equals</v>
      </c>
      <c r="W599" s="11" t="str" cm="1">
        <f t="array" ref="W599">NumberToWords(T599)</f>
        <v>Zero Rupees Only</v>
      </c>
      <c r="X599" s="10" t="str">
        <f t="shared" si="118"/>
        <v>Division</v>
      </c>
      <c r="Z599" s="9">
        <f t="shared" si="123"/>
        <v>0</v>
      </c>
      <c r="AB599" s="8">
        <f>_xlfn.XLOOKUP(AA599, 'Agency List'!A$2:A$145, 'Agency List'!B$2:B$145, "Not Found")</f>
        <v>0</v>
      </c>
      <c r="AC599" s="8">
        <f>_xlfn.XLOOKUP(AA599, 'Agency List'!A$2:A$145, 'Agency List'!C$2:C$145, "Not Found")</f>
        <v>0</v>
      </c>
      <c r="AD599" s="8">
        <f>_xlfn.XLOOKUP(AA599, 'Agency List'!A$2:A$145, 'Agency List'!D$2:D$145, "Not Found")</f>
        <v>0</v>
      </c>
      <c r="AE599" s="7"/>
      <c r="AF599" s="5"/>
      <c r="AG599" s="5" t="str">
        <f t="shared" si="124"/>
        <v>Bandhkam</v>
      </c>
      <c r="AH599" s="55"/>
      <c r="AI599" s="49"/>
      <c r="AJ599" s="20"/>
      <c r="AL599" s="16"/>
      <c r="AM599" s="12">
        <f t="shared" si="125"/>
        <v>0</v>
      </c>
      <c r="AN599" s="7">
        <f t="shared" si="126"/>
        <v>450</v>
      </c>
      <c r="AO599" s="12">
        <f t="shared" si="127"/>
        <v>0</v>
      </c>
      <c r="AP599" s="12">
        <f t="shared" si="128"/>
        <v>0</v>
      </c>
      <c r="AQ599" s="15">
        <f t="shared" si="129"/>
        <v>35</v>
      </c>
      <c r="AR599" s="7">
        <f t="shared" si="130"/>
        <v>390</v>
      </c>
      <c r="AS599" s="5"/>
      <c r="AU599" s="5"/>
      <c r="AV599" s="17"/>
      <c r="AW599" s="17"/>
      <c r="AX599" s="5"/>
      <c r="AY599" s="5"/>
      <c r="AZ599" s="13"/>
      <c r="BA599" s="12"/>
      <c r="BB599" s="7"/>
      <c r="BC599" s="14"/>
      <c r="BD599" s="14"/>
      <c r="BF599" s="12"/>
      <c r="BG599" s="14"/>
      <c r="BH599" s="19"/>
      <c r="BI599" s="5"/>
      <c r="BM599" s="18"/>
      <c r="BN599" s="18"/>
      <c r="BO599" s="18"/>
      <c r="BP599" s="18"/>
      <c r="BQ599" s="5"/>
      <c r="BR599" s="18"/>
      <c r="BS599" s="18"/>
      <c r="BT599" s="35">
        <f t="shared" si="120"/>
        <v>-1</v>
      </c>
    </row>
    <row r="600" spans="1:72" x14ac:dyDescent="0.35">
      <c r="A600" s="5"/>
      <c r="B600" s="5"/>
      <c r="C600" s="5"/>
      <c r="D600" s="5"/>
      <c r="E600" s="5"/>
      <c r="F600" s="8"/>
      <c r="G600" s="8"/>
      <c r="H600" s="5"/>
      <c r="I600" s="5" t="e" cm="1">
        <f t="array" ref="I600">_xlfn.IFS(
  H600="Mahuva", "Mahuva",
  H600="Jesar", "Mahuva",
  H600="Palitana", "Palitana",
  H600="Gariyadhar", "Palitana",
  H600="Talaja", "Talaja",
  H600="Vallabhipur", "Vallabhipur",
  H600="Umrala", "Vallabhipur",
  H600="Shihor", "Shihor",
  H600="Ghogha", "Bhavnagar",
  H600="Bhavnagar", "Bhavnagar"
)</f>
        <v>#N/A</v>
      </c>
      <c r="J600" s="5"/>
      <c r="K600" s="5"/>
      <c r="M600" s="5"/>
      <c r="Q600" s="7">
        <f t="shared" si="121"/>
        <v>120</v>
      </c>
      <c r="S600" s="33"/>
      <c r="U600" s="10"/>
      <c r="V600" s="10" t="str">
        <f t="shared" si="122"/>
        <v>Equals</v>
      </c>
      <c r="W600" s="11" t="str" cm="1">
        <f t="array" ref="W600">NumberToWords(T600)</f>
        <v>Zero Rupees Only</v>
      </c>
      <c r="X600" s="10" t="str">
        <f t="shared" si="118"/>
        <v>Division</v>
      </c>
      <c r="Z600" s="9">
        <f t="shared" si="123"/>
        <v>0</v>
      </c>
      <c r="AB600" s="8">
        <f>_xlfn.XLOOKUP(AA600, 'Agency List'!A$2:A$145, 'Agency List'!B$2:B$145, "Not Found")</f>
        <v>0</v>
      </c>
      <c r="AC600" s="8">
        <f>_xlfn.XLOOKUP(AA600, 'Agency List'!A$2:A$145, 'Agency List'!C$2:C$145, "Not Found")</f>
        <v>0</v>
      </c>
      <c r="AD600" s="8">
        <f>_xlfn.XLOOKUP(AA600, 'Agency List'!A$2:A$145, 'Agency List'!D$2:D$145, "Not Found")</f>
        <v>0</v>
      </c>
      <c r="AE600" s="7"/>
      <c r="AF600" s="5"/>
      <c r="AG600" s="5" t="str">
        <f t="shared" si="124"/>
        <v>Bandhkam</v>
      </c>
      <c r="AH600" s="55"/>
      <c r="AI600" s="49"/>
      <c r="AJ600" s="20"/>
      <c r="AL600" s="16"/>
      <c r="AM600" s="12">
        <f t="shared" si="125"/>
        <v>0</v>
      </c>
      <c r="AN600" s="7">
        <f t="shared" si="126"/>
        <v>450</v>
      </c>
      <c r="AO600" s="12">
        <f t="shared" si="127"/>
        <v>0</v>
      </c>
      <c r="AP600" s="12">
        <f t="shared" si="128"/>
        <v>0</v>
      </c>
      <c r="AQ600" s="15">
        <f t="shared" si="129"/>
        <v>35</v>
      </c>
      <c r="AR600" s="7">
        <f t="shared" si="130"/>
        <v>390</v>
      </c>
      <c r="AS600" s="5"/>
      <c r="AU600" s="5"/>
      <c r="AV600" s="17"/>
      <c r="AW600" s="17"/>
      <c r="AX600" s="5"/>
      <c r="AY600" s="5"/>
      <c r="AZ600" s="13"/>
      <c r="BA600" s="12"/>
      <c r="BB600" s="7"/>
      <c r="BC600" s="14"/>
      <c r="BD600" s="14"/>
      <c r="BF600" s="12"/>
      <c r="BG600" s="14"/>
      <c r="BH600" s="19"/>
      <c r="BI600" s="5"/>
      <c r="BM600" s="18"/>
      <c r="BN600" s="18"/>
      <c r="BO600" s="18"/>
      <c r="BP600" s="18"/>
      <c r="BQ600" s="5"/>
      <c r="BR600" s="18"/>
      <c r="BS600" s="18"/>
      <c r="BT600" s="35">
        <f t="shared" si="120"/>
        <v>-1</v>
      </c>
    </row>
    <row r="601" spans="1:72" x14ac:dyDescent="0.35">
      <c r="A601" s="5"/>
      <c r="B601" s="5"/>
      <c r="C601" s="5"/>
      <c r="D601" s="5"/>
      <c r="E601" s="5"/>
      <c r="F601" s="8"/>
      <c r="G601" s="8"/>
      <c r="H601" s="5"/>
      <c r="I601" s="5" t="e" cm="1">
        <f t="array" ref="I601">_xlfn.IFS(
  H601="Mahuva", "Mahuva",
  H601="Jesar", "Mahuva",
  H601="Palitana", "Palitana",
  H601="Gariyadhar", "Palitana",
  H601="Talaja", "Talaja",
  H601="Vallabhipur", "Vallabhipur",
  H601="Umrala", "Vallabhipur",
  H601="Shihor", "Shihor",
  H601="Ghogha", "Bhavnagar",
  H601="Bhavnagar", "Bhavnagar"
)</f>
        <v>#N/A</v>
      </c>
      <c r="J601" s="5"/>
      <c r="K601" s="5"/>
      <c r="M601" s="5"/>
      <c r="Q601" s="7">
        <f t="shared" si="121"/>
        <v>120</v>
      </c>
      <c r="S601" s="33"/>
      <c r="U601" s="10"/>
      <c r="V601" s="10" t="str">
        <f t="shared" si="122"/>
        <v>Equals</v>
      </c>
      <c r="W601" s="11" t="str" cm="1">
        <f t="array" ref="W601">NumberToWords(T601)</f>
        <v>Zero Rupees Only</v>
      </c>
      <c r="X601" s="10" t="str">
        <f t="shared" si="118"/>
        <v>Division</v>
      </c>
      <c r="Z601" s="9">
        <f t="shared" si="123"/>
        <v>0</v>
      </c>
      <c r="AB601" s="8">
        <f>_xlfn.XLOOKUP(AA601, 'Agency List'!A$2:A$145, 'Agency List'!B$2:B$145, "Not Found")</f>
        <v>0</v>
      </c>
      <c r="AC601" s="8">
        <f>_xlfn.XLOOKUP(AA601, 'Agency List'!A$2:A$145, 'Agency List'!C$2:C$145, "Not Found")</f>
        <v>0</v>
      </c>
      <c r="AD601" s="8">
        <f>_xlfn.XLOOKUP(AA601, 'Agency List'!A$2:A$145, 'Agency List'!D$2:D$145, "Not Found")</f>
        <v>0</v>
      </c>
      <c r="AE601" s="7"/>
      <c r="AF601" s="5"/>
      <c r="AG601" s="5" t="str">
        <f t="shared" si="124"/>
        <v>Bandhkam</v>
      </c>
      <c r="AH601" s="55"/>
      <c r="AI601" s="49"/>
      <c r="AJ601" s="20"/>
      <c r="AL601" s="16"/>
      <c r="AM601" s="12">
        <f t="shared" si="125"/>
        <v>0</v>
      </c>
      <c r="AN601" s="7">
        <f t="shared" si="126"/>
        <v>450</v>
      </c>
      <c r="AO601" s="12">
        <f t="shared" si="127"/>
        <v>0</v>
      </c>
      <c r="AP601" s="12">
        <f t="shared" si="128"/>
        <v>0</v>
      </c>
      <c r="AQ601" s="15">
        <f t="shared" si="129"/>
        <v>35</v>
      </c>
      <c r="AR601" s="7">
        <f t="shared" si="130"/>
        <v>390</v>
      </c>
      <c r="AS601" s="5"/>
      <c r="AU601" s="5"/>
      <c r="AV601" s="17"/>
      <c r="AW601" s="17"/>
      <c r="AX601" s="5"/>
      <c r="AY601" s="5"/>
      <c r="AZ601" s="13"/>
      <c r="BA601" s="12"/>
      <c r="BB601" s="7"/>
      <c r="BC601" s="14"/>
      <c r="BD601" s="14"/>
      <c r="BF601" s="12"/>
      <c r="BG601" s="14"/>
      <c r="BH601" s="19"/>
      <c r="BI601" s="5"/>
      <c r="BM601" s="18"/>
      <c r="BN601" s="18"/>
      <c r="BO601" s="18"/>
      <c r="BP601" s="18"/>
      <c r="BQ601" s="5"/>
      <c r="BR601" s="18"/>
      <c r="BS601" s="18"/>
      <c r="BT601" s="35">
        <f t="shared" si="120"/>
        <v>-1</v>
      </c>
    </row>
    <row r="602" spans="1:72" x14ac:dyDescent="0.35">
      <c r="A602" s="5"/>
      <c r="B602" s="5"/>
      <c r="C602" s="5"/>
      <c r="D602" s="5"/>
      <c r="E602" s="5"/>
      <c r="F602" s="8"/>
      <c r="G602" s="8"/>
      <c r="H602" s="5"/>
      <c r="I602" s="5" t="e" cm="1">
        <f t="array" ref="I602">_xlfn.IFS(
  H602="Mahuva", "Mahuva",
  H602="Jesar", "Mahuva",
  H602="Palitana", "Palitana",
  H602="Gariyadhar", "Palitana",
  H602="Talaja", "Talaja",
  H602="Vallabhipur", "Vallabhipur",
  H602="Umrala", "Vallabhipur",
  H602="Shihor", "Shihor",
  H602="Ghogha", "Bhavnagar",
  H602="Bhavnagar", "Bhavnagar"
)</f>
        <v>#N/A</v>
      </c>
      <c r="J602" s="5"/>
      <c r="K602" s="5"/>
      <c r="M602" s="5"/>
      <c r="Q602" s="7">
        <f t="shared" si="121"/>
        <v>120</v>
      </c>
      <c r="S602" s="33"/>
      <c r="U602" s="10"/>
      <c r="V602" s="10" t="str">
        <f t="shared" si="122"/>
        <v>Equals</v>
      </c>
      <c r="W602" s="11" t="str" cm="1">
        <f t="array" ref="W602">NumberToWords(T602)</f>
        <v>Zero Rupees Only</v>
      </c>
      <c r="X602" s="10" t="str">
        <f t="shared" si="118"/>
        <v>Division</v>
      </c>
      <c r="Z602" s="9">
        <f t="shared" si="123"/>
        <v>0</v>
      </c>
      <c r="AB602" s="8">
        <f>_xlfn.XLOOKUP(AA602, 'Agency List'!A$2:A$145, 'Agency List'!B$2:B$145, "Not Found")</f>
        <v>0</v>
      </c>
      <c r="AC602" s="8">
        <f>_xlfn.XLOOKUP(AA602, 'Agency List'!A$2:A$145, 'Agency List'!C$2:C$145, "Not Found")</f>
        <v>0</v>
      </c>
      <c r="AD602" s="8">
        <f>_xlfn.XLOOKUP(AA602, 'Agency List'!A$2:A$145, 'Agency List'!D$2:D$145, "Not Found")</f>
        <v>0</v>
      </c>
      <c r="AE602" s="7"/>
      <c r="AF602" s="5"/>
      <c r="AG602" s="5" t="str">
        <f t="shared" si="124"/>
        <v>Bandhkam</v>
      </c>
      <c r="AH602" s="55"/>
      <c r="AI602" s="49"/>
      <c r="AJ602" s="20"/>
      <c r="AL602" s="16"/>
      <c r="AM602" s="12">
        <f t="shared" si="125"/>
        <v>0</v>
      </c>
      <c r="AN602" s="7">
        <f t="shared" si="126"/>
        <v>450</v>
      </c>
      <c r="AO602" s="12">
        <f t="shared" si="127"/>
        <v>0</v>
      </c>
      <c r="AP602" s="12">
        <f t="shared" si="128"/>
        <v>0</v>
      </c>
      <c r="AQ602" s="15">
        <f t="shared" si="129"/>
        <v>35</v>
      </c>
      <c r="AR602" s="7">
        <f t="shared" si="130"/>
        <v>390</v>
      </c>
      <c r="AS602" s="5"/>
      <c r="AU602" s="5"/>
      <c r="AV602" s="17"/>
      <c r="AW602" s="17"/>
      <c r="AX602" s="5"/>
      <c r="AY602" s="5"/>
      <c r="AZ602" s="13"/>
      <c r="BA602" s="12"/>
      <c r="BB602" s="7"/>
      <c r="BC602" s="14"/>
      <c r="BD602" s="14"/>
      <c r="BF602" s="12"/>
      <c r="BG602" s="14"/>
      <c r="BH602" s="19"/>
      <c r="BI602" s="5"/>
      <c r="BM602" s="18"/>
      <c r="BN602" s="18"/>
      <c r="BO602" s="18"/>
      <c r="BP602" s="18"/>
      <c r="BQ602" s="5"/>
      <c r="BR602" s="18"/>
      <c r="BS602" s="18"/>
      <c r="BT602" s="35">
        <f t="shared" si="120"/>
        <v>-1</v>
      </c>
    </row>
    <row r="603" spans="1:72" x14ac:dyDescent="0.35">
      <c r="A603" s="5"/>
      <c r="B603" s="5"/>
      <c r="C603" s="5"/>
      <c r="D603" s="5"/>
      <c r="E603" s="5"/>
      <c r="F603" s="8"/>
      <c r="G603" s="8"/>
      <c r="H603" s="5"/>
      <c r="I603" s="5" t="e" cm="1">
        <f t="array" ref="I603">_xlfn.IFS(
  H603="Mahuva", "Mahuva",
  H603="Jesar", "Mahuva",
  H603="Palitana", "Palitana",
  H603="Gariyadhar", "Palitana",
  H603="Talaja", "Talaja",
  H603="Vallabhipur", "Vallabhipur",
  H603="Umrala", "Vallabhipur",
  H603="Shihor", "Shihor",
  H603="Ghogha", "Bhavnagar",
  H603="Bhavnagar", "Bhavnagar"
)</f>
        <v>#N/A</v>
      </c>
      <c r="J603" s="5"/>
      <c r="K603" s="5"/>
      <c r="M603" s="5"/>
      <c r="Q603" s="7">
        <f t="shared" si="121"/>
        <v>120</v>
      </c>
      <c r="S603" s="33"/>
      <c r="U603" s="10"/>
      <c r="V603" s="10" t="str">
        <f t="shared" si="122"/>
        <v>Equals</v>
      </c>
      <c r="W603" s="11" t="str" cm="1">
        <f t="array" ref="W603">NumberToWords(T603)</f>
        <v>Zero Rupees Only</v>
      </c>
      <c r="X603" s="10" t="str">
        <f t="shared" si="118"/>
        <v>Division</v>
      </c>
      <c r="Z603" s="9">
        <f t="shared" si="123"/>
        <v>0</v>
      </c>
      <c r="AB603" s="8">
        <f>_xlfn.XLOOKUP(AA603, 'Agency List'!A$2:A$145, 'Agency List'!B$2:B$145, "Not Found")</f>
        <v>0</v>
      </c>
      <c r="AC603" s="8">
        <f>_xlfn.XLOOKUP(AA603, 'Agency List'!A$2:A$145, 'Agency List'!C$2:C$145, "Not Found")</f>
        <v>0</v>
      </c>
      <c r="AD603" s="8">
        <f>_xlfn.XLOOKUP(AA603, 'Agency List'!A$2:A$145, 'Agency List'!D$2:D$145, "Not Found")</f>
        <v>0</v>
      </c>
      <c r="AE603" s="7"/>
      <c r="AF603" s="5"/>
      <c r="AG603" s="5" t="str">
        <f t="shared" si="124"/>
        <v>Bandhkam</v>
      </c>
      <c r="AH603" s="55"/>
      <c r="AI603" s="49"/>
      <c r="AJ603" s="20"/>
      <c r="AL603" s="16"/>
      <c r="AM603" s="12">
        <f t="shared" si="125"/>
        <v>0</v>
      </c>
      <c r="AN603" s="7">
        <f t="shared" si="126"/>
        <v>450</v>
      </c>
      <c r="AO603" s="12">
        <f t="shared" si="127"/>
        <v>0</v>
      </c>
      <c r="AP603" s="12">
        <f t="shared" si="128"/>
        <v>0</v>
      </c>
      <c r="AQ603" s="15">
        <f t="shared" si="129"/>
        <v>35</v>
      </c>
      <c r="AR603" s="7">
        <f t="shared" si="130"/>
        <v>390</v>
      </c>
      <c r="AS603" s="5"/>
      <c r="AU603" s="5"/>
      <c r="AV603" s="17"/>
      <c r="AW603" s="17"/>
      <c r="AX603" s="5"/>
      <c r="AY603" s="5"/>
      <c r="AZ603" s="13"/>
      <c r="BA603" s="12"/>
      <c r="BB603" s="7"/>
      <c r="BC603" s="14"/>
      <c r="BD603" s="14"/>
      <c r="BF603" s="12"/>
      <c r="BG603" s="14"/>
      <c r="BH603" s="19"/>
      <c r="BI603" s="5"/>
      <c r="BM603" s="18"/>
      <c r="BN603" s="18"/>
      <c r="BO603" s="18"/>
      <c r="BP603" s="18"/>
      <c r="BQ603" s="5"/>
      <c r="BR603" s="18"/>
      <c r="BS603" s="18"/>
      <c r="BT603" s="35">
        <f t="shared" si="120"/>
        <v>-1</v>
      </c>
    </row>
    <row r="604" spans="1:72" x14ac:dyDescent="0.35">
      <c r="A604" s="5"/>
      <c r="B604" s="5"/>
      <c r="C604" s="5"/>
      <c r="D604" s="5"/>
      <c r="E604" s="5"/>
      <c r="F604" s="8"/>
      <c r="G604" s="8"/>
      <c r="H604" s="5"/>
      <c r="I604" s="5" t="e" cm="1">
        <f t="array" ref="I604">_xlfn.IFS(
  H604="Mahuva", "Mahuva",
  H604="Jesar", "Mahuva",
  H604="Palitana", "Palitana",
  H604="Gariyadhar", "Palitana",
  H604="Talaja", "Talaja",
  H604="Vallabhipur", "Vallabhipur",
  H604="Umrala", "Vallabhipur",
  H604="Shihor", "Shihor",
  H604="Ghogha", "Bhavnagar",
  H604="Bhavnagar", "Bhavnagar"
)</f>
        <v>#N/A</v>
      </c>
      <c r="J604" s="5"/>
      <c r="K604" s="5"/>
      <c r="M604" s="5"/>
      <c r="Q604" s="7">
        <f t="shared" si="121"/>
        <v>120</v>
      </c>
      <c r="S604" s="33"/>
      <c r="U604" s="10"/>
      <c r="V604" s="10" t="str">
        <f t="shared" si="122"/>
        <v>Equals</v>
      </c>
      <c r="W604" s="11" t="str" cm="1">
        <f t="array" ref="W604">NumberToWords(T604)</f>
        <v>Zero Rupees Only</v>
      </c>
      <c r="X604" s="10" t="str">
        <f t="shared" si="118"/>
        <v>Division</v>
      </c>
      <c r="Z604" s="9">
        <f t="shared" si="123"/>
        <v>0</v>
      </c>
      <c r="AB604" s="8">
        <f>_xlfn.XLOOKUP(AA604, 'Agency List'!A$2:A$145, 'Agency List'!B$2:B$145, "Not Found")</f>
        <v>0</v>
      </c>
      <c r="AC604" s="8">
        <f>_xlfn.XLOOKUP(AA604, 'Agency List'!A$2:A$145, 'Agency List'!C$2:C$145, "Not Found")</f>
        <v>0</v>
      </c>
      <c r="AD604" s="8">
        <f>_xlfn.XLOOKUP(AA604, 'Agency List'!A$2:A$145, 'Agency List'!D$2:D$145, "Not Found")</f>
        <v>0</v>
      </c>
      <c r="AE604" s="7"/>
      <c r="AF604" s="5"/>
      <c r="AG604" s="5" t="str">
        <f t="shared" si="124"/>
        <v>Bandhkam</v>
      </c>
      <c r="AH604" s="55"/>
      <c r="AI604" s="49"/>
      <c r="AJ604" s="20"/>
      <c r="AL604" s="16"/>
      <c r="AM604" s="12">
        <f t="shared" si="125"/>
        <v>0</v>
      </c>
      <c r="AN604" s="7">
        <f t="shared" si="126"/>
        <v>450</v>
      </c>
      <c r="AO604" s="12">
        <f t="shared" si="127"/>
        <v>0</v>
      </c>
      <c r="AP604" s="12">
        <f t="shared" si="128"/>
        <v>0</v>
      </c>
      <c r="AQ604" s="15">
        <f t="shared" si="129"/>
        <v>35</v>
      </c>
      <c r="AR604" s="7">
        <f t="shared" si="130"/>
        <v>390</v>
      </c>
      <c r="AS604" s="5"/>
      <c r="AU604" s="5"/>
      <c r="AV604" s="17"/>
      <c r="AW604" s="17"/>
      <c r="AX604" s="5"/>
      <c r="AY604" s="5"/>
      <c r="AZ604" s="13"/>
      <c r="BA604" s="12"/>
      <c r="BB604" s="7"/>
      <c r="BC604" s="14"/>
      <c r="BD604" s="14"/>
      <c r="BF604" s="12"/>
      <c r="BG604" s="14"/>
      <c r="BH604" s="19"/>
      <c r="BI604" s="5"/>
      <c r="BM604" s="18"/>
      <c r="BN604" s="18"/>
      <c r="BO604" s="18"/>
      <c r="BP604" s="18"/>
      <c r="BQ604" s="5"/>
      <c r="BR604" s="18"/>
      <c r="BS604" s="18"/>
      <c r="BT604" s="35">
        <f t="shared" si="120"/>
        <v>-1</v>
      </c>
    </row>
    <row r="605" spans="1:72" x14ac:dyDescent="0.35">
      <c r="A605" s="5"/>
      <c r="B605" s="5"/>
      <c r="C605" s="5"/>
      <c r="D605" s="5"/>
      <c r="E605" s="5"/>
      <c r="F605" s="8"/>
      <c r="G605" s="8"/>
      <c r="H605" s="5"/>
      <c r="I605" s="5" t="e" cm="1">
        <f t="array" ref="I605">_xlfn.IFS(
  H605="Mahuva", "Mahuva",
  H605="Jesar", "Mahuva",
  H605="Palitana", "Palitana",
  H605="Gariyadhar", "Palitana",
  H605="Talaja", "Talaja",
  H605="Vallabhipur", "Vallabhipur",
  H605="Umrala", "Vallabhipur",
  H605="Shihor", "Shihor",
  H605="Ghogha", "Bhavnagar",
  H605="Bhavnagar", "Bhavnagar"
)</f>
        <v>#N/A</v>
      </c>
      <c r="J605" s="5"/>
      <c r="K605" s="5"/>
      <c r="M605" s="5"/>
      <c r="Q605" s="7">
        <f t="shared" si="121"/>
        <v>120</v>
      </c>
      <c r="S605" s="33"/>
      <c r="U605" s="10"/>
      <c r="V605" s="10" t="str">
        <f t="shared" si="122"/>
        <v>Equals</v>
      </c>
      <c r="W605" s="11" t="str" cm="1">
        <f t="array" ref="W605">NumberToWords(T605)</f>
        <v>Zero Rupees Only</v>
      </c>
      <c r="X605" s="10" t="str">
        <f t="shared" si="118"/>
        <v>Division</v>
      </c>
      <c r="Z605" s="9">
        <f t="shared" si="123"/>
        <v>0</v>
      </c>
      <c r="AB605" s="8">
        <f>_xlfn.XLOOKUP(AA605, 'Agency List'!A$2:A$145, 'Agency List'!B$2:B$145, "Not Found")</f>
        <v>0</v>
      </c>
      <c r="AC605" s="8">
        <f>_xlfn.XLOOKUP(AA605, 'Agency List'!A$2:A$145, 'Agency List'!C$2:C$145, "Not Found")</f>
        <v>0</v>
      </c>
      <c r="AD605" s="8">
        <f>_xlfn.XLOOKUP(AA605, 'Agency List'!A$2:A$145, 'Agency List'!D$2:D$145, "Not Found")</f>
        <v>0</v>
      </c>
      <c r="AE605" s="7"/>
      <c r="AF605" s="5"/>
      <c r="AG605" s="5" t="str">
        <f t="shared" si="124"/>
        <v>Bandhkam</v>
      </c>
      <c r="AH605" s="55"/>
      <c r="AI605" s="49"/>
      <c r="AJ605" s="20"/>
      <c r="AL605" s="16"/>
      <c r="AM605" s="12">
        <f t="shared" si="125"/>
        <v>0</v>
      </c>
      <c r="AN605" s="7">
        <f t="shared" si="126"/>
        <v>450</v>
      </c>
      <c r="AO605" s="12">
        <f t="shared" si="127"/>
        <v>0</v>
      </c>
      <c r="AP605" s="12">
        <f t="shared" si="128"/>
        <v>0</v>
      </c>
      <c r="AQ605" s="15">
        <f t="shared" si="129"/>
        <v>35</v>
      </c>
      <c r="AR605" s="7">
        <f t="shared" si="130"/>
        <v>390</v>
      </c>
      <c r="AS605" s="5"/>
      <c r="AU605" s="5"/>
      <c r="AV605" s="17"/>
      <c r="AW605" s="17"/>
      <c r="AX605" s="5"/>
      <c r="AY605" s="5"/>
      <c r="AZ605" s="13"/>
      <c r="BA605" s="12"/>
      <c r="BB605" s="7"/>
      <c r="BC605" s="14"/>
      <c r="BD605" s="14"/>
      <c r="BF605" s="12"/>
      <c r="BG605" s="14"/>
      <c r="BH605" s="19"/>
      <c r="BI605" s="5"/>
      <c r="BM605" s="18"/>
      <c r="BN605" s="18"/>
      <c r="BO605" s="18"/>
      <c r="BP605" s="18"/>
      <c r="BQ605" s="5"/>
      <c r="BR605" s="18"/>
      <c r="BS605" s="18"/>
      <c r="BT605" s="35">
        <f t="shared" si="120"/>
        <v>-1</v>
      </c>
    </row>
    <row r="606" spans="1:72" x14ac:dyDescent="0.35">
      <c r="A606" s="5"/>
      <c r="B606" s="5"/>
      <c r="C606" s="5"/>
      <c r="D606" s="5"/>
      <c r="E606" s="5"/>
      <c r="F606" s="8"/>
      <c r="G606" s="8"/>
      <c r="H606" s="5"/>
      <c r="I606" s="5" t="e" cm="1">
        <f t="array" ref="I606">_xlfn.IFS(
  H606="Mahuva", "Mahuva",
  H606="Jesar", "Mahuva",
  H606="Palitana", "Palitana",
  H606="Gariyadhar", "Palitana",
  H606="Talaja", "Talaja",
  H606="Vallabhipur", "Vallabhipur",
  H606="Umrala", "Vallabhipur",
  H606="Shihor", "Shihor",
  H606="Ghogha", "Bhavnagar",
  H606="Bhavnagar", "Bhavnagar"
)</f>
        <v>#N/A</v>
      </c>
      <c r="J606" s="5"/>
      <c r="K606" s="5"/>
      <c r="M606" s="5"/>
      <c r="Q606" s="7">
        <f t="shared" si="121"/>
        <v>120</v>
      </c>
      <c r="S606" s="33"/>
      <c r="U606" s="10"/>
      <c r="V606" s="10" t="str">
        <f t="shared" si="122"/>
        <v>Equals</v>
      </c>
      <c r="W606" s="11" t="str" cm="1">
        <f t="array" ref="W606">NumberToWords(T606)</f>
        <v>Zero Rupees Only</v>
      </c>
      <c r="X606" s="10" t="str">
        <f t="shared" ref="X606:X657" si="131">IF(T606&lt;5000000,"Division",IF(T606&lt;=20000000,"Circle","Government"))</f>
        <v>Division</v>
      </c>
      <c r="Z606" s="9">
        <f t="shared" si="123"/>
        <v>0</v>
      </c>
      <c r="AB606" s="8">
        <f>_xlfn.XLOOKUP(AA606, 'Agency List'!A$2:A$145, 'Agency List'!B$2:B$145, "Not Found")</f>
        <v>0</v>
      </c>
      <c r="AC606" s="8">
        <f>_xlfn.XLOOKUP(AA606, 'Agency List'!A$2:A$145, 'Agency List'!C$2:C$145, "Not Found")</f>
        <v>0</v>
      </c>
      <c r="AD606" s="8">
        <f>_xlfn.XLOOKUP(AA606, 'Agency List'!A$2:A$145, 'Agency List'!D$2:D$145, "Not Found")</f>
        <v>0</v>
      </c>
      <c r="AE606" s="7"/>
      <c r="AF606" s="5"/>
      <c r="AG606" s="5" t="str">
        <f t="shared" si="124"/>
        <v>Bandhkam</v>
      </c>
      <c r="AH606" s="55"/>
      <c r="AI606" s="49"/>
      <c r="AJ606" s="20"/>
      <c r="AL606" s="16"/>
      <c r="AM606" s="12">
        <f t="shared" si="125"/>
        <v>0</v>
      </c>
      <c r="AN606" s="7">
        <f t="shared" si="126"/>
        <v>450</v>
      </c>
      <c r="AO606" s="12">
        <f t="shared" si="127"/>
        <v>0</v>
      </c>
      <c r="AP606" s="12">
        <f t="shared" si="128"/>
        <v>0</v>
      </c>
      <c r="AQ606" s="15">
        <f t="shared" si="129"/>
        <v>35</v>
      </c>
      <c r="AR606" s="7">
        <f t="shared" si="130"/>
        <v>390</v>
      </c>
      <c r="AS606" s="5"/>
      <c r="AU606" s="5"/>
      <c r="AV606" s="17"/>
      <c r="AW606" s="17"/>
      <c r="AX606" s="5"/>
      <c r="AY606" s="5"/>
      <c r="AZ606" s="13"/>
      <c r="BA606" s="12"/>
      <c r="BB606" s="7"/>
      <c r="BC606" s="14"/>
      <c r="BD606" s="14"/>
      <c r="BF606" s="12"/>
      <c r="BG606" s="14"/>
      <c r="BH606" s="19"/>
      <c r="BI606" s="5"/>
      <c r="BM606" s="18"/>
      <c r="BN606" s="18"/>
      <c r="BO606" s="18"/>
      <c r="BP606" s="18"/>
      <c r="BQ606" s="5"/>
      <c r="BR606" s="18"/>
      <c r="BS606" s="18"/>
      <c r="BT606" s="35">
        <f t="shared" si="120"/>
        <v>-1</v>
      </c>
    </row>
    <row r="607" spans="1:72" x14ac:dyDescent="0.35">
      <c r="A607" s="5"/>
      <c r="B607" s="5"/>
      <c r="C607" s="5"/>
      <c r="D607" s="5"/>
      <c r="E607" s="5"/>
      <c r="F607" s="8"/>
      <c r="G607" s="8"/>
      <c r="H607" s="5"/>
      <c r="I607" s="5" t="e" cm="1">
        <f t="array" ref="I607">_xlfn.IFS(
  H607="Mahuva", "Mahuva",
  H607="Jesar", "Mahuva",
  H607="Palitana", "Palitana",
  H607="Gariyadhar", "Palitana",
  H607="Talaja", "Talaja",
  H607="Vallabhipur", "Vallabhipur",
  H607="Umrala", "Vallabhipur",
  H607="Shihor", "Shihor",
  H607="Ghogha", "Bhavnagar",
  H607="Bhavnagar", "Bhavnagar"
)</f>
        <v>#N/A</v>
      </c>
      <c r="J607" s="5"/>
      <c r="K607" s="5"/>
      <c r="M607" s="5"/>
      <c r="Q607" s="7">
        <f t="shared" si="121"/>
        <v>120</v>
      </c>
      <c r="S607" s="33"/>
      <c r="U607" s="10"/>
      <c r="V607" s="10" t="str">
        <f t="shared" si="122"/>
        <v>Equals</v>
      </c>
      <c r="W607" s="11" t="str" cm="1">
        <f t="array" ref="W607">NumberToWords(T607)</f>
        <v>Zero Rupees Only</v>
      </c>
      <c r="X607" s="10" t="str">
        <f t="shared" si="131"/>
        <v>Division</v>
      </c>
      <c r="Z607" s="9">
        <f t="shared" si="123"/>
        <v>0</v>
      </c>
      <c r="AB607" s="8">
        <f>_xlfn.XLOOKUP(AA607, 'Agency List'!A$2:A$145, 'Agency List'!B$2:B$145, "Not Found")</f>
        <v>0</v>
      </c>
      <c r="AC607" s="8">
        <f>_xlfn.XLOOKUP(AA607, 'Agency List'!A$2:A$145, 'Agency List'!C$2:C$145, "Not Found")</f>
        <v>0</v>
      </c>
      <c r="AD607" s="8">
        <f>_xlfn.XLOOKUP(AA607, 'Agency List'!A$2:A$145, 'Agency List'!D$2:D$145, "Not Found")</f>
        <v>0</v>
      </c>
      <c r="AE607" s="7"/>
      <c r="AF607" s="5"/>
      <c r="AG607" s="5" t="str">
        <f t="shared" si="124"/>
        <v>Bandhkam</v>
      </c>
      <c r="AH607" s="55"/>
      <c r="AI607" s="49"/>
      <c r="AJ607" s="20"/>
      <c r="AL607" s="16"/>
      <c r="AM607" s="12">
        <f t="shared" si="125"/>
        <v>0</v>
      </c>
      <c r="AN607" s="7">
        <f t="shared" si="126"/>
        <v>450</v>
      </c>
      <c r="AO607" s="12">
        <f t="shared" si="127"/>
        <v>0</v>
      </c>
      <c r="AP607" s="12">
        <f t="shared" si="128"/>
        <v>0</v>
      </c>
      <c r="AQ607" s="15">
        <f t="shared" si="129"/>
        <v>35</v>
      </c>
      <c r="AR607" s="7">
        <f t="shared" si="130"/>
        <v>390</v>
      </c>
      <c r="AS607" s="5"/>
      <c r="AU607" s="5"/>
      <c r="AV607" s="17"/>
      <c r="AW607" s="17"/>
      <c r="AX607" s="5"/>
      <c r="AY607" s="5"/>
      <c r="AZ607" s="13"/>
      <c r="BA607" s="12"/>
      <c r="BB607" s="7"/>
      <c r="BC607" s="14"/>
      <c r="BD607" s="14"/>
      <c r="BF607" s="12"/>
      <c r="BG607" s="14"/>
      <c r="BH607" s="19"/>
      <c r="BI607" s="5"/>
      <c r="BM607" s="18"/>
      <c r="BN607" s="18"/>
      <c r="BO607" s="18"/>
      <c r="BP607" s="18"/>
      <c r="BQ607" s="5"/>
      <c r="BR607" s="18"/>
      <c r="BS607" s="18"/>
      <c r="BT607" s="35">
        <f t="shared" ref="BT607:BT638" si="132">EDATE(BH607,AL607)-1</f>
        <v>-1</v>
      </c>
    </row>
    <row r="608" spans="1:72" x14ac:dyDescent="0.35">
      <c r="A608" s="5"/>
      <c r="B608" s="5"/>
      <c r="C608" s="5"/>
      <c r="D608" s="5"/>
      <c r="E608" s="5"/>
      <c r="F608" s="8"/>
      <c r="G608" s="8"/>
      <c r="H608" s="5"/>
      <c r="I608" s="5" t="e" cm="1">
        <f t="array" ref="I608">_xlfn.IFS(
  H608="Mahuva", "Mahuva",
  H608="Jesar", "Mahuva",
  H608="Palitana", "Palitana",
  H608="Gariyadhar", "Palitana",
  H608="Talaja", "Talaja",
  H608="Vallabhipur", "Vallabhipur",
  H608="Umrala", "Vallabhipur",
  H608="Shihor", "Shihor",
  H608="Ghogha", "Bhavnagar",
  H608="Bhavnagar", "Bhavnagar"
)</f>
        <v>#N/A</v>
      </c>
      <c r="J608" s="5"/>
      <c r="K608" s="5"/>
      <c r="M608" s="5"/>
      <c r="Q608" s="7">
        <f t="shared" si="121"/>
        <v>120</v>
      </c>
      <c r="S608" s="33"/>
      <c r="U608" s="10"/>
      <c r="V608" s="10" t="str">
        <f t="shared" si="122"/>
        <v>Equals</v>
      </c>
      <c r="W608" s="11" t="str" cm="1">
        <f t="array" ref="W608">NumberToWords(T608)</f>
        <v>Zero Rupees Only</v>
      </c>
      <c r="X608" s="10" t="str">
        <f t="shared" si="131"/>
        <v>Division</v>
      </c>
      <c r="Z608" s="9">
        <f t="shared" si="123"/>
        <v>0</v>
      </c>
      <c r="AB608" s="8">
        <f>_xlfn.XLOOKUP(AA608, 'Agency List'!A$2:A$145, 'Agency List'!B$2:B$145, "Not Found")</f>
        <v>0</v>
      </c>
      <c r="AC608" s="8">
        <f>_xlfn.XLOOKUP(AA608, 'Agency List'!A$2:A$145, 'Agency List'!C$2:C$145, "Not Found")</f>
        <v>0</v>
      </c>
      <c r="AD608" s="8">
        <f>_xlfn.XLOOKUP(AA608, 'Agency List'!A$2:A$145, 'Agency List'!D$2:D$145, "Not Found")</f>
        <v>0</v>
      </c>
      <c r="AE608" s="7"/>
      <c r="AF608" s="5"/>
      <c r="AG608" s="5" t="str">
        <f t="shared" si="124"/>
        <v>Bandhkam</v>
      </c>
      <c r="AH608" s="55"/>
      <c r="AI608" s="49"/>
      <c r="AJ608" s="20"/>
      <c r="AL608" s="16"/>
      <c r="AM608" s="12">
        <f t="shared" si="125"/>
        <v>0</v>
      </c>
      <c r="AN608" s="7">
        <f t="shared" si="126"/>
        <v>450</v>
      </c>
      <c r="AO608" s="12">
        <f t="shared" si="127"/>
        <v>0</v>
      </c>
      <c r="AP608" s="12">
        <f t="shared" si="128"/>
        <v>0</v>
      </c>
      <c r="AQ608" s="15">
        <f t="shared" si="129"/>
        <v>35</v>
      </c>
      <c r="AR608" s="7">
        <f t="shared" si="130"/>
        <v>390</v>
      </c>
      <c r="AS608" s="5"/>
      <c r="AU608" s="5"/>
      <c r="AV608" s="17"/>
      <c r="AW608" s="17"/>
      <c r="AX608" s="5"/>
      <c r="AY608" s="5"/>
      <c r="AZ608" s="13"/>
      <c r="BA608" s="12"/>
      <c r="BB608" s="7"/>
      <c r="BC608" s="14"/>
      <c r="BD608" s="14"/>
      <c r="BF608" s="12"/>
      <c r="BG608" s="14"/>
      <c r="BH608" s="19"/>
      <c r="BI608" s="5"/>
      <c r="BM608" s="18"/>
      <c r="BN608" s="18"/>
      <c r="BO608" s="18"/>
      <c r="BP608" s="18"/>
      <c r="BQ608" s="5"/>
      <c r="BR608" s="18"/>
      <c r="BS608" s="18"/>
      <c r="BT608" s="35">
        <f t="shared" si="132"/>
        <v>-1</v>
      </c>
    </row>
    <row r="609" spans="1:72" x14ac:dyDescent="0.35">
      <c r="A609" s="5"/>
      <c r="B609" s="5"/>
      <c r="C609" s="5"/>
      <c r="D609" s="5"/>
      <c r="E609" s="5"/>
      <c r="F609" s="8"/>
      <c r="G609" s="8"/>
      <c r="H609" s="5"/>
      <c r="I609" s="5" t="e" cm="1">
        <f t="array" ref="I609">_xlfn.IFS(
  H609="Mahuva", "Mahuva",
  H609="Jesar", "Mahuva",
  H609="Palitana", "Palitana",
  H609="Gariyadhar", "Palitana",
  H609="Talaja", "Talaja",
  H609="Vallabhipur", "Vallabhipur",
  H609="Umrala", "Vallabhipur",
  H609="Shihor", "Shihor",
  H609="Ghogha", "Bhavnagar",
  H609="Bhavnagar", "Bhavnagar"
)</f>
        <v>#N/A</v>
      </c>
      <c r="J609" s="5"/>
      <c r="K609" s="5"/>
      <c r="M609" s="5"/>
      <c r="Q609" s="7">
        <f t="shared" si="121"/>
        <v>120</v>
      </c>
      <c r="S609" s="33"/>
      <c r="U609" s="10"/>
      <c r="V609" s="10" t="str">
        <f t="shared" si="122"/>
        <v>Equals</v>
      </c>
      <c r="W609" s="11" t="str" cm="1">
        <f t="array" ref="W609">NumberToWords(T609)</f>
        <v>Zero Rupees Only</v>
      </c>
      <c r="X609" s="10" t="str">
        <f t="shared" si="131"/>
        <v>Division</v>
      </c>
      <c r="Z609" s="9">
        <f t="shared" si="123"/>
        <v>0</v>
      </c>
      <c r="AB609" s="8">
        <f>_xlfn.XLOOKUP(AA609, 'Agency List'!A$2:A$145, 'Agency List'!B$2:B$145, "Not Found")</f>
        <v>0</v>
      </c>
      <c r="AC609" s="8">
        <f>_xlfn.XLOOKUP(AA609, 'Agency List'!A$2:A$145, 'Agency List'!C$2:C$145, "Not Found")</f>
        <v>0</v>
      </c>
      <c r="AD609" s="8">
        <f>_xlfn.XLOOKUP(AA609, 'Agency List'!A$2:A$145, 'Agency List'!D$2:D$145, "Not Found")</f>
        <v>0</v>
      </c>
      <c r="AE609" s="7"/>
      <c r="AF609" s="5"/>
      <c r="AG609" s="5" t="str">
        <f t="shared" si="124"/>
        <v>Bandhkam</v>
      </c>
      <c r="AH609" s="55"/>
      <c r="AI609" s="49"/>
      <c r="AJ609" s="20"/>
      <c r="AL609" s="16"/>
      <c r="AM609" s="12">
        <f t="shared" si="125"/>
        <v>0</v>
      </c>
      <c r="AN609" s="7">
        <f t="shared" si="126"/>
        <v>450</v>
      </c>
      <c r="AO609" s="12">
        <f t="shared" si="127"/>
        <v>0</v>
      </c>
      <c r="AP609" s="12">
        <f t="shared" si="128"/>
        <v>0</v>
      </c>
      <c r="AQ609" s="15">
        <f t="shared" si="129"/>
        <v>35</v>
      </c>
      <c r="AR609" s="7">
        <f t="shared" si="130"/>
        <v>390</v>
      </c>
      <c r="AS609" s="5"/>
      <c r="AU609" s="5"/>
      <c r="AV609" s="17"/>
      <c r="AW609" s="17"/>
      <c r="AX609" s="5"/>
      <c r="AY609" s="5"/>
      <c r="AZ609" s="13"/>
      <c r="BA609" s="12"/>
      <c r="BB609" s="7"/>
      <c r="BC609" s="14"/>
      <c r="BD609" s="14"/>
      <c r="BF609" s="12"/>
      <c r="BG609" s="14"/>
      <c r="BH609" s="19"/>
      <c r="BI609" s="5"/>
      <c r="BM609" s="18"/>
      <c r="BN609" s="18"/>
      <c r="BO609" s="18"/>
      <c r="BP609" s="18"/>
      <c r="BQ609" s="5"/>
      <c r="BR609" s="18"/>
      <c r="BS609" s="18"/>
      <c r="BT609" s="35">
        <f t="shared" si="132"/>
        <v>-1</v>
      </c>
    </row>
    <row r="610" spans="1:72" x14ac:dyDescent="0.35">
      <c r="A610" s="5"/>
      <c r="B610" s="5"/>
      <c r="C610" s="5"/>
      <c r="D610" s="5"/>
      <c r="E610" s="5"/>
      <c r="F610" s="8"/>
      <c r="G610" s="8"/>
      <c r="H610" s="5"/>
      <c r="I610" s="5" t="e" cm="1">
        <f t="array" ref="I610">_xlfn.IFS(
  H610="Mahuva", "Mahuva",
  H610="Jesar", "Mahuva",
  H610="Palitana", "Palitana",
  H610="Gariyadhar", "Palitana",
  H610="Talaja", "Talaja",
  H610="Vallabhipur", "Vallabhipur",
  H610="Umrala", "Vallabhipur",
  H610="Shihor", "Shihor",
  H610="Ghogha", "Bhavnagar",
  H610="Bhavnagar", "Bhavnagar"
)</f>
        <v>#N/A</v>
      </c>
      <c r="J610" s="5"/>
      <c r="K610" s="5"/>
      <c r="M610" s="5"/>
      <c r="Q610" s="7">
        <f t="shared" si="121"/>
        <v>120</v>
      </c>
      <c r="S610" s="33"/>
      <c r="U610" s="10"/>
      <c r="V610" s="10" t="str">
        <f t="shared" si="122"/>
        <v>Equals</v>
      </c>
      <c r="W610" s="11" t="str" cm="1">
        <f t="array" ref="W610">NumberToWords(T610)</f>
        <v>Zero Rupees Only</v>
      </c>
      <c r="X610" s="10" t="str">
        <f t="shared" si="131"/>
        <v>Division</v>
      </c>
      <c r="Z610" s="9">
        <f t="shared" si="123"/>
        <v>0</v>
      </c>
      <c r="AB610" s="8">
        <f>_xlfn.XLOOKUP(AA610, 'Agency List'!A$2:A$145, 'Agency List'!B$2:B$145, "Not Found")</f>
        <v>0</v>
      </c>
      <c r="AC610" s="8">
        <f>_xlfn.XLOOKUP(AA610, 'Agency List'!A$2:A$145, 'Agency List'!C$2:C$145, "Not Found")</f>
        <v>0</v>
      </c>
      <c r="AD610" s="8">
        <f>_xlfn.XLOOKUP(AA610, 'Agency List'!A$2:A$145, 'Agency List'!D$2:D$145, "Not Found")</f>
        <v>0</v>
      </c>
      <c r="AE610" s="7"/>
      <c r="AF610" s="5"/>
      <c r="AG610" s="5" t="str">
        <f t="shared" si="124"/>
        <v>Bandhkam</v>
      </c>
      <c r="AH610" s="55"/>
      <c r="AI610" s="49"/>
      <c r="AJ610" s="20"/>
      <c r="AL610" s="16"/>
      <c r="AM610" s="12">
        <f t="shared" si="125"/>
        <v>0</v>
      </c>
      <c r="AN610" s="7">
        <f t="shared" si="126"/>
        <v>450</v>
      </c>
      <c r="AO610" s="12">
        <f t="shared" si="127"/>
        <v>0</v>
      </c>
      <c r="AP610" s="12">
        <f t="shared" si="128"/>
        <v>0</v>
      </c>
      <c r="AQ610" s="15">
        <f t="shared" si="129"/>
        <v>35</v>
      </c>
      <c r="AR610" s="7">
        <f t="shared" si="130"/>
        <v>390</v>
      </c>
      <c r="AS610" s="5"/>
      <c r="AU610" s="5"/>
      <c r="AV610" s="17"/>
      <c r="AW610" s="17"/>
      <c r="AX610" s="5"/>
      <c r="AY610" s="5"/>
      <c r="AZ610" s="13"/>
      <c r="BA610" s="12"/>
      <c r="BB610" s="7"/>
      <c r="BC610" s="14"/>
      <c r="BD610" s="14"/>
      <c r="BF610" s="12"/>
      <c r="BG610" s="14"/>
      <c r="BH610" s="19"/>
      <c r="BI610" s="5"/>
      <c r="BM610" s="18"/>
      <c r="BN610" s="18"/>
      <c r="BO610" s="18"/>
      <c r="BP610" s="18"/>
      <c r="BQ610" s="5"/>
      <c r="BR610" s="18"/>
      <c r="BS610" s="18"/>
      <c r="BT610" s="35">
        <f t="shared" si="132"/>
        <v>-1</v>
      </c>
    </row>
    <row r="611" spans="1:72" x14ac:dyDescent="0.35">
      <c r="A611" s="5"/>
      <c r="B611" s="5"/>
      <c r="C611" s="5"/>
      <c r="D611" s="5"/>
      <c r="E611" s="5"/>
      <c r="F611" s="8"/>
      <c r="G611" s="8"/>
      <c r="H611" s="5"/>
      <c r="I611" s="5" t="e" cm="1">
        <f t="array" ref="I611">_xlfn.IFS(
  H611="Mahuva", "Mahuva",
  H611="Jesar", "Mahuva",
  H611="Palitana", "Palitana",
  H611="Gariyadhar", "Palitana",
  H611="Talaja", "Talaja",
  H611="Vallabhipur", "Vallabhipur",
  H611="Umrala", "Vallabhipur",
  H611="Shihor", "Shihor",
  H611="Ghogha", "Bhavnagar",
  H611="Bhavnagar", "Bhavnagar"
)</f>
        <v>#N/A</v>
      </c>
      <c r="J611" s="5"/>
      <c r="K611" s="5"/>
      <c r="M611" s="5"/>
      <c r="Q611" s="7">
        <f t="shared" si="121"/>
        <v>120</v>
      </c>
      <c r="S611" s="33"/>
      <c r="U611" s="10"/>
      <c r="V611" s="10" t="str">
        <f t="shared" si="122"/>
        <v>Equals</v>
      </c>
      <c r="W611" s="11" t="str" cm="1">
        <f t="array" ref="W611">NumberToWords(T611)</f>
        <v>Zero Rupees Only</v>
      </c>
      <c r="X611" s="10" t="str">
        <f t="shared" si="131"/>
        <v>Division</v>
      </c>
      <c r="Z611" s="9">
        <f t="shared" si="123"/>
        <v>0</v>
      </c>
      <c r="AB611" s="8">
        <f>_xlfn.XLOOKUP(AA611, 'Agency List'!A$2:A$145, 'Agency List'!B$2:B$145, "Not Found")</f>
        <v>0</v>
      </c>
      <c r="AC611" s="8">
        <f>_xlfn.XLOOKUP(AA611, 'Agency List'!A$2:A$145, 'Agency List'!C$2:C$145, "Not Found")</f>
        <v>0</v>
      </c>
      <c r="AD611" s="8">
        <f>_xlfn.XLOOKUP(AA611, 'Agency List'!A$2:A$145, 'Agency List'!D$2:D$145, "Not Found")</f>
        <v>0</v>
      </c>
      <c r="AE611" s="7"/>
      <c r="AF611" s="5"/>
      <c r="AG611" s="5" t="str">
        <f t="shared" si="124"/>
        <v>Bandhkam</v>
      </c>
      <c r="AH611" s="55"/>
      <c r="AI611" s="49"/>
      <c r="AJ611" s="20"/>
      <c r="AL611" s="16"/>
      <c r="AM611" s="12">
        <f t="shared" si="125"/>
        <v>0</v>
      </c>
      <c r="AN611" s="7">
        <f t="shared" si="126"/>
        <v>450</v>
      </c>
      <c r="AO611" s="12">
        <f t="shared" si="127"/>
        <v>0</v>
      </c>
      <c r="AP611" s="12">
        <f t="shared" si="128"/>
        <v>0</v>
      </c>
      <c r="AQ611" s="15">
        <f t="shared" si="129"/>
        <v>35</v>
      </c>
      <c r="AR611" s="7">
        <f t="shared" si="130"/>
        <v>390</v>
      </c>
      <c r="AS611" s="5"/>
      <c r="AU611" s="5"/>
      <c r="AV611" s="17"/>
      <c r="AW611" s="17"/>
      <c r="AX611" s="5"/>
      <c r="AY611" s="5"/>
      <c r="AZ611" s="13"/>
      <c r="BA611" s="12"/>
      <c r="BB611" s="7"/>
      <c r="BC611" s="14"/>
      <c r="BD611" s="14"/>
      <c r="BF611" s="12"/>
      <c r="BG611" s="14"/>
      <c r="BH611" s="19"/>
      <c r="BI611" s="5"/>
      <c r="BM611" s="18"/>
      <c r="BN611" s="18"/>
      <c r="BO611" s="18"/>
      <c r="BP611" s="18"/>
      <c r="BQ611" s="5"/>
      <c r="BR611" s="18"/>
      <c r="BS611" s="18"/>
      <c r="BT611" s="35">
        <f t="shared" si="132"/>
        <v>-1</v>
      </c>
    </row>
    <row r="612" spans="1:72" x14ac:dyDescent="0.35">
      <c r="A612" s="5"/>
      <c r="B612" s="5"/>
      <c r="C612" s="5"/>
      <c r="D612" s="5"/>
      <c r="E612" s="5"/>
      <c r="F612" s="8"/>
      <c r="G612" s="8"/>
      <c r="H612" s="5"/>
      <c r="I612" s="5" t="e" cm="1">
        <f t="array" ref="I612">_xlfn.IFS(
  H612="Mahuva", "Mahuva",
  H612="Jesar", "Mahuva",
  H612="Palitana", "Palitana",
  H612="Gariyadhar", "Palitana",
  H612="Talaja", "Talaja",
  H612="Vallabhipur", "Vallabhipur",
  H612="Umrala", "Vallabhipur",
  H612="Shihor", "Shihor",
  H612="Ghogha", "Bhavnagar",
  H612="Bhavnagar", "Bhavnagar"
)</f>
        <v>#N/A</v>
      </c>
      <c r="J612" s="5"/>
      <c r="K612" s="5"/>
      <c r="M612" s="5"/>
      <c r="Q612" s="7">
        <f t="shared" si="121"/>
        <v>120</v>
      </c>
      <c r="S612" s="33"/>
      <c r="U612" s="10"/>
      <c r="V612" s="10" t="str">
        <f t="shared" si="122"/>
        <v>Equals</v>
      </c>
      <c r="W612" s="11" t="str" cm="1">
        <f t="array" ref="W612">NumberToWords(T612)</f>
        <v>Zero Rupees Only</v>
      </c>
      <c r="X612" s="10" t="str">
        <f t="shared" si="131"/>
        <v>Division</v>
      </c>
      <c r="Z612" s="9">
        <f t="shared" si="123"/>
        <v>0</v>
      </c>
      <c r="AB612" s="8">
        <f>_xlfn.XLOOKUP(AA612, 'Agency List'!A$2:A$145, 'Agency List'!B$2:B$145, "Not Found")</f>
        <v>0</v>
      </c>
      <c r="AC612" s="8">
        <f>_xlfn.XLOOKUP(AA612, 'Agency List'!A$2:A$145, 'Agency List'!C$2:C$145, "Not Found")</f>
        <v>0</v>
      </c>
      <c r="AD612" s="8">
        <f>_xlfn.XLOOKUP(AA612, 'Agency List'!A$2:A$145, 'Agency List'!D$2:D$145, "Not Found")</f>
        <v>0</v>
      </c>
      <c r="AE612" s="7"/>
      <c r="AF612" s="5"/>
      <c r="AG612" s="5" t="str">
        <f t="shared" si="124"/>
        <v>Bandhkam</v>
      </c>
      <c r="AH612" s="55"/>
      <c r="AI612" s="49"/>
      <c r="AJ612" s="20"/>
      <c r="AL612" s="16"/>
      <c r="AM612" s="12">
        <f t="shared" si="125"/>
        <v>0</v>
      </c>
      <c r="AN612" s="7">
        <f t="shared" si="126"/>
        <v>450</v>
      </c>
      <c r="AO612" s="12">
        <f t="shared" si="127"/>
        <v>0</v>
      </c>
      <c r="AP612" s="12">
        <f t="shared" si="128"/>
        <v>0</v>
      </c>
      <c r="AQ612" s="15">
        <f t="shared" si="129"/>
        <v>35</v>
      </c>
      <c r="AR612" s="7">
        <f t="shared" si="130"/>
        <v>390</v>
      </c>
      <c r="AS612" s="5"/>
      <c r="AU612" s="5"/>
      <c r="AV612" s="17"/>
      <c r="AW612" s="17"/>
      <c r="AX612" s="5"/>
      <c r="AY612" s="5"/>
      <c r="AZ612" s="13"/>
      <c r="BA612" s="12"/>
      <c r="BB612" s="7"/>
      <c r="BC612" s="14"/>
      <c r="BD612" s="14"/>
      <c r="BF612" s="12"/>
      <c r="BG612" s="14"/>
      <c r="BH612" s="19"/>
      <c r="BI612" s="5"/>
      <c r="BM612" s="18"/>
      <c r="BN612" s="18"/>
      <c r="BO612" s="18"/>
      <c r="BP612" s="18"/>
      <c r="BQ612" s="5"/>
      <c r="BR612" s="18"/>
      <c r="BS612" s="18"/>
      <c r="BT612" s="35">
        <f t="shared" si="132"/>
        <v>-1</v>
      </c>
    </row>
    <row r="613" spans="1:72" x14ac:dyDescent="0.35">
      <c r="A613" s="5"/>
      <c r="B613" s="5"/>
      <c r="C613" s="5"/>
      <c r="D613" s="5"/>
      <c r="E613" s="5"/>
      <c r="F613" s="8"/>
      <c r="G613" s="8"/>
      <c r="H613" s="5"/>
      <c r="I613" s="5" t="e" cm="1">
        <f t="array" ref="I613">_xlfn.IFS(
  H613="Mahuva", "Mahuva",
  H613="Jesar", "Mahuva",
  H613="Palitana", "Palitana",
  H613="Gariyadhar", "Palitana",
  H613="Talaja", "Talaja",
  H613="Vallabhipur", "Vallabhipur",
  H613="Umrala", "Vallabhipur",
  H613="Shihor", "Shihor",
  H613="Ghogha", "Bhavnagar",
  H613="Bhavnagar", "Bhavnagar"
)</f>
        <v>#N/A</v>
      </c>
      <c r="J613" s="5"/>
      <c r="K613" s="5"/>
      <c r="M613" s="5"/>
      <c r="Q613" s="7">
        <f t="shared" si="121"/>
        <v>120</v>
      </c>
      <c r="S613" s="33"/>
      <c r="U613" s="10"/>
      <c r="V613" s="10" t="str">
        <f t="shared" si="122"/>
        <v>Equals</v>
      </c>
      <c r="W613" s="11" t="str" cm="1">
        <f t="array" ref="W613">NumberToWords(T613)</f>
        <v>Zero Rupees Only</v>
      </c>
      <c r="X613" s="10" t="str">
        <f t="shared" si="131"/>
        <v>Division</v>
      </c>
      <c r="Z613" s="9">
        <f t="shared" si="123"/>
        <v>0</v>
      </c>
      <c r="AB613" s="8">
        <f>_xlfn.XLOOKUP(AA613, 'Agency List'!A$2:A$145, 'Agency List'!B$2:B$145, "Not Found")</f>
        <v>0</v>
      </c>
      <c r="AC613" s="8">
        <f>_xlfn.XLOOKUP(AA613, 'Agency List'!A$2:A$145, 'Agency List'!C$2:C$145, "Not Found")</f>
        <v>0</v>
      </c>
      <c r="AD613" s="8">
        <f>_xlfn.XLOOKUP(AA613, 'Agency List'!A$2:A$145, 'Agency List'!D$2:D$145, "Not Found")</f>
        <v>0</v>
      </c>
      <c r="AE613" s="7"/>
      <c r="AF613" s="5"/>
      <c r="AG613" s="5" t="str">
        <f t="shared" si="124"/>
        <v>Bandhkam</v>
      </c>
      <c r="AH613" s="55"/>
      <c r="AI613" s="49"/>
      <c r="AJ613" s="20"/>
      <c r="AL613" s="16"/>
      <c r="AM613" s="12">
        <f t="shared" si="125"/>
        <v>0</v>
      </c>
      <c r="AN613" s="7">
        <f t="shared" si="126"/>
        <v>450</v>
      </c>
      <c r="AO613" s="12">
        <f t="shared" si="127"/>
        <v>0</v>
      </c>
      <c r="AP613" s="12">
        <f t="shared" si="128"/>
        <v>0</v>
      </c>
      <c r="AQ613" s="15">
        <f t="shared" si="129"/>
        <v>35</v>
      </c>
      <c r="AR613" s="7">
        <f t="shared" si="130"/>
        <v>390</v>
      </c>
      <c r="AS613" s="5"/>
      <c r="AU613" s="5"/>
      <c r="AV613" s="17"/>
      <c r="AW613" s="17"/>
      <c r="AX613" s="5"/>
      <c r="AY613" s="5"/>
      <c r="AZ613" s="13"/>
      <c r="BA613" s="12"/>
      <c r="BB613" s="7"/>
      <c r="BC613" s="14"/>
      <c r="BD613" s="14"/>
      <c r="BF613" s="12"/>
      <c r="BG613" s="14"/>
      <c r="BH613" s="19"/>
      <c r="BI613" s="5"/>
      <c r="BM613" s="18"/>
      <c r="BN613" s="18"/>
      <c r="BO613" s="18"/>
      <c r="BP613" s="18"/>
      <c r="BQ613" s="5"/>
      <c r="BR613" s="18"/>
      <c r="BS613" s="18"/>
      <c r="BT613" s="35">
        <f t="shared" si="132"/>
        <v>-1</v>
      </c>
    </row>
    <row r="614" spans="1:72" x14ac:dyDescent="0.35">
      <c r="A614" s="5"/>
      <c r="B614" s="5"/>
      <c r="C614" s="5"/>
      <c r="D614" s="5"/>
      <c r="E614" s="5"/>
      <c r="F614" s="8"/>
      <c r="G614" s="8"/>
      <c r="H614" s="5"/>
      <c r="I614" s="5" t="e" cm="1">
        <f t="array" ref="I614">_xlfn.IFS(
  H614="Mahuva", "Mahuva",
  H614="Jesar", "Mahuva",
  H614="Palitana", "Palitana",
  H614="Gariyadhar", "Palitana",
  H614="Talaja", "Talaja",
  H614="Vallabhipur", "Vallabhipur",
  H614="Umrala", "Vallabhipur",
  H614="Shihor", "Shihor",
  H614="Ghogha", "Bhavnagar",
  H614="Bhavnagar", "Bhavnagar"
)</f>
        <v>#N/A</v>
      </c>
      <c r="J614" s="5"/>
      <c r="K614" s="5"/>
      <c r="M614" s="5"/>
      <c r="Q614" s="7">
        <f t="shared" si="121"/>
        <v>120</v>
      </c>
      <c r="S614" s="33"/>
      <c r="U614" s="10"/>
      <c r="V614" s="10" t="str">
        <f t="shared" si="122"/>
        <v>Equals</v>
      </c>
      <c r="W614" s="11" t="str" cm="1">
        <f t="array" ref="W614">NumberToWords(T614)</f>
        <v>Zero Rupees Only</v>
      </c>
      <c r="X614" s="10" t="str">
        <f t="shared" si="131"/>
        <v>Division</v>
      </c>
      <c r="Z614" s="9">
        <f t="shared" si="123"/>
        <v>0</v>
      </c>
      <c r="AB614" s="8">
        <f>_xlfn.XLOOKUP(AA614, 'Agency List'!A$2:A$145, 'Agency List'!B$2:B$145, "Not Found")</f>
        <v>0</v>
      </c>
      <c r="AC614" s="8">
        <f>_xlfn.XLOOKUP(AA614, 'Agency List'!A$2:A$145, 'Agency List'!C$2:C$145, "Not Found")</f>
        <v>0</v>
      </c>
      <c r="AD614" s="8">
        <f>_xlfn.XLOOKUP(AA614, 'Agency List'!A$2:A$145, 'Agency List'!D$2:D$145, "Not Found")</f>
        <v>0</v>
      </c>
      <c r="AE614" s="7"/>
      <c r="AF614" s="5"/>
      <c r="AG614" s="5" t="str">
        <f t="shared" si="124"/>
        <v>Bandhkam</v>
      </c>
      <c r="AH614" s="55"/>
      <c r="AI614" s="49"/>
      <c r="AJ614" s="20"/>
      <c r="AL614" s="16"/>
      <c r="AM614" s="12">
        <f t="shared" si="125"/>
        <v>0</v>
      </c>
      <c r="AN614" s="7">
        <f t="shared" si="126"/>
        <v>450</v>
      </c>
      <c r="AO614" s="12">
        <f t="shared" si="127"/>
        <v>0</v>
      </c>
      <c r="AP614" s="12">
        <f t="shared" si="128"/>
        <v>0</v>
      </c>
      <c r="AQ614" s="15">
        <f t="shared" si="129"/>
        <v>35</v>
      </c>
      <c r="AR614" s="7">
        <f t="shared" si="130"/>
        <v>390</v>
      </c>
      <c r="AS614" s="5"/>
      <c r="AU614" s="5"/>
      <c r="AV614" s="17"/>
      <c r="AW614" s="17"/>
      <c r="AX614" s="5"/>
      <c r="AY614" s="5"/>
      <c r="AZ614" s="13"/>
      <c r="BA614" s="12"/>
      <c r="BB614" s="7"/>
      <c r="BC614" s="14"/>
      <c r="BD614" s="14"/>
      <c r="BF614" s="12"/>
      <c r="BG614" s="14"/>
      <c r="BH614" s="19"/>
      <c r="BI614" s="5"/>
      <c r="BM614" s="18"/>
      <c r="BN614" s="18"/>
      <c r="BO614" s="18"/>
      <c r="BP614" s="18"/>
      <c r="BQ614" s="5"/>
      <c r="BR614" s="18"/>
      <c r="BS614" s="18"/>
      <c r="BT614" s="35">
        <f t="shared" si="132"/>
        <v>-1</v>
      </c>
    </row>
    <row r="615" spans="1:72" x14ac:dyDescent="0.35">
      <c r="A615" s="5"/>
      <c r="B615" s="5"/>
      <c r="C615" s="5"/>
      <c r="D615" s="5"/>
      <c r="E615" s="5"/>
      <c r="F615" s="8"/>
      <c r="G615" s="8"/>
      <c r="H615" s="5"/>
      <c r="I615" s="5" t="e" cm="1">
        <f t="array" ref="I615">_xlfn.IFS(
  H615="Mahuva", "Mahuva",
  H615="Jesar", "Mahuva",
  H615="Palitana", "Palitana",
  H615="Gariyadhar", "Palitana",
  H615="Talaja", "Talaja",
  H615="Vallabhipur", "Vallabhipur",
  H615="Umrala", "Vallabhipur",
  H615="Shihor", "Shihor",
  H615="Ghogha", "Bhavnagar",
  H615="Bhavnagar", "Bhavnagar"
)</f>
        <v>#N/A</v>
      </c>
      <c r="J615" s="5"/>
      <c r="K615" s="5"/>
      <c r="M615" s="5"/>
      <c r="Q615" s="7">
        <f t="shared" si="121"/>
        <v>120</v>
      </c>
      <c r="S615" s="33"/>
      <c r="U615" s="10"/>
      <c r="V615" s="10" t="str">
        <f t="shared" si="122"/>
        <v>Equals</v>
      </c>
      <c r="W615" s="11" t="str" cm="1">
        <f t="array" ref="W615">NumberToWords(T615)</f>
        <v>Zero Rupees Only</v>
      </c>
      <c r="X615" s="10" t="str">
        <f t="shared" si="131"/>
        <v>Division</v>
      </c>
      <c r="Z615" s="9">
        <f t="shared" si="123"/>
        <v>0</v>
      </c>
      <c r="AB615" s="8">
        <f>_xlfn.XLOOKUP(AA615, 'Agency List'!A$2:A$145, 'Agency List'!B$2:B$145, "Not Found")</f>
        <v>0</v>
      </c>
      <c r="AC615" s="8">
        <f>_xlfn.XLOOKUP(AA615, 'Agency List'!A$2:A$145, 'Agency List'!C$2:C$145, "Not Found")</f>
        <v>0</v>
      </c>
      <c r="AD615" s="8">
        <f>_xlfn.XLOOKUP(AA615, 'Agency List'!A$2:A$145, 'Agency List'!D$2:D$145, "Not Found")</f>
        <v>0</v>
      </c>
      <c r="AE615" s="7"/>
      <c r="AF615" s="5"/>
      <c r="AG615" s="5" t="str">
        <f t="shared" si="124"/>
        <v>Bandhkam</v>
      </c>
      <c r="AH615" s="55"/>
      <c r="AI615" s="49"/>
      <c r="AJ615" s="20"/>
      <c r="AL615" s="16"/>
      <c r="AM615" s="12">
        <f t="shared" si="125"/>
        <v>0</v>
      </c>
      <c r="AN615" s="7">
        <f t="shared" si="126"/>
        <v>450</v>
      </c>
      <c r="AO615" s="12">
        <f t="shared" si="127"/>
        <v>0</v>
      </c>
      <c r="AP615" s="12">
        <f t="shared" si="128"/>
        <v>0</v>
      </c>
      <c r="AQ615" s="15">
        <f t="shared" si="129"/>
        <v>35</v>
      </c>
      <c r="AR615" s="7">
        <f t="shared" si="130"/>
        <v>390</v>
      </c>
      <c r="AS615" s="5"/>
      <c r="AU615" s="5"/>
      <c r="AV615" s="17"/>
      <c r="AW615" s="17"/>
      <c r="AX615" s="5"/>
      <c r="AY615" s="5"/>
      <c r="AZ615" s="13"/>
      <c r="BA615" s="12"/>
      <c r="BB615" s="7"/>
      <c r="BC615" s="14"/>
      <c r="BD615" s="14"/>
      <c r="BF615" s="12"/>
      <c r="BG615" s="14"/>
      <c r="BH615" s="19"/>
      <c r="BI615" s="5"/>
      <c r="BM615" s="18"/>
      <c r="BN615" s="18"/>
      <c r="BO615" s="18"/>
      <c r="BP615" s="18"/>
      <c r="BQ615" s="5"/>
      <c r="BR615" s="18"/>
      <c r="BS615" s="18"/>
      <c r="BT615" s="35">
        <f t="shared" si="132"/>
        <v>-1</v>
      </c>
    </row>
    <row r="616" spans="1:72" x14ac:dyDescent="0.35">
      <c r="A616" s="5"/>
      <c r="B616" s="5"/>
      <c r="C616" s="5"/>
      <c r="D616" s="5"/>
      <c r="E616" s="5"/>
      <c r="F616" s="8"/>
      <c r="G616" s="8"/>
      <c r="H616" s="5"/>
      <c r="I616" s="5" t="e" cm="1">
        <f t="array" ref="I616">_xlfn.IFS(
  H616="Mahuva", "Mahuva",
  H616="Jesar", "Mahuva",
  H616="Palitana", "Palitana",
  H616="Gariyadhar", "Palitana",
  H616="Talaja", "Talaja",
  H616="Vallabhipur", "Vallabhipur",
  H616="Umrala", "Vallabhipur",
  H616="Shihor", "Shihor",
  H616="Ghogha", "Bhavnagar",
  H616="Bhavnagar", "Bhavnagar"
)</f>
        <v>#N/A</v>
      </c>
      <c r="J616" s="5"/>
      <c r="K616" s="5"/>
      <c r="M616" s="5"/>
      <c r="Q616" s="7">
        <f t="shared" si="121"/>
        <v>120</v>
      </c>
      <c r="S616" s="33"/>
      <c r="U616" s="10"/>
      <c r="V616" s="10" t="str">
        <f t="shared" si="122"/>
        <v>Equals</v>
      </c>
      <c r="W616" s="11" t="str" cm="1">
        <f t="array" ref="W616">NumberToWords(T616)</f>
        <v>Zero Rupees Only</v>
      </c>
      <c r="X616" s="10" t="str">
        <f t="shared" si="131"/>
        <v>Division</v>
      </c>
      <c r="Z616" s="9">
        <f t="shared" si="123"/>
        <v>0</v>
      </c>
      <c r="AB616" s="8">
        <f>_xlfn.XLOOKUP(AA616, 'Agency List'!A$2:A$145, 'Agency List'!B$2:B$145, "Not Found")</f>
        <v>0</v>
      </c>
      <c r="AC616" s="8">
        <f>_xlfn.XLOOKUP(AA616, 'Agency List'!A$2:A$145, 'Agency List'!C$2:C$145, "Not Found")</f>
        <v>0</v>
      </c>
      <c r="AD616" s="8">
        <f>_xlfn.XLOOKUP(AA616, 'Agency List'!A$2:A$145, 'Agency List'!D$2:D$145, "Not Found")</f>
        <v>0</v>
      </c>
      <c r="AE616" s="7"/>
      <c r="AF616" s="5"/>
      <c r="AG616" s="5" t="str">
        <f t="shared" si="124"/>
        <v>Bandhkam</v>
      </c>
      <c r="AH616" s="55"/>
      <c r="AI616" s="49"/>
      <c r="AJ616" s="20"/>
      <c r="AL616" s="16"/>
      <c r="AM616" s="12">
        <f t="shared" si="125"/>
        <v>0</v>
      </c>
      <c r="AN616" s="7">
        <f t="shared" si="126"/>
        <v>450</v>
      </c>
      <c r="AO616" s="12">
        <f t="shared" si="127"/>
        <v>0</v>
      </c>
      <c r="AP616" s="12">
        <f t="shared" si="128"/>
        <v>0</v>
      </c>
      <c r="AQ616" s="15">
        <f t="shared" si="129"/>
        <v>35</v>
      </c>
      <c r="AR616" s="7">
        <f t="shared" si="130"/>
        <v>390</v>
      </c>
      <c r="AS616" s="5"/>
      <c r="AU616" s="5"/>
      <c r="AV616" s="17"/>
      <c r="AW616" s="17"/>
      <c r="AX616" s="5"/>
      <c r="AY616" s="5"/>
      <c r="AZ616" s="13"/>
      <c r="BA616" s="12"/>
      <c r="BB616" s="7"/>
      <c r="BC616" s="14"/>
      <c r="BD616" s="14"/>
      <c r="BF616" s="12"/>
      <c r="BG616" s="14"/>
      <c r="BH616" s="19"/>
      <c r="BI616" s="5"/>
      <c r="BM616" s="18"/>
      <c r="BN616" s="18"/>
      <c r="BO616" s="18"/>
      <c r="BP616" s="18"/>
      <c r="BQ616" s="5"/>
      <c r="BR616" s="18"/>
      <c r="BS616" s="18"/>
      <c r="BT616" s="35">
        <f t="shared" si="132"/>
        <v>-1</v>
      </c>
    </row>
    <row r="617" spans="1:72" x14ac:dyDescent="0.35">
      <c r="A617" s="5"/>
      <c r="B617" s="5"/>
      <c r="C617" s="5"/>
      <c r="D617" s="5"/>
      <c r="E617" s="5"/>
      <c r="F617" s="8"/>
      <c r="G617" s="8"/>
      <c r="H617" s="5"/>
      <c r="I617" s="5" t="e" cm="1">
        <f t="array" ref="I617">_xlfn.IFS(
  H617="Mahuva", "Mahuva",
  H617="Jesar", "Mahuva",
  H617="Palitana", "Palitana",
  H617="Gariyadhar", "Palitana",
  H617="Talaja", "Talaja",
  H617="Vallabhipur", "Vallabhipur",
  H617="Umrala", "Vallabhipur",
  H617="Shihor", "Shihor",
  H617="Ghogha", "Bhavnagar",
  H617="Bhavnagar", "Bhavnagar"
)</f>
        <v>#N/A</v>
      </c>
      <c r="J617" s="5"/>
      <c r="K617" s="5"/>
      <c r="M617" s="5"/>
      <c r="Q617" s="7">
        <f t="shared" si="121"/>
        <v>120</v>
      </c>
      <c r="S617" s="33"/>
      <c r="U617" s="10"/>
      <c r="V617" s="10" t="str">
        <f t="shared" si="122"/>
        <v>Equals</v>
      </c>
      <c r="W617" s="11" t="str" cm="1">
        <f t="array" ref="W617">NumberToWords(T617)</f>
        <v>Zero Rupees Only</v>
      </c>
      <c r="X617" s="10" t="str">
        <f t="shared" si="131"/>
        <v>Division</v>
      </c>
      <c r="Z617" s="9">
        <f t="shared" si="123"/>
        <v>0</v>
      </c>
      <c r="AB617" s="8">
        <f>_xlfn.XLOOKUP(AA617, 'Agency List'!A$2:A$145, 'Agency List'!B$2:B$145, "Not Found")</f>
        <v>0</v>
      </c>
      <c r="AC617" s="8">
        <f>_xlfn.XLOOKUP(AA617, 'Agency List'!A$2:A$145, 'Agency List'!C$2:C$145, "Not Found")</f>
        <v>0</v>
      </c>
      <c r="AD617" s="8">
        <f>_xlfn.XLOOKUP(AA617, 'Agency List'!A$2:A$145, 'Agency List'!D$2:D$145, "Not Found")</f>
        <v>0</v>
      </c>
      <c r="AE617" s="7"/>
      <c r="AF617" s="5"/>
      <c r="AG617" s="5" t="str">
        <f t="shared" si="124"/>
        <v>Bandhkam</v>
      </c>
      <c r="AH617" s="55"/>
      <c r="AI617" s="49"/>
      <c r="AJ617" s="20"/>
      <c r="AL617" s="16"/>
      <c r="AM617" s="12">
        <f t="shared" si="125"/>
        <v>0</v>
      </c>
      <c r="AN617" s="7">
        <f t="shared" si="126"/>
        <v>450</v>
      </c>
      <c r="AO617" s="12">
        <f t="shared" si="127"/>
        <v>0</v>
      </c>
      <c r="AP617" s="12">
        <f t="shared" si="128"/>
        <v>0</v>
      </c>
      <c r="AQ617" s="15">
        <f t="shared" si="129"/>
        <v>35</v>
      </c>
      <c r="AR617" s="7">
        <f t="shared" si="130"/>
        <v>390</v>
      </c>
      <c r="AS617" s="5"/>
      <c r="AU617" s="5"/>
      <c r="AV617" s="17"/>
      <c r="AW617" s="17"/>
      <c r="AX617" s="5"/>
      <c r="AY617" s="5"/>
      <c r="AZ617" s="13"/>
      <c r="BA617" s="12"/>
      <c r="BB617" s="7"/>
      <c r="BC617" s="14"/>
      <c r="BD617" s="14"/>
      <c r="BF617" s="12"/>
      <c r="BG617" s="14"/>
      <c r="BH617" s="19"/>
      <c r="BI617" s="5"/>
      <c r="BM617" s="18"/>
      <c r="BN617" s="18"/>
      <c r="BO617" s="18"/>
      <c r="BP617" s="18"/>
      <c r="BQ617" s="5"/>
      <c r="BR617" s="18"/>
      <c r="BS617" s="18"/>
      <c r="BT617" s="35">
        <f t="shared" si="132"/>
        <v>-1</v>
      </c>
    </row>
    <row r="618" spans="1:72" x14ac:dyDescent="0.35">
      <c r="A618" s="5"/>
      <c r="B618" s="5"/>
      <c r="C618" s="5"/>
      <c r="D618" s="5"/>
      <c r="E618" s="5"/>
      <c r="F618" s="8"/>
      <c r="G618" s="8"/>
      <c r="H618" s="5"/>
      <c r="I618" s="5" t="e" cm="1">
        <f t="array" ref="I618">_xlfn.IFS(
  H618="Mahuva", "Mahuva",
  H618="Jesar", "Mahuva",
  H618="Palitana", "Palitana",
  H618="Gariyadhar", "Palitana",
  H618="Talaja", "Talaja",
  H618="Vallabhipur", "Vallabhipur",
  H618="Umrala", "Vallabhipur",
  H618="Shihor", "Shihor",
  H618="Ghogha", "Bhavnagar",
  H618="Bhavnagar", "Bhavnagar"
)</f>
        <v>#N/A</v>
      </c>
      <c r="J618" s="5"/>
      <c r="K618" s="5"/>
      <c r="M618" s="5"/>
      <c r="Q618" s="7">
        <f t="shared" si="121"/>
        <v>120</v>
      </c>
      <c r="S618" s="33"/>
      <c r="U618" s="10"/>
      <c r="V618" s="10" t="str">
        <f t="shared" si="122"/>
        <v>Equals</v>
      </c>
      <c r="W618" s="11" t="str" cm="1">
        <f t="array" ref="W618">NumberToWords(T618)</f>
        <v>Zero Rupees Only</v>
      </c>
      <c r="X618" s="10" t="str">
        <f t="shared" si="131"/>
        <v>Division</v>
      </c>
      <c r="Z618" s="9">
        <f t="shared" si="123"/>
        <v>0</v>
      </c>
      <c r="AB618" s="8">
        <f>_xlfn.XLOOKUP(AA618, 'Agency List'!A$2:A$145, 'Agency List'!B$2:B$145, "Not Found")</f>
        <v>0</v>
      </c>
      <c r="AC618" s="8">
        <f>_xlfn.XLOOKUP(AA618, 'Agency List'!A$2:A$145, 'Agency List'!C$2:C$145, "Not Found")</f>
        <v>0</v>
      </c>
      <c r="AD618" s="8">
        <f>_xlfn.XLOOKUP(AA618, 'Agency List'!A$2:A$145, 'Agency List'!D$2:D$145, "Not Found")</f>
        <v>0</v>
      </c>
      <c r="AE618" s="7"/>
      <c r="AF618" s="5"/>
      <c r="AG618" s="5" t="str">
        <f t="shared" si="124"/>
        <v>Bandhkam</v>
      </c>
      <c r="AH618" s="55"/>
      <c r="AI618" s="49"/>
      <c r="AJ618" s="20"/>
      <c r="AL618" s="16"/>
      <c r="AM618" s="12">
        <f t="shared" si="125"/>
        <v>0</v>
      </c>
      <c r="AN618" s="7">
        <f t="shared" si="126"/>
        <v>450</v>
      </c>
      <c r="AO618" s="12">
        <f t="shared" si="127"/>
        <v>0</v>
      </c>
      <c r="AP618" s="12">
        <f t="shared" si="128"/>
        <v>0</v>
      </c>
      <c r="AQ618" s="15">
        <f t="shared" si="129"/>
        <v>35</v>
      </c>
      <c r="AR618" s="7">
        <f t="shared" si="130"/>
        <v>390</v>
      </c>
      <c r="AS618" s="5"/>
      <c r="AU618" s="5"/>
      <c r="AV618" s="17"/>
      <c r="AW618" s="17"/>
      <c r="AX618" s="5"/>
      <c r="AY618" s="5"/>
      <c r="AZ618" s="13"/>
      <c r="BA618" s="12"/>
      <c r="BB618" s="7"/>
      <c r="BC618" s="14"/>
      <c r="BD618" s="14"/>
      <c r="BF618" s="12"/>
      <c r="BG618" s="14"/>
      <c r="BH618" s="19"/>
      <c r="BI618" s="5"/>
      <c r="BM618" s="18"/>
      <c r="BN618" s="18"/>
      <c r="BO618" s="18"/>
      <c r="BP618" s="18"/>
      <c r="BQ618" s="5"/>
      <c r="BR618" s="18"/>
      <c r="BS618" s="18"/>
      <c r="BT618" s="35">
        <f t="shared" si="132"/>
        <v>-1</v>
      </c>
    </row>
    <row r="619" spans="1:72" x14ac:dyDescent="0.35">
      <c r="A619" s="5"/>
      <c r="B619" s="5"/>
      <c r="C619" s="5"/>
      <c r="D619" s="5"/>
      <c r="E619" s="5"/>
      <c r="F619" s="8"/>
      <c r="G619" s="8"/>
      <c r="H619" s="5"/>
      <c r="I619" s="5" t="e" cm="1">
        <f t="array" ref="I619">_xlfn.IFS(
  H619="Mahuva", "Mahuva",
  H619="Jesar", "Mahuva",
  H619="Palitana", "Palitana",
  H619="Gariyadhar", "Palitana",
  H619="Talaja", "Talaja",
  H619="Vallabhipur", "Vallabhipur",
  H619="Umrala", "Vallabhipur",
  H619="Shihor", "Shihor",
  H619="Ghogha", "Bhavnagar",
  H619="Bhavnagar", "Bhavnagar"
)</f>
        <v>#N/A</v>
      </c>
      <c r="J619" s="5"/>
      <c r="K619" s="5"/>
      <c r="M619" s="5"/>
      <c r="Q619" s="7">
        <f t="shared" si="121"/>
        <v>120</v>
      </c>
      <c r="S619" s="33"/>
      <c r="U619" s="10"/>
      <c r="V619" s="10" t="str">
        <f t="shared" si="122"/>
        <v>Equals</v>
      </c>
      <c r="W619" s="11" t="str" cm="1">
        <f t="array" ref="W619">NumberToWords(T619)</f>
        <v>Zero Rupees Only</v>
      </c>
      <c r="X619" s="10" t="str">
        <f t="shared" si="131"/>
        <v>Division</v>
      </c>
      <c r="Z619" s="9">
        <f t="shared" si="123"/>
        <v>0</v>
      </c>
      <c r="AB619" s="8">
        <f>_xlfn.XLOOKUP(AA619, 'Agency List'!A$2:A$145, 'Agency List'!B$2:B$145, "Not Found")</f>
        <v>0</v>
      </c>
      <c r="AC619" s="8">
        <f>_xlfn.XLOOKUP(AA619, 'Agency List'!A$2:A$145, 'Agency List'!C$2:C$145, "Not Found")</f>
        <v>0</v>
      </c>
      <c r="AD619" s="8">
        <f>_xlfn.XLOOKUP(AA619, 'Agency List'!A$2:A$145, 'Agency List'!D$2:D$145, "Not Found")</f>
        <v>0</v>
      </c>
      <c r="AE619" s="7"/>
      <c r="AF619" s="5"/>
      <c r="AG619" s="5" t="str">
        <f t="shared" si="124"/>
        <v>Bandhkam</v>
      </c>
      <c r="AH619" s="55"/>
      <c r="AI619" s="49"/>
      <c r="AJ619" s="20"/>
      <c r="AL619" s="16"/>
      <c r="AM619" s="12">
        <f t="shared" si="125"/>
        <v>0</v>
      </c>
      <c r="AN619" s="7">
        <f t="shared" si="126"/>
        <v>450</v>
      </c>
      <c r="AO619" s="12">
        <f t="shared" si="127"/>
        <v>0</v>
      </c>
      <c r="AP619" s="12">
        <f t="shared" si="128"/>
        <v>0</v>
      </c>
      <c r="AQ619" s="15">
        <f t="shared" si="129"/>
        <v>35</v>
      </c>
      <c r="AR619" s="7">
        <f t="shared" si="130"/>
        <v>390</v>
      </c>
      <c r="AS619" s="5"/>
      <c r="AU619" s="5"/>
      <c r="AV619" s="17"/>
      <c r="AW619" s="17"/>
      <c r="AX619" s="5"/>
      <c r="AY619" s="5"/>
      <c r="AZ619" s="13"/>
      <c r="BA619" s="12"/>
      <c r="BB619" s="7"/>
      <c r="BC619" s="14"/>
      <c r="BD619" s="14"/>
      <c r="BF619" s="12"/>
      <c r="BG619" s="14"/>
      <c r="BH619" s="19"/>
      <c r="BI619" s="5"/>
      <c r="BM619" s="18"/>
      <c r="BN619" s="18"/>
      <c r="BO619" s="18"/>
      <c r="BP619" s="18"/>
      <c r="BQ619" s="5"/>
      <c r="BR619" s="18"/>
      <c r="BS619" s="18"/>
      <c r="BT619" s="35">
        <f t="shared" si="132"/>
        <v>-1</v>
      </c>
    </row>
    <row r="620" spans="1:72" x14ac:dyDescent="0.35">
      <c r="A620" s="5"/>
      <c r="B620" s="5"/>
      <c r="C620" s="5"/>
      <c r="D620" s="5"/>
      <c r="E620" s="5"/>
      <c r="F620" s="8"/>
      <c r="G620" s="8"/>
      <c r="H620" s="5"/>
      <c r="I620" s="5" t="e" cm="1">
        <f t="array" ref="I620">_xlfn.IFS(
  H620="Mahuva", "Mahuva",
  H620="Jesar", "Mahuva",
  H620="Palitana", "Palitana",
  H620="Gariyadhar", "Palitana",
  H620="Talaja", "Talaja",
  H620="Vallabhipur", "Vallabhipur",
  H620="Umrala", "Vallabhipur",
  H620="Shihor", "Shihor",
  H620="Ghogha", "Bhavnagar",
  H620="Bhavnagar", "Bhavnagar"
)</f>
        <v>#N/A</v>
      </c>
      <c r="J620" s="5"/>
      <c r="K620" s="5"/>
      <c r="M620" s="5"/>
      <c r="Q620" s="7">
        <f t="shared" si="121"/>
        <v>120</v>
      </c>
      <c r="S620" s="33"/>
      <c r="U620" s="10"/>
      <c r="V620" s="10" t="str">
        <f t="shared" si="122"/>
        <v>Equals</v>
      </c>
      <c r="W620" s="11" t="str" cm="1">
        <f t="array" ref="W620">NumberToWords(T620)</f>
        <v>Zero Rupees Only</v>
      </c>
      <c r="X620" s="10" t="str">
        <f t="shared" si="131"/>
        <v>Division</v>
      </c>
      <c r="Z620" s="9">
        <f t="shared" si="123"/>
        <v>0</v>
      </c>
      <c r="AB620" s="8">
        <f>_xlfn.XLOOKUP(AA620, 'Agency List'!A$2:A$145, 'Agency List'!B$2:B$145, "Not Found")</f>
        <v>0</v>
      </c>
      <c r="AC620" s="8">
        <f>_xlfn.XLOOKUP(AA620, 'Agency List'!A$2:A$145, 'Agency List'!C$2:C$145, "Not Found")</f>
        <v>0</v>
      </c>
      <c r="AD620" s="8">
        <f>_xlfn.XLOOKUP(AA620, 'Agency List'!A$2:A$145, 'Agency List'!D$2:D$145, "Not Found")</f>
        <v>0</v>
      </c>
      <c r="AE620" s="7"/>
      <c r="AF620" s="5"/>
      <c r="AG620" s="5" t="str">
        <f t="shared" si="124"/>
        <v>Bandhkam</v>
      </c>
      <c r="AH620" s="55"/>
      <c r="AI620" s="49"/>
      <c r="AJ620" s="20"/>
      <c r="AL620" s="16"/>
      <c r="AM620" s="12">
        <f t="shared" si="125"/>
        <v>0</v>
      </c>
      <c r="AN620" s="7">
        <f t="shared" si="126"/>
        <v>450</v>
      </c>
      <c r="AO620" s="12">
        <f t="shared" si="127"/>
        <v>0</v>
      </c>
      <c r="AP620" s="12">
        <f t="shared" si="128"/>
        <v>0</v>
      </c>
      <c r="AQ620" s="15">
        <f t="shared" si="129"/>
        <v>35</v>
      </c>
      <c r="AR620" s="7">
        <f t="shared" si="130"/>
        <v>390</v>
      </c>
      <c r="AS620" s="5"/>
      <c r="AU620" s="5"/>
      <c r="AV620" s="17"/>
      <c r="AW620" s="17"/>
      <c r="AX620" s="5"/>
      <c r="AY620" s="5"/>
      <c r="AZ620" s="13"/>
      <c r="BA620" s="12"/>
      <c r="BB620" s="7"/>
      <c r="BC620" s="14"/>
      <c r="BD620" s="14"/>
      <c r="BF620" s="12"/>
      <c r="BG620" s="14"/>
      <c r="BH620" s="19"/>
      <c r="BI620" s="5"/>
      <c r="BM620" s="18"/>
      <c r="BN620" s="18"/>
      <c r="BO620" s="18"/>
      <c r="BP620" s="18"/>
      <c r="BQ620" s="5"/>
      <c r="BR620" s="18"/>
      <c r="BS620" s="18"/>
      <c r="BT620" s="35">
        <f t="shared" si="132"/>
        <v>-1</v>
      </c>
    </row>
    <row r="621" spans="1:72" x14ac:dyDescent="0.35">
      <c r="A621" s="5"/>
      <c r="B621" s="5"/>
      <c r="C621" s="5"/>
      <c r="D621" s="5"/>
      <c r="E621" s="5"/>
      <c r="F621" s="8"/>
      <c r="G621" s="8"/>
      <c r="H621" s="5"/>
      <c r="I621" s="5" t="e" cm="1">
        <f t="array" ref="I621">_xlfn.IFS(
  H621="Mahuva", "Mahuva",
  H621="Jesar", "Mahuva",
  H621="Palitana", "Palitana",
  H621="Gariyadhar", "Palitana",
  H621="Talaja", "Talaja",
  H621="Vallabhipur", "Vallabhipur",
  H621="Umrala", "Vallabhipur",
  H621="Shihor", "Shihor",
  H621="Ghogha", "Bhavnagar",
  H621="Bhavnagar", "Bhavnagar"
)</f>
        <v>#N/A</v>
      </c>
      <c r="J621" s="5"/>
      <c r="K621" s="5"/>
      <c r="M621" s="5"/>
      <c r="Q621" s="7">
        <f t="shared" si="121"/>
        <v>120</v>
      </c>
      <c r="S621" s="33"/>
      <c r="U621" s="10"/>
      <c r="V621" s="10" t="str">
        <f t="shared" si="122"/>
        <v>Equals</v>
      </c>
      <c r="W621" s="11" t="str" cm="1">
        <f t="array" ref="W621">NumberToWords(T621)</f>
        <v>Zero Rupees Only</v>
      </c>
      <c r="X621" s="10" t="str">
        <f t="shared" si="131"/>
        <v>Division</v>
      </c>
      <c r="Z621" s="9">
        <f t="shared" si="123"/>
        <v>0</v>
      </c>
      <c r="AB621" s="8">
        <f>_xlfn.XLOOKUP(AA621, 'Agency List'!A$2:A$145, 'Agency List'!B$2:B$145, "Not Found")</f>
        <v>0</v>
      </c>
      <c r="AC621" s="8">
        <f>_xlfn.XLOOKUP(AA621, 'Agency List'!A$2:A$145, 'Agency List'!C$2:C$145, "Not Found")</f>
        <v>0</v>
      </c>
      <c r="AD621" s="8">
        <f>_xlfn.XLOOKUP(AA621, 'Agency List'!A$2:A$145, 'Agency List'!D$2:D$145, "Not Found")</f>
        <v>0</v>
      </c>
      <c r="AE621" s="7"/>
      <c r="AF621" s="5"/>
      <c r="AG621" s="5" t="str">
        <f t="shared" si="124"/>
        <v>Bandhkam</v>
      </c>
      <c r="AH621" s="55"/>
      <c r="AI621" s="49"/>
      <c r="AJ621" s="20"/>
      <c r="AL621" s="16"/>
      <c r="AM621" s="12">
        <f t="shared" si="125"/>
        <v>0</v>
      </c>
      <c r="AN621" s="7">
        <f t="shared" si="126"/>
        <v>450</v>
      </c>
      <c r="AO621" s="12">
        <f t="shared" si="127"/>
        <v>0</v>
      </c>
      <c r="AP621" s="12">
        <f t="shared" si="128"/>
        <v>0</v>
      </c>
      <c r="AQ621" s="15">
        <f t="shared" si="129"/>
        <v>35</v>
      </c>
      <c r="AR621" s="7">
        <f t="shared" si="130"/>
        <v>390</v>
      </c>
      <c r="AS621" s="5"/>
      <c r="AU621" s="5"/>
      <c r="AV621" s="17"/>
      <c r="AW621" s="17"/>
      <c r="AX621" s="5"/>
      <c r="AY621" s="5"/>
      <c r="AZ621" s="13"/>
      <c r="BA621" s="12"/>
      <c r="BB621" s="7"/>
      <c r="BC621" s="14"/>
      <c r="BD621" s="14"/>
      <c r="BF621" s="12"/>
      <c r="BG621" s="14"/>
      <c r="BH621" s="19"/>
      <c r="BI621" s="5"/>
      <c r="BM621" s="18"/>
      <c r="BN621" s="18"/>
      <c r="BO621" s="18"/>
      <c r="BP621" s="18"/>
      <c r="BQ621" s="5"/>
      <c r="BR621" s="18"/>
      <c r="BS621" s="18"/>
      <c r="BT621" s="35">
        <f t="shared" si="132"/>
        <v>-1</v>
      </c>
    </row>
    <row r="622" spans="1:72" x14ac:dyDescent="0.35">
      <c r="A622" s="5"/>
      <c r="B622" s="5"/>
      <c r="C622" s="5"/>
      <c r="D622" s="5"/>
      <c r="E622" s="5"/>
      <c r="F622" s="8"/>
      <c r="G622" s="8"/>
      <c r="H622" s="5"/>
      <c r="I622" s="5" t="e" cm="1">
        <f t="array" ref="I622">_xlfn.IFS(
  H622="Mahuva", "Mahuva",
  H622="Jesar", "Mahuva",
  H622="Palitana", "Palitana",
  H622="Gariyadhar", "Palitana",
  H622="Talaja", "Talaja",
  H622="Vallabhipur", "Vallabhipur",
  H622="Umrala", "Vallabhipur",
  H622="Shihor", "Shihor",
  H622="Ghogha", "Bhavnagar",
  H622="Bhavnagar", "Bhavnagar"
)</f>
        <v>#N/A</v>
      </c>
      <c r="J622" s="5"/>
      <c r="K622" s="5"/>
      <c r="M622" s="5"/>
      <c r="Q622" s="7">
        <f t="shared" si="121"/>
        <v>120</v>
      </c>
      <c r="S622" s="33"/>
      <c r="U622" s="10"/>
      <c r="V622" s="10" t="str">
        <f t="shared" si="122"/>
        <v>Equals</v>
      </c>
      <c r="W622" s="11" t="str" cm="1">
        <f t="array" ref="W622">NumberToWords(T622)</f>
        <v>Zero Rupees Only</v>
      </c>
      <c r="X622" s="10" t="str">
        <f t="shared" si="131"/>
        <v>Division</v>
      </c>
      <c r="Z622" s="9">
        <f t="shared" si="123"/>
        <v>0</v>
      </c>
      <c r="AB622" s="8">
        <f>_xlfn.XLOOKUP(AA622, 'Agency List'!A$2:A$145, 'Agency List'!B$2:B$145, "Not Found")</f>
        <v>0</v>
      </c>
      <c r="AC622" s="8">
        <f>_xlfn.XLOOKUP(AA622, 'Agency List'!A$2:A$145, 'Agency List'!C$2:C$145, "Not Found")</f>
        <v>0</v>
      </c>
      <c r="AD622" s="8">
        <f>_xlfn.XLOOKUP(AA622, 'Agency List'!A$2:A$145, 'Agency List'!D$2:D$145, "Not Found")</f>
        <v>0</v>
      </c>
      <c r="AE622" s="7"/>
      <c r="AF622" s="5"/>
      <c r="AG622" s="5" t="str">
        <f t="shared" si="124"/>
        <v>Bandhkam</v>
      </c>
      <c r="AH622" s="55"/>
      <c r="AI622" s="49"/>
      <c r="AJ622" s="20"/>
      <c r="AL622" s="16"/>
      <c r="AM622" s="12">
        <f t="shared" si="125"/>
        <v>0</v>
      </c>
      <c r="AN622" s="7">
        <f t="shared" si="126"/>
        <v>450</v>
      </c>
      <c r="AO622" s="12">
        <f t="shared" si="127"/>
        <v>0</v>
      </c>
      <c r="AP622" s="12">
        <f t="shared" si="128"/>
        <v>0</v>
      </c>
      <c r="AQ622" s="15">
        <f t="shared" si="129"/>
        <v>35</v>
      </c>
      <c r="AR622" s="7">
        <f t="shared" si="130"/>
        <v>390</v>
      </c>
      <c r="AS622" s="5"/>
      <c r="AU622" s="5"/>
      <c r="AV622" s="17"/>
      <c r="AW622" s="17"/>
      <c r="AX622" s="5"/>
      <c r="AY622" s="5"/>
      <c r="AZ622" s="13"/>
      <c r="BA622" s="12"/>
      <c r="BB622" s="7"/>
      <c r="BC622" s="14"/>
      <c r="BD622" s="14"/>
      <c r="BF622" s="12"/>
      <c r="BG622" s="14"/>
      <c r="BH622" s="19"/>
      <c r="BI622" s="5"/>
      <c r="BM622" s="18"/>
      <c r="BN622" s="18"/>
      <c r="BO622" s="18"/>
      <c r="BP622" s="18"/>
      <c r="BQ622" s="5"/>
      <c r="BR622" s="18"/>
      <c r="BS622" s="18"/>
      <c r="BT622" s="35">
        <f t="shared" si="132"/>
        <v>-1</v>
      </c>
    </row>
    <row r="623" spans="1:72" x14ac:dyDescent="0.35">
      <c r="A623" s="5"/>
      <c r="B623" s="5"/>
      <c r="C623" s="5"/>
      <c r="D623" s="5"/>
      <c r="E623" s="5"/>
      <c r="F623" s="8"/>
      <c r="G623" s="8"/>
      <c r="H623" s="5"/>
      <c r="I623" s="5" t="e" cm="1">
        <f t="array" ref="I623">_xlfn.IFS(
  H623="Mahuva", "Mahuva",
  H623="Jesar", "Mahuva",
  H623="Palitana", "Palitana",
  H623="Gariyadhar", "Palitana",
  H623="Talaja", "Talaja",
  H623="Vallabhipur", "Vallabhipur",
  H623="Umrala", "Vallabhipur",
  H623="Shihor", "Shihor",
  H623="Ghogha", "Bhavnagar",
  H623="Bhavnagar", "Bhavnagar"
)</f>
        <v>#N/A</v>
      </c>
      <c r="J623" s="5"/>
      <c r="K623" s="5"/>
      <c r="M623" s="5"/>
      <c r="Q623" s="7">
        <f t="shared" si="121"/>
        <v>120</v>
      </c>
      <c r="S623" s="33"/>
      <c r="U623" s="10"/>
      <c r="V623" s="10" t="str">
        <f t="shared" si="122"/>
        <v>Equals</v>
      </c>
      <c r="W623" s="11" t="str" cm="1">
        <f t="array" ref="W623">NumberToWords(T623)</f>
        <v>Zero Rupees Only</v>
      </c>
      <c r="X623" s="10" t="str">
        <f t="shared" si="131"/>
        <v>Division</v>
      </c>
      <c r="Z623" s="9">
        <f t="shared" si="123"/>
        <v>0</v>
      </c>
      <c r="AB623" s="8">
        <f>_xlfn.XLOOKUP(AA623, 'Agency List'!A$2:A$145, 'Agency List'!B$2:B$145, "Not Found")</f>
        <v>0</v>
      </c>
      <c r="AC623" s="8">
        <f>_xlfn.XLOOKUP(AA623, 'Agency List'!A$2:A$145, 'Agency List'!C$2:C$145, "Not Found")</f>
        <v>0</v>
      </c>
      <c r="AD623" s="8">
        <f>_xlfn.XLOOKUP(AA623, 'Agency List'!A$2:A$145, 'Agency List'!D$2:D$145, "Not Found")</f>
        <v>0</v>
      </c>
      <c r="AE623" s="7"/>
      <c r="AF623" s="5"/>
      <c r="AG623" s="5" t="str">
        <f t="shared" si="124"/>
        <v>Bandhkam</v>
      </c>
      <c r="AH623" s="55"/>
      <c r="AI623" s="49"/>
      <c r="AJ623" s="20"/>
      <c r="AL623" s="16"/>
      <c r="AM623" s="12">
        <f t="shared" si="125"/>
        <v>0</v>
      </c>
      <c r="AN623" s="7">
        <f t="shared" si="126"/>
        <v>450</v>
      </c>
      <c r="AO623" s="12">
        <f t="shared" si="127"/>
        <v>0</v>
      </c>
      <c r="AP623" s="12">
        <f t="shared" si="128"/>
        <v>0</v>
      </c>
      <c r="AQ623" s="15">
        <f t="shared" si="129"/>
        <v>35</v>
      </c>
      <c r="AR623" s="7">
        <f t="shared" si="130"/>
        <v>390</v>
      </c>
      <c r="AS623" s="5"/>
      <c r="AU623" s="5"/>
      <c r="AV623" s="17"/>
      <c r="AW623" s="17"/>
      <c r="AX623" s="5"/>
      <c r="AY623" s="5"/>
      <c r="AZ623" s="13"/>
      <c r="BA623" s="12"/>
      <c r="BB623" s="7"/>
      <c r="BC623" s="14"/>
      <c r="BD623" s="14"/>
      <c r="BF623" s="12"/>
      <c r="BG623" s="14"/>
      <c r="BH623" s="19"/>
      <c r="BI623" s="5"/>
      <c r="BM623" s="18"/>
      <c r="BN623" s="18"/>
      <c r="BO623" s="18"/>
      <c r="BP623" s="18"/>
      <c r="BQ623" s="5"/>
      <c r="BR623" s="18"/>
      <c r="BS623" s="18"/>
      <c r="BT623" s="35">
        <f t="shared" si="132"/>
        <v>-1</v>
      </c>
    </row>
    <row r="624" spans="1:72" x14ac:dyDescent="0.35">
      <c r="A624" s="5"/>
      <c r="B624" s="5"/>
      <c r="C624" s="5"/>
      <c r="D624" s="5"/>
      <c r="E624" s="5"/>
      <c r="F624" s="8"/>
      <c r="G624" s="8"/>
      <c r="H624" s="5"/>
      <c r="I624" s="5" t="e" cm="1">
        <f t="array" ref="I624">_xlfn.IFS(
  H624="Mahuva", "Mahuva",
  H624="Jesar", "Mahuva",
  H624="Palitana", "Palitana",
  H624="Gariyadhar", "Palitana",
  H624="Talaja", "Talaja",
  H624="Vallabhipur", "Vallabhipur",
  H624="Umrala", "Vallabhipur",
  H624="Shihor", "Shihor",
  H624="Ghogha", "Bhavnagar",
  H624="Bhavnagar", "Bhavnagar"
)</f>
        <v>#N/A</v>
      </c>
      <c r="J624" s="5"/>
      <c r="K624" s="5"/>
      <c r="M624" s="5"/>
      <c r="Q624" s="7">
        <f t="shared" si="121"/>
        <v>120</v>
      </c>
      <c r="S624" s="33"/>
      <c r="U624" s="10"/>
      <c r="V624" s="10" t="str">
        <f t="shared" si="122"/>
        <v>Equals</v>
      </c>
      <c r="W624" s="11" t="str" cm="1">
        <f t="array" ref="W624">NumberToWords(T624)</f>
        <v>Zero Rupees Only</v>
      </c>
      <c r="X624" s="10" t="str">
        <f t="shared" si="131"/>
        <v>Division</v>
      </c>
      <c r="Z624" s="9">
        <f t="shared" si="123"/>
        <v>0</v>
      </c>
      <c r="AB624" s="8">
        <f>_xlfn.XLOOKUP(AA624, 'Agency List'!A$2:A$145, 'Agency List'!B$2:B$145, "Not Found")</f>
        <v>0</v>
      </c>
      <c r="AC624" s="8">
        <f>_xlfn.XLOOKUP(AA624, 'Agency List'!A$2:A$145, 'Agency List'!C$2:C$145, "Not Found")</f>
        <v>0</v>
      </c>
      <c r="AD624" s="8">
        <f>_xlfn.XLOOKUP(AA624, 'Agency List'!A$2:A$145, 'Agency List'!D$2:D$145, "Not Found")</f>
        <v>0</v>
      </c>
      <c r="AE624" s="7"/>
      <c r="AF624" s="5"/>
      <c r="AG624" s="5" t="str">
        <f t="shared" si="124"/>
        <v>Bandhkam</v>
      </c>
      <c r="AH624" s="55"/>
      <c r="AI624" s="49"/>
      <c r="AJ624" s="20"/>
      <c r="AL624" s="16"/>
      <c r="AM624" s="12">
        <f t="shared" si="125"/>
        <v>0</v>
      </c>
      <c r="AN624" s="7">
        <f t="shared" si="126"/>
        <v>450</v>
      </c>
      <c r="AO624" s="12">
        <f t="shared" si="127"/>
        <v>0</v>
      </c>
      <c r="AP624" s="12">
        <f t="shared" si="128"/>
        <v>0</v>
      </c>
      <c r="AQ624" s="15">
        <f t="shared" si="129"/>
        <v>35</v>
      </c>
      <c r="AR624" s="7">
        <f t="shared" si="130"/>
        <v>390</v>
      </c>
      <c r="AS624" s="5"/>
      <c r="AU624" s="5"/>
      <c r="AV624" s="17"/>
      <c r="AW624" s="17"/>
      <c r="AX624" s="5"/>
      <c r="AY624" s="5"/>
      <c r="AZ624" s="13"/>
      <c r="BA624" s="12"/>
      <c r="BB624" s="7"/>
      <c r="BC624" s="14"/>
      <c r="BD624" s="14"/>
      <c r="BF624" s="12"/>
      <c r="BG624" s="14"/>
      <c r="BH624" s="19"/>
      <c r="BI624" s="5"/>
      <c r="BM624" s="18"/>
      <c r="BN624" s="18"/>
      <c r="BO624" s="18"/>
      <c r="BP624" s="18"/>
      <c r="BQ624" s="5"/>
      <c r="BR624" s="18"/>
      <c r="BS624" s="18"/>
      <c r="BT624" s="35">
        <f t="shared" si="132"/>
        <v>-1</v>
      </c>
    </row>
    <row r="625" spans="1:72" x14ac:dyDescent="0.35">
      <c r="A625" s="5"/>
      <c r="B625" s="5"/>
      <c r="C625" s="5"/>
      <c r="D625" s="5"/>
      <c r="E625" s="5"/>
      <c r="F625" s="8"/>
      <c r="G625" s="8"/>
      <c r="H625" s="5"/>
      <c r="I625" s="5" t="e" cm="1">
        <f t="array" ref="I625">_xlfn.IFS(
  H625="Mahuva", "Mahuva",
  H625="Jesar", "Mahuva",
  H625="Palitana", "Palitana",
  H625="Gariyadhar", "Palitana",
  H625="Talaja", "Talaja",
  H625="Vallabhipur", "Vallabhipur",
  H625="Umrala", "Vallabhipur",
  H625="Shihor", "Shihor",
  H625="Ghogha", "Bhavnagar",
  H625="Bhavnagar", "Bhavnagar"
)</f>
        <v>#N/A</v>
      </c>
      <c r="J625" s="5"/>
      <c r="K625" s="5"/>
      <c r="M625" s="5"/>
      <c r="Q625" s="7">
        <f t="shared" si="121"/>
        <v>120</v>
      </c>
      <c r="S625" s="33"/>
      <c r="U625" s="10"/>
      <c r="V625" s="10" t="str">
        <f t="shared" si="122"/>
        <v>Equals</v>
      </c>
      <c r="W625" s="11" t="str" cm="1">
        <f t="array" ref="W625">NumberToWords(T625)</f>
        <v>Zero Rupees Only</v>
      </c>
      <c r="X625" s="10" t="str">
        <f t="shared" si="131"/>
        <v>Division</v>
      </c>
      <c r="Z625" s="9">
        <f t="shared" si="123"/>
        <v>0</v>
      </c>
      <c r="AB625" s="8">
        <f>_xlfn.XLOOKUP(AA625, 'Agency List'!A$2:A$145, 'Agency List'!B$2:B$145, "Not Found")</f>
        <v>0</v>
      </c>
      <c r="AC625" s="8">
        <f>_xlfn.XLOOKUP(AA625, 'Agency List'!A$2:A$145, 'Agency List'!C$2:C$145, "Not Found")</f>
        <v>0</v>
      </c>
      <c r="AD625" s="8">
        <f>_xlfn.XLOOKUP(AA625, 'Agency List'!A$2:A$145, 'Agency List'!D$2:D$145, "Not Found")</f>
        <v>0</v>
      </c>
      <c r="AE625" s="7"/>
      <c r="AF625" s="5"/>
      <c r="AG625" s="5" t="str">
        <f t="shared" si="124"/>
        <v>Bandhkam</v>
      </c>
      <c r="AH625" s="55"/>
      <c r="AI625" s="49"/>
      <c r="AJ625" s="20"/>
      <c r="AL625" s="16"/>
      <c r="AM625" s="12">
        <f t="shared" si="125"/>
        <v>0</v>
      </c>
      <c r="AN625" s="7">
        <f t="shared" si="126"/>
        <v>450</v>
      </c>
      <c r="AO625" s="12">
        <f t="shared" si="127"/>
        <v>0</v>
      </c>
      <c r="AP625" s="12">
        <f t="shared" si="128"/>
        <v>0</v>
      </c>
      <c r="AQ625" s="15">
        <f t="shared" si="129"/>
        <v>35</v>
      </c>
      <c r="AR625" s="7">
        <f t="shared" si="130"/>
        <v>390</v>
      </c>
      <c r="AS625" s="5"/>
      <c r="AU625" s="5"/>
      <c r="AV625" s="17"/>
      <c r="AW625" s="17"/>
      <c r="AX625" s="5"/>
      <c r="AY625" s="5"/>
      <c r="AZ625" s="13"/>
      <c r="BA625" s="12"/>
      <c r="BB625" s="7"/>
      <c r="BC625" s="14"/>
      <c r="BD625" s="14"/>
      <c r="BF625" s="12"/>
      <c r="BG625" s="14"/>
      <c r="BH625" s="19"/>
      <c r="BI625" s="5"/>
      <c r="BM625" s="18"/>
      <c r="BN625" s="18"/>
      <c r="BO625" s="18"/>
      <c r="BP625" s="18"/>
      <c r="BQ625" s="5"/>
      <c r="BR625" s="18"/>
      <c r="BS625" s="18"/>
      <c r="BT625" s="35">
        <f t="shared" si="132"/>
        <v>-1</v>
      </c>
    </row>
    <row r="626" spans="1:72" x14ac:dyDescent="0.35">
      <c r="A626" s="5"/>
      <c r="B626" s="5"/>
      <c r="C626" s="5"/>
      <c r="D626" s="5"/>
      <c r="E626" s="5"/>
      <c r="F626" s="8"/>
      <c r="G626" s="8"/>
      <c r="H626" s="5"/>
      <c r="I626" s="5" t="e" cm="1">
        <f t="array" ref="I626">_xlfn.IFS(
  H626="Mahuva", "Mahuva",
  H626="Jesar", "Mahuva",
  H626="Palitana", "Palitana",
  H626="Gariyadhar", "Palitana",
  H626="Talaja", "Talaja",
  H626="Vallabhipur", "Vallabhipur",
  H626="Umrala", "Vallabhipur",
  H626="Shihor", "Shihor",
  H626="Ghogha", "Bhavnagar",
  H626="Bhavnagar", "Bhavnagar"
)</f>
        <v>#N/A</v>
      </c>
      <c r="J626" s="5"/>
      <c r="K626" s="5"/>
      <c r="M626" s="5"/>
      <c r="Q626" s="7">
        <f t="shared" si="121"/>
        <v>120</v>
      </c>
      <c r="S626" s="33"/>
      <c r="U626" s="10"/>
      <c r="V626" s="10" t="str">
        <f t="shared" si="122"/>
        <v>Equals</v>
      </c>
      <c r="W626" s="11" t="str" cm="1">
        <f t="array" ref="W626">NumberToWords(T626)</f>
        <v>Zero Rupees Only</v>
      </c>
      <c r="X626" s="10" t="str">
        <f t="shared" si="131"/>
        <v>Division</v>
      </c>
      <c r="Z626" s="9">
        <f t="shared" si="123"/>
        <v>0</v>
      </c>
      <c r="AB626" s="8">
        <f>_xlfn.XLOOKUP(AA626, 'Agency List'!A$2:A$145, 'Agency List'!B$2:B$145, "Not Found")</f>
        <v>0</v>
      </c>
      <c r="AC626" s="8">
        <f>_xlfn.XLOOKUP(AA626, 'Agency List'!A$2:A$145, 'Agency List'!C$2:C$145, "Not Found")</f>
        <v>0</v>
      </c>
      <c r="AD626" s="8">
        <f>_xlfn.XLOOKUP(AA626, 'Agency List'!A$2:A$145, 'Agency List'!D$2:D$145, "Not Found")</f>
        <v>0</v>
      </c>
      <c r="AE626" s="7"/>
      <c r="AF626" s="5"/>
      <c r="AG626" s="5" t="str">
        <f t="shared" si="124"/>
        <v>Bandhkam</v>
      </c>
      <c r="AH626" s="55"/>
      <c r="AI626" s="49"/>
      <c r="AJ626" s="20"/>
      <c r="AL626" s="16"/>
      <c r="AM626" s="12">
        <f t="shared" si="125"/>
        <v>0</v>
      </c>
      <c r="AN626" s="7">
        <f t="shared" si="126"/>
        <v>450</v>
      </c>
      <c r="AO626" s="12">
        <f t="shared" si="127"/>
        <v>0</v>
      </c>
      <c r="AP626" s="12">
        <f t="shared" si="128"/>
        <v>0</v>
      </c>
      <c r="AQ626" s="15">
        <f t="shared" si="129"/>
        <v>35</v>
      </c>
      <c r="AR626" s="7">
        <f t="shared" si="130"/>
        <v>390</v>
      </c>
      <c r="AS626" s="5"/>
      <c r="AU626" s="5"/>
      <c r="AV626" s="17"/>
      <c r="AW626" s="17"/>
      <c r="AX626" s="5"/>
      <c r="AY626" s="5"/>
      <c r="AZ626" s="13"/>
      <c r="BA626" s="12"/>
      <c r="BB626" s="7"/>
      <c r="BC626" s="14"/>
      <c r="BD626" s="14"/>
      <c r="BF626" s="12"/>
      <c r="BG626" s="14"/>
      <c r="BH626" s="19"/>
      <c r="BI626" s="5"/>
      <c r="BM626" s="18"/>
      <c r="BN626" s="18"/>
      <c r="BO626" s="18"/>
      <c r="BP626" s="18"/>
      <c r="BQ626" s="5"/>
      <c r="BR626" s="18"/>
      <c r="BS626" s="18"/>
      <c r="BT626" s="35">
        <f t="shared" si="132"/>
        <v>-1</v>
      </c>
    </row>
    <row r="627" spans="1:72" x14ac:dyDescent="0.35">
      <c r="A627" s="5"/>
      <c r="B627" s="5"/>
      <c r="C627" s="5"/>
      <c r="D627" s="5"/>
      <c r="E627" s="5"/>
      <c r="F627" s="8"/>
      <c r="G627" s="8"/>
      <c r="H627" s="5"/>
      <c r="I627" s="5" t="e" cm="1">
        <f t="array" ref="I627">_xlfn.IFS(
  H627="Mahuva", "Mahuva",
  H627="Jesar", "Mahuva",
  H627="Palitana", "Palitana",
  H627="Gariyadhar", "Palitana",
  H627="Talaja", "Talaja",
  H627="Vallabhipur", "Vallabhipur",
  H627="Umrala", "Vallabhipur",
  H627="Shihor", "Shihor",
  H627="Ghogha", "Bhavnagar",
  H627="Bhavnagar", "Bhavnagar"
)</f>
        <v>#N/A</v>
      </c>
      <c r="J627" s="5"/>
      <c r="K627" s="5"/>
      <c r="M627" s="5"/>
      <c r="Q627" s="7">
        <f t="shared" si="121"/>
        <v>120</v>
      </c>
      <c r="S627" s="33"/>
      <c r="U627" s="10"/>
      <c r="V627" s="10" t="str">
        <f t="shared" si="122"/>
        <v>Equals</v>
      </c>
      <c r="W627" s="11" t="str" cm="1">
        <f t="array" ref="W627">NumberToWords(T627)</f>
        <v>Zero Rupees Only</v>
      </c>
      <c r="X627" s="10" t="str">
        <f t="shared" si="131"/>
        <v>Division</v>
      </c>
      <c r="Z627" s="9">
        <f t="shared" si="123"/>
        <v>0</v>
      </c>
      <c r="AB627" s="8">
        <f>_xlfn.XLOOKUP(AA627, 'Agency List'!A$2:A$145, 'Agency List'!B$2:B$145, "Not Found")</f>
        <v>0</v>
      </c>
      <c r="AC627" s="8">
        <f>_xlfn.XLOOKUP(AA627, 'Agency List'!A$2:A$145, 'Agency List'!C$2:C$145, "Not Found")</f>
        <v>0</v>
      </c>
      <c r="AD627" s="8">
        <f>_xlfn.XLOOKUP(AA627, 'Agency List'!A$2:A$145, 'Agency List'!D$2:D$145, "Not Found")</f>
        <v>0</v>
      </c>
      <c r="AE627" s="7"/>
      <c r="AF627" s="5"/>
      <c r="AG627" s="5" t="str">
        <f t="shared" si="124"/>
        <v>Bandhkam</v>
      </c>
      <c r="AH627" s="55"/>
      <c r="AI627" s="49"/>
      <c r="AJ627" s="20"/>
      <c r="AL627" s="16"/>
      <c r="AM627" s="12">
        <f t="shared" si="125"/>
        <v>0</v>
      </c>
      <c r="AN627" s="7">
        <f t="shared" si="126"/>
        <v>450</v>
      </c>
      <c r="AO627" s="12">
        <f t="shared" si="127"/>
        <v>0</v>
      </c>
      <c r="AP627" s="12">
        <f t="shared" si="128"/>
        <v>0</v>
      </c>
      <c r="AQ627" s="15">
        <f t="shared" si="129"/>
        <v>35</v>
      </c>
      <c r="AR627" s="7">
        <f t="shared" si="130"/>
        <v>390</v>
      </c>
      <c r="AS627" s="5"/>
      <c r="AU627" s="5"/>
      <c r="AV627" s="17"/>
      <c r="AW627" s="17"/>
      <c r="AX627" s="5"/>
      <c r="AY627" s="5"/>
      <c r="AZ627" s="13"/>
      <c r="BA627" s="12"/>
      <c r="BB627" s="7"/>
      <c r="BC627" s="14"/>
      <c r="BD627" s="14"/>
      <c r="BF627" s="12"/>
      <c r="BG627" s="14"/>
      <c r="BH627" s="19"/>
      <c r="BI627" s="5"/>
      <c r="BM627" s="18"/>
      <c r="BN627" s="18"/>
      <c r="BO627" s="18"/>
      <c r="BP627" s="18"/>
      <c r="BQ627" s="5"/>
      <c r="BR627" s="18"/>
      <c r="BS627" s="18"/>
      <c r="BT627" s="35">
        <f t="shared" si="132"/>
        <v>-1</v>
      </c>
    </row>
    <row r="628" spans="1:72" x14ac:dyDescent="0.35">
      <c r="A628" s="5"/>
      <c r="B628" s="5"/>
      <c r="C628" s="5"/>
      <c r="D628" s="5"/>
      <c r="E628" s="5"/>
      <c r="F628" s="8"/>
      <c r="G628" s="8"/>
      <c r="H628" s="5"/>
      <c r="I628" s="5" t="e" cm="1">
        <f t="array" ref="I628">_xlfn.IFS(
  H628="Mahuva", "Mahuva",
  H628="Jesar", "Mahuva",
  H628="Palitana", "Palitana",
  H628="Gariyadhar", "Palitana",
  H628="Talaja", "Talaja",
  H628="Vallabhipur", "Vallabhipur",
  H628="Umrala", "Vallabhipur",
  H628="Shihor", "Shihor",
  H628="Ghogha", "Bhavnagar",
  H628="Bhavnagar", "Bhavnagar"
)</f>
        <v>#N/A</v>
      </c>
      <c r="J628" s="5"/>
      <c r="K628" s="5"/>
      <c r="M628" s="5"/>
      <c r="Q628" s="7">
        <f t="shared" si="121"/>
        <v>120</v>
      </c>
      <c r="S628" s="33"/>
      <c r="U628" s="10"/>
      <c r="V628" s="10" t="str">
        <f t="shared" si="122"/>
        <v>Equals</v>
      </c>
      <c r="W628" s="11" t="str" cm="1">
        <f t="array" ref="W628">NumberToWords(T628)</f>
        <v>Zero Rupees Only</v>
      </c>
      <c r="X628" s="10" t="str">
        <f t="shared" si="131"/>
        <v>Division</v>
      </c>
      <c r="Z628" s="9">
        <f t="shared" si="123"/>
        <v>0</v>
      </c>
      <c r="AB628" s="8">
        <f>_xlfn.XLOOKUP(AA628, 'Agency List'!A$2:A$145, 'Agency List'!B$2:B$145, "Not Found")</f>
        <v>0</v>
      </c>
      <c r="AC628" s="8">
        <f>_xlfn.XLOOKUP(AA628, 'Agency List'!A$2:A$145, 'Agency List'!C$2:C$145, "Not Found")</f>
        <v>0</v>
      </c>
      <c r="AD628" s="8">
        <f>_xlfn.XLOOKUP(AA628, 'Agency List'!A$2:A$145, 'Agency List'!D$2:D$145, "Not Found")</f>
        <v>0</v>
      </c>
      <c r="AE628" s="7"/>
      <c r="AF628" s="5"/>
      <c r="AG628" s="5" t="str">
        <f t="shared" si="124"/>
        <v>Bandhkam</v>
      </c>
      <c r="AH628" s="55"/>
      <c r="AI628" s="49"/>
      <c r="AJ628" s="20"/>
      <c r="AL628" s="16"/>
      <c r="AM628" s="12">
        <f t="shared" si="125"/>
        <v>0</v>
      </c>
      <c r="AN628" s="7">
        <f t="shared" si="126"/>
        <v>450</v>
      </c>
      <c r="AO628" s="12">
        <f t="shared" si="127"/>
        <v>0</v>
      </c>
      <c r="AP628" s="12">
        <f t="shared" si="128"/>
        <v>0</v>
      </c>
      <c r="AQ628" s="15">
        <f t="shared" si="129"/>
        <v>35</v>
      </c>
      <c r="AR628" s="7">
        <f t="shared" si="130"/>
        <v>390</v>
      </c>
      <c r="AS628" s="5"/>
      <c r="AU628" s="5"/>
      <c r="AV628" s="17"/>
      <c r="AW628" s="17"/>
      <c r="AX628" s="5"/>
      <c r="AY628" s="5"/>
      <c r="AZ628" s="13"/>
      <c r="BA628" s="12"/>
      <c r="BB628" s="7"/>
      <c r="BC628" s="14"/>
      <c r="BD628" s="14"/>
      <c r="BF628" s="12"/>
      <c r="BG628" s="14"/>
      <c r="BH628" s="19"/>
      <c r="BI628" s="5"/>
      <c r="BM628" s="18"/>
      <c r="BN628" s="18"/>
      <c r="BO628" s="18"/>
      <c r="BP628" s="18"/>
      <c r="BQ628" s="5"/>
      <c r="BR628" s="18"/>
      <c r="BS628" s="18"/>
      <c r="BT628" s="35">
        <f t="shared" si="132"/>
        <v>-1</v>
      </c>
    </row>
    <row r="629" spans="1:72" x14ac:dyDescent="0.35">
      <c r="A629" s="5"/>
      <c r="B629" s="5"/>
      <c r="C629" s="5"/>
      <c r="D629" s="5"/>
      <c r="E629" s="5"/>
      <c r="F629" s="8"/>
      <c r="G629" s="8"/>
      <c r="H629" s="5"/>
      <c r="I629" s="5" t="e" cm="1">
        <f t="array" ref="I629">_xlfn.IFS(
  H629="Mahuva", "Mahuva",
  H629="Jesar", "Mahuva",
  H629="Palitana", "Palitana",
  H629="Gariyadhar", "Palitana",
  H629="Talaja", "Talaja",
  H629="Vallabhipur", "Vallabhipur",
  H629="Umrala", "Vallabhipur",
  H629="Shihor", "Shihor",
  H629="Ghogha", "Bhavnagar",
  H629="Bhavnagar", "Bhavnagar"
)</f>
        <v>#N/A</v>
      </c>
      <c r="J629" s="5"/>
      <c r="K629" s="5"/>
      <c r="M629" s="5"/>
      <c r="Q629" s="7">
        <f t="shared" si="121"/>
        <v>120</v>
      </c>
      <c r="S629" s="33"/>
      <c r="U629" s="10"/>
      <c r="V629" s="10" t="str">
        <f t="shared" si="122"/>
        <v>Equals</v>
      </c>
      <c r="W629" s="11" t="str" cm="1">
        <f t="array" ref="W629">NumberToWords(T629)</f>
        <v>Zero Rupees Only</v>
      </c>
      <c r="X629" s="10" t="str">
        <f t="shared" si="131"/>
        <v>Division</v>
      </c>
      <c r="Z629" s="9">
        <f t="shared" si="123"/>
        <v>0</v>
      </c>
      <c r="AB629" s="8">
        <f>_xlfn.XLOOKUP(AA629, 'Agency List'!A$2:A$145, 'Agency List'!B$2:B$145, "Not Found")</f>
        <v>0</v>
      </c>
      <c r="AC629" s="8">
        <f>_xlfn.XLOOKUP(AA629, 'Agency List'!A$2:A$145, 'Agency List'!C$2:C$145, "Not Found")</f>
        <v>0</v>
      </c>
      <c r="AD629" s="8">
        <f>_xlfn.XLOOKUP(AA629, 'Agency List'!A$2:A$145, 'Agency List'!D$2:D$145, "Not Found")</f>
        <v>0</v>
      </c>
      <c r="AE629" s="7"/>
      <c r="AF629" s="5"/>
      <c r="AG629" s="5" t="str">
        <f t="shared" si="124"/>
        <v>Bandhkam</v>
      </c>
      <c r="AH629" s="55"/>
      <c r="AI629" s="49"/>
      <c r="AJ629" s="20"/>
      <c r="AL629" s="16"/>
      <c r="AM629" s="12">
        <f t="shared" si="125"/>
        <v>0</v>
      </c>
      <c r="AN629" s="7">
        <f t="shared" si="126"/>
        <v>450</v>
      </c>
      <c r="AO629" s="12">
        <f t="shared" si="127"/>
        <v>0</v>
      </c>
      <c r="AP629" s="12">
        <f t="shared" si="128"/>
        <v>0</v>
      </c>
      <c r="AQ629" s="15">
        <f t="shared" si="129"/>
        <v>35</v>
      </c>
      <c r="AR629" s="7">
        <f t="shared" si="130"/>
        <v>390</v>
      </c>
      <c r="AS629" s="5"/>
      <c r="AU629" s="5"/>
      <c r="AV629" s="17"/>
      <c r="AW629" s="17"/>
      <c r="AX629" s="5"/>
      <c r="AY629" s="5"/>
      <c r="AZ629" s="13"/>
      <c r="BA629" s="12"/>
      <c r="BB629" s="7"/>
      <c r="BC629" s="14"/>
      <c r="BD629" s="14"/>
      <c r="BF629" s="12"/>
      <c r="BG629" s="14"/>
      <c r="BH629" s="19"/>
      <c r="BI629" s="5"/>
      <c r="BM629" s="18"/>
      <c r="BN629" s="18"/>
      <c r="BO629" s="18"/>
      <c r="BP629" s="18"/>
      <c r="BQ629" s="5"/>
      <c r="BR629" s="18"/>
      <c r="BS629" s="18"/>
      <c r="BT629" s="35">
        <f t="shared" si="132"/>
        <v>-1</v>
      </c>
    </row>
    <row r="630" spans="1:72" x14ac:dyDescent="0.35">
      <c r="A630" s="5"/>
      <c r="B630" s="5"/>
      <c r="C630" s="5"/>
      <c r="D630" s="5"/>
      <c r="E630" s="5"/>
      <c r="F630" s="8"/>
      <c r="G630" s="8"/>
      <c r="H630" s="5"/>
      <c r="I630" s="5" t="e" cm="1">
        <f t="array" ref="I630">_xlfn.IFS(
  H630="Mahuva", "Mahuva",
  H630="Jesar", "Mahuva",
  H630="Palitana", "Palitana",
  H630="Gariyadhar", "Palitana",
  H630="Talaja", "Talaja",
  H630="Vallabhipur", "Vallabhipur",
  H630="Umrala", "Vallabhipur",
  H630="Shihor", "Shihor",
  H630="Ghogha", "Bhavnagar",
  H630="Bhavnagar", "Bhavnagar"
)</f>
        <v>#N/A</v>
      </c>
      <c r="J630" s="5"/>
      <c r="K630" s="5"/>
      <c r="M630" s="5"/>
      <c r="Q630" s="7">
        <f t="shared" si="121"/>
        <v>120</v>
      </c>
      <c r="S630" s="33"/>
      <c r="U630" s="10"/>
      <c r="V630" s="10" t="str">
        <f t="shared" si="122"/>
        <v>Equals</v>
      </c>
      <c r="W630" s="11" t="str" cm="1">
        <f t="array" ref="W630">NumberToWords(T630)</f>
        <v>Zero Rupees Only</v>
      </c>
      <c r="X630" s="10" t="str">
        <f t="shared" si="131"/>
        <v>Division</v>
      </c>
      <c r="Z630" s="9">
        <f t="shared" si="123"/>
        <v>0</v>
      </c>
      <c r="AB630" s="8">
        <f>_xlfn.XLOOKUP(AA630, 'Agency List'!A$2:A$145, 'Agency List'!B$2:B$145, "Not Found")</f>
        <v>0</v>
      </c>
      <c r="AC630" s="8">
        <f>_xlfn.XLOOKUP(AA630, 'Agency List'!A$2:A$145, 'Agency List'!C$2:C$145, "Not Found")</f>
        <v>0</v>
      </c>
      <c r="AD630" s="8">
        <f>_xlfn.XLOOKUP(AA630, 'Agency List'!A$2:A$145, 'Agency List'!D$2:D$145, "Not Found")</f>
        <v>0</v>
      </c>
      <c r="AE630" s="7"/>
      <c r="AF630" s="5"/>
      <c r="AG630" s="5" t="str">
        <f t="shared" si="124"/>
        <v>Bandhkam</v>
      </c>
      <c r="AH630" s="55"/>
      <c r="AI630" s="49"/>
      <c r="AJ630" s="20"/>
      <c r="AL630" s="16"/>
      <c r="AM630" s="12">
        <f t="shared" si="125"/>
        <v>0</v>
      </c>
      <c r="AN630" s="7">
        <f t="shared" si="126"/>
        <v>450</v>
      </c>
      <c r="AO630" s="12">
        <f t="shared" si="127"/>
        <v>0</v>
      </c>
      <c r="AP630" s="12">
        <f t="shared" si="128"/>
        <v>0</v>
      </c>
      <c r="AQ630" s="15">
        <f t="shared" si="129"/>
        <v>35</v>
      </c>
      <c r="AR630" s="7">
        <f t="shared" si="130"/>
        <v>390</v>
      </c>
      <c r="AS630" s="5"/>
      <c r="AU630" s="5"/>
      <c r="AV630" s="17"/>
      <c r="AW630" s="17"/>
      <c r="AX630" s="5"/>
      <c r="AY630" s="5"/>
      <c r="AZ630" s="13"/>
      <c r="BA630" s="12"/>
      <c r="BB630" s="7"/>
      <c r="BC630" s="14"/>
      <c r="BD630" s="14"/>
      <c r="BF630" s="12"/>
      <c r="BG630" s="14"/>
      <c r="BH630" s="19"/>
      <c r="BI630" s="5"/>
      <c r="BM630" s="18"/>
      <c r="BN630" s="18"/>
      <c r="BO630" s="18"/>
      <c r="BP630" s="18"/>
      <c r="BQ630" s="5"/>
      <c r="BR630" s="18"/>
      <c r="BS630" s="18"/>
      <c r="BT630" s="35">
        <f t="shared" si="132"/>
        <v>-1</v>
      </c>
    </row>
    <row r="631" spans="1:72" x14ac:dyDescent="0.35">
      <c r="A631" s="5"/>
      <c r="B631" s="5"/>
      <c r="C631" s="5"/>
      <c r="D631" s="5"/>
      <c r="E631" s="5"/>
      <c r="F631" s="8"/>
      <c r="G631" s="8"/>
      <c r="H631" s="5"/>
      <c r="I631" s="5" t="e" cm="1">
        <f t="array" ref="I631">_xlfn.IFS(
  H631="Mahuva", "Mahuva",
  H631="Jesar", "Mahuva",
  H631="Palitana", "Palitana",
  H631="Gariyadhar", "Palitana",
  H631="Talaja", "Talaja",
  H631="Vallabhipur", "Vallabhipur",
  H631="Umrala", "Vallabhipur",
  H631="Shihor", "Shihor",
  H631="Ghogha", "Bhavnagar",
  H631="Bhavnagar", "Bhavnagar"
)</f>
        <v>#N/A</v>
      </c>
      <c r="J631" s="5"/>
      <c r="K631" s="5"/>
      <c r="M631" s="5"/>
      <c r="Q631" s="7">
        <f t="shared" si="121"/>
        <v>120</v>
      </c>
      <c r="S631" s="33"/>
      <c r="U631" s="10"/>
      <c r="V631" s="10" t="str">
        <f t="shared" si="122"/>
        <v>Equals</v>
      </c>
      <c r="W631" s="11" t="str" cm="1">
        <f t="array" ref="W631">NumberToWords(T631)</f>
        <v>Zero Rupees Only</v>
      </c>
      <c r="X631" s="10" t="str">
        <f t="shared" si="131"/>
        <v>Division</v>
      </c>
      <c r="Z631" s="9">
        <f t="shared" si="123"/>
        <v>0</v>
      </c>
      <c r="AB631" s="8">
        <f>_xlfn.XLOOKUP(AA631, 'Agency List'!A$2:A$145, 'Agency List'!B$2:B$145, "Not Found")</f>
        <v>0</v>
      </c>
      <c r="AC631" s="8">
        <f>_xlfn.XLOOKUP(AA631, 'Agency List'!A$2:A$145, 'Agency List'!C$2:C$145, "Not Found")</f>
        <v>0</v>
      </c>
      <c r="AD631" s="8">
        <f>_xlfn.XLOOKUP(AA631, 'Agency List'!A$2:A$145, 'Agency List'!D$2:D$145, "Not Found")</f>
        <v>0</v>
      </c>
      <c r="AE631" s="7"/>
      <c r="AF631" s="5"/>
      <c r="AG631" s="5" t="str">
        <f t="shared" si="124"/>
        <v>Bandhkam</v>
      </c>
      <c r="AH631" s="55"/>
      <c r="AI631" s="49"/>
      <c r="AJ631" s="20"/>
      <c r="AL631" s="16"/>
      <c r="AM631" s="12">
        <f t="shared" si="125"/>
        <v>0</v>
      </c>
      <c r="AN631" s="7">
        <f t="shared" si="126"/>
        <v>450</v>
      </c>
      <c r="AO631" s="12">
        <f t="shared" si="127"/>
        <v>0</v>
      </c>
      <c r="AP631" s="12">
        <f t="shared" si="128"/>
        <v>0</v>
      </c>
      <c r="AQ631" s="15">
        <f t="shared" si="129"/>
        <v>35</v>
      </c>
      <c r="AR631" s="7">
        <f t="shared" si="130"/>
        <v>390</v>
      </c>
      <c r="AS631" s="5"/>
      <c r="AU631" s="5"/>
      <c r="AV631" s="17"/>
      <c r="AW631" s="17"/>
      <c r="AX631" s="5"/>
      <c r="AY631" s="5"/>
      <c r="AZ631" s="13"/>
      <c r="BA631" s="12"/>
      <c r="BB631" s="7"/>
      <c r="BC631" s="14"/>
      <c r="BD631" s="14"/>
      <c r="BF631" s="12"/>
      <c r="BG631" s="14"/>
      <c r="BH631" s="19"/>
      <c r="BI631" s="5"/>
      <c r="BM631" s="18"/>
      <c r="BN631" s="18"/>
      <c r="BO631" s="18"/>
      <c r="BP631" s="18"/>
      <c r="BQ631" s="5"/>
      <c r="BR631" s="18"/>
      <c r="BS631" s="18"/>
      <c r="BT631" s="35">
        <f t="shared" si="132"/>
        <v>-1</v>
      </c>
    </row>
    <row r="632" spans="1:72" x14ac:dyDescent="0.35">
      <c r="A632" s="5"/>
      <c r="B632" s="5"/>
      <c r="C632" s="5"/>
      <c r="D632" s="5"/>
      <c r="E632" s="5"/>
      <c r="F632" s="8"/>
      <c r="G632" s="8"/>
      <c r="H632" s="5"/>
      <c r="I632" s="5" t="e" cm="1">
        <f t="array" ref="I632">_xlfn.IFS(
  H632="Mahuva", "Mahuva",
  H632="Jesar", "Mahuva",
  H632="Palitana", "Palitana",
  H632="Gariyadhar", "Palitana",
  H632="Talaja", "Talaja",
  H632="Vallabhipur", "Vallabhipur",
  H632="Umrala", "Vallabhipur",
  H632="Shihor", "Shihor",
  H632="Ghogha", "Bhavnagar",
  H632="Bhavnagar", "Bhavnagar"
)</f>
        <v>#N/A</v>
      </c>
      <c r="J632" s="5"/>
      <c r="K632" s="5"/>
      <c r="M632" s="5"/>
      <c r="Q632" s="7">
        <f t="shared" si="121"/>
        <v>120</v>
      </c>
      <c r="S632" s="33"/>
      <c r="U632" s="10"/>
      <c r="V632" s="10" t="str">
        <f t="shared" si="122"/>
        <v>Equals</v>
      </c>
      <c r="W632" s="11" t="str" cm="1">
        <f t="array" ref="W632">NumberToWords(T632)</f>
        <v>Zero Rupees Only</v>
      </c>
      <c r="X632" s="10" t="str">
        <f t="shared" si="131"/>
        <v>Division</v>
      </c>
      <c r="Z632" s="9">
        <f t="shared" si="123"/>
        <v>0</v>
      </c>
      <c r="AB632" s="8">
        <f>_xlfn.XLOOKUP(AA632, 'Agency List'!A$2:A$145, 'Agency List'!B$2:B$145, "Not Found")</f>
        <v>0</v>
      </c>
      <c r="AC632" s="8">
        <f>_xlfn.XLOOKUP(AA632, 'Agency List'!A$2:A$145, 'Agency List'!C$2:C$145, "Not Found")</f>
        <v>0</v>
      </c>
      <c r="AD632" s="8">
        <f>_xlfn.XLOOKUP(AA632, 'Agency List'!A$2:A$145, 'Agency List'!D$2:D$145, "Not Found")</f>
        <v>0</v>
      </c>
      <c r="AE632" s="7"/>
      <c r="AF632" s="5"/>
      <c r="AG632" s="5" t="str">
        <f t="shared" si="124"/>
        <v>Bandhkam</v>
      </c>
      <c r="AH632" s="55"/>
      <c r="AI632" s="49"/>
      <c r="AJ632" s="20"/>
      <c r="AL632" s="16"/>
      <c r="AM632" s="12">
        <f t="shared" si="125"/>
        <v>0</v>
      </c>
      <c r="AN632" s="7">
        <f t="shared" si="126"/>
        <v>450</v>
      </c>
      <c r="AO632" s="12">
        <f t="shared" si="127"/>
        <v>0</v>
      </c>
      <c r="AP632" s="12">
        <f t="shared" si="128"/>
        <v>0</v>
      </c>
      <c r="AQ632" s="15">
        <f t="shared" si="129"/>
        <v>35</v>
      </c>
      <c r="AR632" s="7">
        <f t="shared" si="130"/>
        <v>390</v>
      </c>
      <c r="AS632" s="5"/>
      <c r="AU632" s="5"/>
      <c r="AV632" s="17"/>
      <c r="AW632" s="17"/>
      <c r="AX632" s="5"/>
      <c r="AY632" s="5"/>
      <c r="AZ632" s="13"/>
      <c r="BA632" s="12"/>
      <c r="BB632" s="7"/>
      <c r="BC632" s="14"/>
      <c r="BD632" s="14"/>
      <c r="BF632" s="12"/>
      <c r="BG632" s="14"/>
      <c r="BH632" s="19"/>
      <c r="BI632" s="5"/>
      <c r="BM632" s="18"/>
      <c r="BN632" s="18"/>
      <c r="BO632" s="18"/>
      <c r="BP632" s="18"/>
      <c r="BQ632" s="5"/>
      <c r="BR632" s="18"/>
      <c r="BS632" s="18"/>
      <c r="BT632" s="35">
        <f t="shared" si="132"/>
        <v>-1</v>
      </c>
    </row>
    <row r="633" spans="1:72" x14ac:dyDescent="0.35">
      <c r="A633" s="5"/>
      <c r="B633" s="5"/>
      <c r="C633" s="5"/>
      <c r="D633" s="5"/>
      <c r="E633" s="5"/>
      <c r="F633" s="8"/>
      <c r="G633" s="8"/>
      <c r="H633" s="5"/>
      <c r="I633" s="5" t="e" cm="1">
        <f t="array" ref="I633">_xlfn.IFS(
  H633="Mahuva", "Mahuva",
  H633="Jesar", "Mahuva",
  H633="Palitana", "Palitana",
  H633="Gariyadhar", "Palitana",
  H633="Talaja", "Talaja",
  H633="Vallabhipur", "Vallabhipur",
  H633="Umrala", "Vallabhipur",
  H633="Shihor", "Shihor",
  H633="Ghogha", "Bhavnagar",
  H633="Bhavnagar", "Bhavnagar"
)</f>
        <v>#N/A</v>
      </c>
      <c r="J633" s="5"/>
      <c r="K633" s="5"/>
      <c r="M633" s="5"/>
      <c r="Q633" s="7">
        <f t="shared" si="121"/>
        <v>120</v>
      </c>
      <c r="S633" s="33"/>
      <c r="U633" s="10"/>
      <c r="V633" s="10" t="str">
        <f t="shared" si="122"/>
        <v>Equals</v>
      </c>
      <c r="W633" s="11" t="str" cm="1">
        <f t="array" ref="W633">NumberToWords(T633)</f>
        <v>Zero Rupees Only</v>
      </c>
      <c r="X633" s="10" t="str">
        <f t="shared" si="131"/>
        <v>Division</v>
      </c>
      <c r="Z633" s="9">
        <f t="shared" si="123"/>
        <v>0</v>
      </c>
      <c r="AB633" s="8">
        <f>_xlfn.XLOOKUP(AA633, 'Agency List'!A$2:A$145, 'Agency List'!B$2:B$145, "Not Found")</f>
        <v>0</v>
      </c>
      <c r="AC633" s="8">
        <f>_xlfn.XLOOKUP(AA633, 'Agency List'!A$2:A$145, 'Agency List'!C$2:C$145, "Not Found")</f>
        <v>0</v>
      </c>
      <c r="AD633" s="8">
        <f>_xlfn.XLOOKUP(AA633, 'Agency List'!A$2:A$145, 'Agency List'!D$2:D$145, "Not Found")</f>
        <v>0</v>
      </c>
      <c r="AE633" s="7"/>
      <c r="AF633" s="5"/>
      <c r="AG633" s="5" t="str">
        <f t="shared" si="124"/>
        <v>Bandhkam</v>
      </c>
      <c r="AH633" s="55"/>
      <c r="AI633" s="49"/>
      <c r="AJ633" s="20"/>
      <c r="AL633" s="16"/>
      <c r="AM633" s="12">
        <f t="shared" si="125"/>
        <v>0</v>
      </c>
      <c r="AN633" s="7">
        <f t="shared" si="126"/>
        <v>450</v>
      </c>
      <c r="AO633" s="12">
        <f t="shared" si="127"/>
        <v>0</v>
      </c>
      <c r="AP633" s="12">
        <f t="shared" si="128"/>
        <v>0</v>
      </c>
      <c r="AQ633" s="15">
        <f t="shared" si="129"/>
        <v>35</v>
      </c>
      <c r="AR633" s="7">
        <f t="shared" si="130"/>
        <v>390</v>
      </c>
      <c r="AS633" s="5"/>
      <c r="AU633" s="5"/>
      <c r="AV633" s="17"/>
      <c r="AW633" s="17"/>
      <c r="AX633" s="5"/>
      <c r="AY633" s="5"/>
      <c r="AZ633" s="13"/>
      <c r="BA633" s="12"/>
      <c r="BB633" s="7"/>
      <c r="BC633" s="14"/>
      <c r="BD633" s="14"/>
      <c r="BF633" s="12"/>
      <c r="BG633" s="14"/>
      <c r="BH633" s="19"/>
      <c r="BI633" s="5"/>
      <c r="BM633" s="18"/>
      <c r="BN633" s="18"/>
      <c r="BO633" s="18"/>
      <c r="BP633" s="18"/>
      <c r="BQ633" s="5"/>
      <c r="BR633" s="18"/>
      <c r="BS633" s="18"/>
      <c r="BT633" s="35">
        <f t="shared" si="132"/>
        <v>-1</v>
      </c>
    </row>
    <row r="634" spans="1:72" x14ac:dyDescent="0.35">
      <c r="A634" s="5"/>
      <c r="B634" s="5"/>
      <c r="C634" s="5"/>
      <c r="D634" s="5"/>
      <c r="E634" s="5"/>
      <c r="F634" s="8"/>
      <c r="G634" s="8"/>
      <c r="H634" s="5"/>
      <c r="I634" s="5" t="e" cm="1">
        <f t="array" ref="I634">_xlfn.IFS(
  H634="Mahuva", "Mahuva",
  H634="Jesar", "Mahuva",
  H634="Palitana", "Palitana",
  H634="Gariyadhar", "Palitana",
  H634="Talaja", "Talaja",
  H634="Vallabhipur", "Vallabhipur",
  H634="Umrala", "Vallabhipur",
  H634="Shihor", "Shihor",
  H634="Ghogha", "Bhavnagar",
  H634="Bhavnagar", "Bhavnagar"
)</f>
        <v>#N/A</v>
      </c>
      <c r="J634" s="5"/>
      <c r="K634" s="5"/>
      <c r="M634" s="5"/>
      <c r="Q634" s="7">
        <f t="shared" si="121"/>
        <v>120</v>
      </c>
      <c r="S634" s="33"/>
      <c r="U634" s="10"/>
      <c r="V634" s="10" t="str">
        <f t="shared" si="122"/>
        <v>Equals</v>
      </c>
      <c r="W634" s="11" t="str" cm="1">
        <f t="array" ref="W634">NumberToWords(T634)</f>
        <v>Zero Rupees Only</v>
      </c>
      <c r="X634" s="10" t="str">
        <f t="shared" si="131"/>
        <v>Division</v>
      </c>
      <c r="Z634" s="9">
        <f t="shared" si="123"/>
        <v>0</v>
      </c>
      <c r="AB634" s="8">
        <f>_xlfn.XLOOKUP(AA634, 'Agency List'!A$2:A$145, 'Agency List'!B$2:B$145, "Not Found")</f>
        <v>0</v>
      </c>
      <c r="AC634" s="8">
        <f>_xlfn.XLOOKUP(AA634, 'Agency List'!A$2:A$145, 'Agency List'!C$2:C$145, "Not Found")</f>
        <v>0</v>
      </c>
      <c r="AD634" s="8">
        <f>_xlfn.XLOOKUP(AA634, 'Agency List'!A$2:A$145, 'Agency List'!D$2:D$145, "Not Found")</f>
        <v>0</v>
      </c>
      <c r="AE634" s="7"/>
      <c r="AF634" s="5"/>
      <c r="AG634" s="5" t="str">
        <f t="shared" si="124"/>
        <v>Bandhkam</v>
      </c>
      <c r="AH634" s="55"/>
      <c r="AI634" s="49"/>
      <c r="AJ634" s="20"/>
      <c r="AL634" s="16"/>
      <c r="AM634" s="12">
        <f t="shared" si="125"/>
        <v>0</v>
      </c>
      <c r="AN634" s="7">
        <f t="shared" si="126"/>
        <v>450</v>
      </c>
      <c r="AO634" s="12">
        <f t="shared" si="127"/>
        <v>0</v>
      </c>
      <c r="AP634" s="12">
        <f t="shared" si="128"/>
        <v>0</v>
      </c>
      <c r="AQ634" s="15">
        <f t="shared" si="129"/>
        <v>35</v>
      </c>
      <c r="AR634" s="7">
        <f t="shared" si="130"/>
        <v>390</v>
      </c>
      <c r="AS634" s="5"/>
      <c r="AU634" s="5"/>
      <c r="AV634" s="17"/>
      <c r="AW634" s="17"/>
      <c r="AX634" s="5"/>
      <c r="AY634" s="5"/>
      <c r="AZ634" s="13"/>
      <c r="BA634" s="12"/>
      <c r="BB634" s="7"/>
      <c r="BC634" s="14"/>
      <c r="BD634" s="14"/>
      <c r="BF634" s="12"/>
      <c r="BG634" s="14"/>
      <c r="BH634" s="19"/>
      <c r="BI634" s="5"/>
      <c r="BM634" s="18"/>
      <c r="BN634" s="18"/>
      <c r="BO634" s="18"/>
      <c r="BP634" s="18"/>
      <c r="BQ634" s="5"/>
      <c r="BR634" s="18"/>
      <c r="BS634" s="18"/>
      <c r="BT634" s="35">
        <f t="shared" si="132"/>
        <v>-1</v>
      </c>
    </row>
    <row r="635" spans="1:72" x14ac:dyDescent="0.35">
      <c r="A635" s="5"/>
      <c r="B635" s="5"/>
      <c r="C635" s="5"/>
      <c r="D635" s="5"/>
      <c r="E635" s="5"/>
      <c r="F635" s="8"/>
      <c r="G635" s="8"/>
      <c r="H635" s="5"/>
      <c r="I635" s="5" t="e" cm="1">
        <f t="array" ref="I635">_xlfn.IFS(
  H635="Mahuva", "Mahuva",
  H635="Jesar", "Mahuva",
  H635="Palitana", "Palitana",
  H635="Gariyadhar", "Palitana",
  H635="Talaja", "Talaja",
  H635="Vallabhipur", "Vallabhipur",
  H635="Umrala", "Vallabhipur",
  H635="Shihor", "Shihor",
  H635="Ghogha", "Bhavnagar",
  H635="Bhavnagar", "Bhavnagar"
)</f>
        <v>#N/A</v>
      </c>
      <c r="J635" s="5"/>
      <c r="K635" s="5"/>
      <c r="M635" s="5"/>
      <c r="Q635" s="7">
        <f t="shared" si="121"/>
        <v>120</v>
      </c>
      <c r="S635" s="33"/>
      <c r="U635" s="10"/>
      <c r="V635" s="10" t="str">
        <f t="shared" si="122"/>
        <v>Equals</v>
      </c>
      <c r="W635" s="11" t="str" cm="1">
        <f t="array" ref="W635">NumberToWords(T635)</f>
        <v>Zero Rupees Only</v>
      </c>
      <c r="X635" s="10" t="str">
        <f t="shared" si="131"/>
        <v>Division</v>
      </c>
      <c r="Z635" s="9">
        <f t="shared" si="123"/>
        <v>0</v>
      </c>
      <c r="AB635" s="8">
        <f>_xlfn.XLOOKUP(AA635, 'Agency List'!A$2:A$145, 'Agency List'!B$2:B$145, "Not Found")</f>
        <v>0</v>
      </c>
      <c r="AC635" s="8">
        <f>_xlfn.XLOOKUP(AA635, 'Agency List'!A$2:A$145, 'Agency List'!C$2:C$145, "Not Found")</f>
        <v>0</v>
      </c>
      <c r="AD635" s="8">
        <f>_xlfn.XLOOKUP(AA635, 'Agency List'!A$2:A$145, 'Agency List'!D$2:D$145, "Not Found")</f>
        <v>0</v>
      </c>
      <c r="AE635" s="7"/>
      <c r="AF635" s="5"/>
      <c r="AG635" s="5" t="str">
        <f t="shared" si="124"/>
        <v>Bandhkam</v>
      </c>
      <c r="AH635" s="55"/>
      <c r="AI635" s="49"/>
      <c r="AJ635" s="20"/>
      <c r="AL635" s="16"/>
      <c r="AM635" s="12">
        <f t="shared" si="125"/>
        <v>0</v>
      </c>
      <c r="AN635" s="7">
        <f t="shared" si="126"/>
        <v>450</v>
      </c>
      <c r="AO635" s="12">
        <f t="shared" si="127"/>
        <v>0</v>
      </c>
      <c r="AP635" s="12">
        <f t="shared" si="128"/>
        <v>0</v>
      </c>
      <c r="AQ635" s="15">
        <f t="shared" si="129"/>
        <v>35</v>
      </c>
      <c r="AR635" s="7">
        <f t="shared" si="130"/>
        <v>390</v>
      </c>
      <c r="AS635" s="5"/>
      <c r="AU635" s="5"/>
      <c r="AV635" s="17"/>
      <c r="AW635" s="17"/>
      <c r="AX635" s="5"/>
      <c r="AY635" s="5"/>
      <c r="AZ635" s="13"/>
      <c r="BA635" s="12"/>
      <c r="BB635" s="7"/>
      <c r="BC635" s="14"/>
      <c r="BD635" s="14"/>
      <c r="BF635" s="12"/>
      <c r="BG635" s="14"/>
      <c r="BH635" s="19"/>
      <c r="BI635" s="5"/>
      <c r="BM635" s="18"/>
      <c r="BN635" s="18"/>
      <c r="BO635" s="18"/>
      <c r="BP635" s="18"/>
      <c r="BQ635" s="5"/>
      <c r="BR635" s="18"/>
      <c r="BS635" s="18"/>
      <c r="BT635" s="35">
        <f t="shared" si="132"/>
        <v>-1</v>
      </c>
    </row>
    <row r="636" spans="1:72" x14ac:dyDescent="0.35">
      <c r="A636" s="5"/>
      <c r="B636" s="5"/>
      <c r="C636" s="5"/>
      <c r="D636" s="5"/>
      <c r="E636" s="5"/>
      <c r="F636" s="8"/>
      <c r="G636" s="8"/>
      <c r="H636" s="5"/>
      <c r="I636" s="5" t="e" cm="1">
        <f t="array" ref="I636">_xlfn.IFS(
  H636="Mahuva", "Mahuva",
  H636="Jesar", "Mahuva",
  H636="Palitana", "Palitana",
  H636="Gariyadhar", "Palitana",
  H636="Talaja", "Talaja",
  H636="Vallabhipur", "Vallabhipur",
  H636="Umrala", "Vallabhipur",
  H636="Shihor", "Shihor",
  H636="Ghogha", "Bhavnagar",
  H636="Bhavnagar", "Bhavnagar"
)</f>
        <v>#N/A</v>
      </c>
      <c r="J636" s="5"/>
      <c r="K636" s="5"/>
      <c r="M636" s="5"/>
      <c r="Q636" s="7">
        <f t="shared" si="121"/>
        <v>120</v>
      </c>
      <c r="S636" s="33"/>
      <c r="U636" s="10"/>
      <c r="V636" s="10" t="str">
        <f t="shared" si="122"/>
        <v>Equals</v>
      </c>
      <c r="W636" s="11" t="str" cm="1">
        <f t="array" ref="W636">NumberToWords(T636)</f>
        <v>Zero Rupees Only</v>
      </c>
      <c r="X636" s="10" t="str">
        <f t="shared" si="131"/>
        <v>Division</v>
      </c>
      <c r="Z636" s="9">
        <f t="shared" si="123"/>
        <v>0</v>
      </c>
      <c r="AB636" s="8">
        <f>_xlfn.XLOOKUP(AA636, 'Agency List'!A$2:A$145, 'Agency List'!B$2:B$145, "Not Found")</f>
        <v>0</v>
      </c>
      <c r="AC636" s="8">
        <f>_xlfn.XLOOKUP(AA636, 'Agency List'!A$2:A$145, 'Agency List'!C$2:C$145, "Not Found")</f>
        <v>0</v>
      </c>
      <c r="AD636" s="8">
        <f>_xlfn.XLOOKUP(AA636, 'Agency List'!A$2:A$145, 'Agency List'!D$2:D$145, "Not Found")</f>
        <v>0</v>
      </c>
      <c r="AE636" s="7"/>
      <c r="AF636" s="5"/>
      <c r="AG636" s="5" t="str">
        <f t="shared" si="124"/>
        <v>Bandhkam</v>
      </c>
      <c r="AH636" s="55"/>
      <c r="AI636" s="49"/>
      <c r="AJ636" s="20"/>
      <c r="AL636" s="16"/>
      <c r="AM636" s="12">
        <f t="shared" si="125"/>
        <v>0</v>
      </c>
      <c r="AN636" s="7">
        <f t="shared" si="126"/>
        <v>450</v>
      </c>
      <c r="AO636" s="12">
        <f t="shared" si="127"/>
        <v>0</v>
      </c>
      <c r="AP636" s="12">
        <f t="shared" si="128"/>
        <v>0</v>
      </c>
      <c r="AQ636" s="15">
        <f t="shared" si="129"/>
        <v>35</v>
      </c>
      <c r="AR636" s="7">
        <f t="shared" si="130"/>
        <v>390</v>
      </c>
      <c r="AS636" s="5"/>
      <c r="AU636" s="5"/>
      <c r="AV636" s="17"/>
      <c r="AW636" s="17"/>
      <c r="AX636" s="5"/>
      <c r="AY636" s="5"/>
      <c r="AZ636" s="13"/>
      <c r="BA636" s="12"/>
      <c r="BB636" s="7"/>
      <c r="BC636" s="14"/>
      <c r="BD636" s="14"/>
      <c r="BF636" s="12"/>
      <c r="BG636" s="14"/>
      <c r="BH636" s="19"/>
      <c r="BI636" s="5"/>
      <c r="BM636" s="18"/>
      <c r="BN636" s="18"/>
      <c r="BO636" s="18"/>
      <c r="BP636" s="18"/>
      <c r="BQ636" s="5"/>
      <c r="BR636" s="18"/>
      <c r="BS636" s="18"/>
      <c r="BT636" s="35">
        <f t="shared" si="132"/>
        <v>-1</v>
      </c>
    </row>
    <row r="637" spans="1:72" x14ac:dyDescent="0.35">
      <c r="A637" s="5"/>
      <c r="B637" s="5"/>
      <c r="C637" s="5"/>
      <c r="D637" s="5"/>
      <c r="E637" s="5"/>
      <c r="F637" s="8"/>
      <c r="G637" s="8"/>
      <c r="H637" s="5"/>
      <c r="I637" s="5" t="e" cm="1">
        <f t="array" ref="I637">_xlfn.IFS(
  H637="Mahuva", "Mahuva",
  H637="Jesar", "Mahuva",
  H637="Palitana", "Palitana",
  H637="Gariyadhar", "Palitana",
  H637="Talaja", "Talaja",
  H637="Vallabhipur", "Vallabhipur",
  H637="Umrala", "Vallabhipur",
  H637="Shihor", "Shihor",
  H637="Ghogha", "Bhavnagar",
  H637="Bhavnagar", "Bhavnagar"
)</f>
        <v>#N/A</v>
      </c>
      <c r="J637" s="5"/>
      <c r="K637" s="5"/>
      <c r="M637" s="5"/>
      <c r="Q637" s="7">
        <f t="shared" si="121"/>
        <v>120</v>
      </c>
      <c r="S637" s="33"/>
      <c r="U637" s="10"/>
      <c r="V637" s="10" t="str">
        <f t="shared" si="122"/>
        <v>Equals</v>
      </c>
      <c r="W637" s="11" t="str" cm="1">
        <f t="array" ref="W637">NumberToWords(T637)</f>
        <v>Zero Rupees Only</v>
      </c>
      <c r="X637" s="10" t="str">
        <f t="shared" si="131"/>
        <v>Division</v>
      </c>
      <c r="Z637" s="9">
        <f t="shared" si="123"/>
        <v>0</v>
      </c>
      <c r="AB637" s="8">
        <f>_xlfn.XLOOKUP(AA637, 'Agency List'!A$2:A$145, 'Agency List'!B$2:B$145, "Not Found")</f>
        <v>0</v>
      </c>
      <c r="AC637" s="8">
        <f>_xlfn.XLOOKUP(AA637, 'Agency List'!A$2:A$145, 'Agency List'!C$2:C$145, "Not Found")</f>
        <v>0</v>
      </c>
      <c r="AD637" s="8">
        <f>_xlfn.XLOOKUP(AA637, 'Agency List'!A$2:A$145, 'Agency List'!D$2:D$145, "Not Found")</f>
        <v>0</v>
      </c>
      <c r="AE637" s="7"/>
      <c r="AF637" s="5"/>
      <c r="AG637" s="5" t="str">
        <f t="shared" si="124"/>
        <v>Bandhkam</v>
      </c>
      <c r="AH637" s="55"/>
      <c r="AI637" s="49"/>
      <c r="AJ637" s="20"/>
      <c r="AL637" s="16"/>
      <c r="AM637" s="12">
        <f t="shared" si="125"/>
        <v>0</v>
      </c>
      <c r="AN637" s="7">
        <f t="shared" si="126"/>
        <v>450</v>
      </c>
      <c r="AO637" s="12">
        <f t="shared" si="127"/>
        <v>0</v>
      </c>
      <c r="AP637" s="12">
        <f t="shared" si="128"/>
        <v>0</v>
      </c>
      <c r="AQ637" s="15">
        <f t="shared" si="129"/>
        <v>35</v>
      </c>
      <c r="AR637" s="7">
        <f t="shared" si="130"/>
        <v>390</v>
      </c>
      <c r="AS637" s="5"/>
      <c r="AU637" s="5"/>
      <c r="AV637" s="17"/>
      <c r="AW637" s="17"/>
      <c r="AX637" s="5"/>
      <c r="AY637" s="5"/>
      <c r="AZ637" s="13"/>
      <c r="BA637" s="12"/>
      <c r="BB637" s="7"/>
      <c r="BC637" s="14"/>
      <c r="BD637" s="14"/>
      <c r="BF637" s="12"/>
      <c r="BG637" s="14"/>
      <c r="BH637" s="19"/>
      <c r="BI637" s="5"/>
      <c r="BM637" s="18"/>
      <c r="BN637" s="18"/>
      <c r="BO637" s="18"/>
      <c r="BP637" s="18"/>
      <c r="BQ637" s="5"/>
      <c r="BR637" s="18"/>
      <c r="BS637" s="18"/>
      <c r="BT637" s="35">
        <f t="shared" si="132"/>
        <v>-1</v>
      </c>
    </row>
    <row r="638" spans="1:72" x14ac:dyDescent="0.35">
      <c r="A638" s="5"/>
      <c r="B638" s="5"/>
      <c r="C638" s="5"/>
      <c r="D638" s="5"/>
      <c r="E638" s="5"/>
      <c r="F638" s="8"/>
      <c r="G638" s="8"/>
      <c r="H638" s="5"/>
      <c r="I638" s="5" t="e" cm="1">
        <f t="array" ref="I638">_xlfn.IFS(
  H638="Mahuva", "Mahuva",
  H638="Jesar", "Mahuva",
  H638="Palitana", "Palitana",
  H638="Gariyadhar", "Palitana",
  H638="Talaja", "Talaja",
  H638="Vallabhipur", "Vallabhipur",
  H638="Umrala", "Vallabhipur",
  H638="Shihor", "Shihor",
  H638="Ghogha", "Bhavnagar",
  H638="Bhavnagar", "Bhavnagar"
)</f>
        <v>#N/A</v>
      </c>
      <c r="J638" s="5"/>
      <c r="K638" s="5"/>
      <c r="M638" s="5"/>
      <c r="Q638" s="7">
        <f t="shared" si="121"/>
        <v>120</v>
      </c>
      <c r="S638" s="33"/>
      <c r="U638" s="10"/>
      <c r="V638" s="10" t="str">
        <f t="shared" si="122"/>
        <v>Equals</v>
      </c>
      <c r="W638" s="11" t="str" cm="1">
        <f t="array" ref="W638">NumberToWords(T638)</f>
        <v>Zero Rupees Only</v>
      </c>
      <c r="X638" s="10" t="str">
        <f t="shared" si="131"/>
        <v>Division</v>
      </c>
      <c r="Z638" s="9">
        <f t="shared" si="123"/>
        <v>0</v>
      </c>
      <c r="AB638" s="8">
        <f>_xlfn.XLOOKUP(AA638, 'Agency List'!A$2:A$145, 'Agency List'!B$2:B$145, "Not Found")</f>
        <v>0</v>
      </c>
      <c r="AC638" s="8">
        <f>_xlfn.XLOOKUP(AA638, 'Agency List'!A$2:A$145, 'Agency List'!C$2:C$145, "Not Found")</f>
        <v>0</v>
      </c>
      <c r="AD638" s="8">
        <f>_xlfn.XLOOKUP(AA638, 'Agency List'!A$2:A$145, 'Agency List'!D$2:D$145, "Not Found")</f>
        <v>0</v>
      </c>
      <c r="AE638" s="7"/>
      <c r="AF638" s="5"/>
      <c r="AG638" s="5" t="str">
        <f t="shared" si="124"/>
        <v>Bandhkam</v>
      </c>
      <c r="AH638" s="55"/>
      <c r="AI638" s="49"/>
      <c r="AJ638" s="20"/>
      <c r="AL638" s="16"/>
      <c r="AM638" s="12">
        <f t="shared" si="125"/>
        <v>0</v>
      </c>
      <c r="AN638" s="7">
        <f t="shared" si="126"/>
        <v>450</v>
      </c>
      <c r="AO638" s="12">
        <f t="shared" si="127"/>
        <v>0</v>
      </c>
      <c r="AP638" s="12">
        <f t="shared" si="128"/>
        <v>0</v>
      </c>
      <c r="AQ638" s="15">
        <f t="shared" si="129"/>
        <v>35</v>
      </c>
      <c r="AR638" s="7">
        <f t="shared" si="130"/>
        <v>390</v>
      </c>
      <c r="AS638" s="5"/>
      <c r="AU638" s="5"/>
      <c r="AV638" s="17"/>
      <c r="AW638" s="17"/>
      <c r="AX638" s="5"/>
      <c r="AY638" s="5"/>
      <c r="AZ638" s="13"/>
      <c r="BA638" s="12"/>
      <c r="BB638" s="7"/>
      <c r="BC638" s="14"/>
      <c r="BD638" s="14"/>
      <c r="BF638" s="12"/>
      <c r="BG638" s="14"/>
      <c r="BH638" s="19"/>
      <c r="BI638" s="5"/>
      <c r="BM638" s="18"/>
      <c r="BN638" s="18"/>
      <c r="BO638" s="18"/>
      <c r="BP638" s="18"/>
      <c r="BQ638" s="5"/>
      <c r="BR638" s="18"/>
      <c r="BS638" s="18"/>
      <c r="BT638" s="35">
        <f t="shared" si="132"/>
        <v>-1</v>
      </c>
    </row>
    <row r="639" spans="1:72" x14ac:dyDescent="0.35">
      <c r="A639" s="5"/>
      <c r="B639" s="5"/>
      <c r="C639" s="5"/>
      <c r="D639" s="5"/>
      <c r="E639" s="5"/>
      <c r="F639" s="8"/>
      <c r="G639" s="8"/>
      <c r="H639" s="5"/>
      <c r="I639" s="5" t="e" cm="1">
        <f t="array" ref="I639">_xlfn.IFS(
  H639="Mahuva", "Mahuva",
  H639="Jesar", "Mahuva",
  H639="Palitana", "Palitana",
  H639="Gariyadhar", "Palitana",
  H639="Talaja", "Talaja",
  H639="Vallabhipur", "Vallabhipur",
  H639="Umrala", "Vallabhipur",
  H639="Shihor", "Shihor",
  H639="Ghogha", "Bhavnagar",
  H639="Bhavnagar", "Bhavnagar"
)</f>
        <v>#N/A</v>
      </c>
      <c r="J639" s="5"/>
      <c r="K639" s="5"/>
      <c r="M639" s="5"/>
      <c r="Q639" s="7">
        <f t="shared" si="121"/>
        <v>120</v>
      </c>
      <c r="S639" s="33"/>
      <c r="U639" s="10"/>
      <c r="V639" s="10" t="str">
        <f t="shared" si="122"/>
        <v>Equals</v>
      </c>
      <c r="W639" s="11" t="str" cm="1">
        <f t="array" ref="W639">NumberToWords(T639)</f>
        <v>Zero Rupees Only</v>
      </c>
      <c r="X639" s="10" t="str">
        <f t="shared" si="131"/>
        <v>Division</v>
      </c>
      <c r="Z639" s="9">
        <f t="shared" si="123"/>
        <v>0</v>
      </c>
      <c r="AB639" s="8">
        <f>_xlfn.XLOOKUP(AA639, 'Agency List'!A$2:A$145, 'Agency List'!B$2:B$145, "Not Found")</f>
        <v>0</v>
      </c>
      <c r="AC639" s="8">
        <f>_xlfn.XLOOKUP(AA639, 'Agency List'!A$2:A$145, 'Agency List'!C$2:C$145, "Not Found")</f>
        <v>0</v>
      </c>
      <c r="AD639" s="8">
        <f>_xlfn.XLOOKUP(AA639, 'Agency List'!A$2:A$145, 'Agency List'!D$2:D$145, "Not Found")</f>
        <v>0</v>
      </c>
      <c r="AE639" s="7"/>
      <c r="AF639" s="5"/>
      <c r="AG639" s="5" t="str">
        <f t="shared" si="124"/>
        <v>Bandhkam</v>
      </c>
      <c r="AH639" s="55"/>
      <c r="AI639" s="49"/>
      <c r="AJ639" s="20"/>
      <c r="AL639" s="16"/>
      <c r="AM639" s="12">
        <f t="shared" si="125"/>
        <v>0</v>
      </c>
      <c r="AN639" s="7">
        <f t="shared" si="126"/>
        <v>450</v>
      </c>
      <c r="AO639" s="12">
        <f t="shared" si="127"/>
        <v>0</v>
      </c>
      <c r="AP639" s="12">
        <f t="shared" si="128"/>
        <v>0</v>
      </c>
      <c r="AQ639" s="15">
        <f t="shared" si="129"/>
        <v>35</v>
      </c>
      <c r="AR639" s="7">
        <f t="shared" si="130"/>
        <v>390</v>
      </c>
      <c r="AS639" s="5"/>
      <c r="AU639" s="5"/>
      <c r="AV639" s="17"/>
      <c r="AW639" s="17"/>
      <c r="AX639" s="5"/>
      <c r="AY639" s="5"/>
      <c r="AZ639" s="13"/>
      <c r="BA639" s="12"/>
      <c r="BB639" s="7"/>
      <c r="BC639" s="14"/>
      <c r="BD639" s="14"/>
      <c r="BF639" s="12"/>
      <c r="BG639" s="14"/>
      <c r="BH639" s="19"/>
      <c r="BI639" s="5"/>
      <c r="BM639" s="18"/>
      <c r="BN639" s="18"/>
      <c r="BO639" s="18"/>
      <c r="BP639" s="18"/>
      <c r="BQ639" s="5"/>
      <c r="BR639" s="18"/>
      <c r="BS639" s="18"/>
      <c r="BT639" s="35">
        <f t="shared" ref="BT639:BT656" si="133">EDATE(BH639,AL639)-1</f>
        <v>-1</v>
      </c>
    </row>
    <row r="640" spans="1:72" x14ac:dyDescent="0.35">
      <c r="A640" s="5"/>
      <c r="B640" s="5"/>
      <c r="C640" s="5"/>
      <c r="D640" s="5"/>
      <c r="E640" s="5"/>
      <c r="F640" s="8"/>
      <c r="G640" s="8"/>
      <c r="H640" s="5"/>
      <c r="I640" s="5" t="e" cm="1">
        <f t="array" ref="I640">_xlfn.IFS(
  H640="Mahuva", "Mahuva",
  H640="Jesar", "Mahuva",
  H640="Palitana", "Palitana",
  H640="Gariyadhar", "Palitana",
  H640="Talaja", "Talaja",
  H640="Vallabhipur", "Vallabhipur",
  H640="Umrala", "Vallabhipur",
  H640="Shihor", "Shihor",
  H640="Ghogha", "Bhavnagar",
  H640="Bhavnagar", "Bhavnagar"
)</f>
        <v>#N/A</v>
      </c>
      <c r="J640" s="5"/>
      <c r="K640" s="5"/>
      <c r="M640" s="5"/>
      <c r="Q640" s="7">
        <f t="shared" si="121"/>
        <v>120</v>
      </c>
      <c r="S640" s="33"/>
      <c r="U640" s="10"/>
      <c r="V640" s="10" t="str">
        <f t="shared" si="122"/>
        <v>Equals</v>
      </c>
      <c r="W640" s="11" t="str" cm="1">
        <f t="array" ref="W640">NumberToWords(T640)</f>
        <v>Zero Rupees Only</v>
      </c>
      <c r="X640" s="10" t="str">
        <f t="shared" si="131"/>
        <v>Division</v>
      </c>
      <c r="Z640" s="9">
        <f t="shared" si="123"/>
        <v>0</v>
      </c>
      <c r="AB640" s="8">
        <f>_xlfn.XLOOKUP(AA640, 'Agency List'!A$2:A$145, 'Agency List'!B$2:B$145, "Not Found")</f>
        <v>0</v>
      </c>
      <c r="AC640" s="8">
        <f>_xlfn.XLOOKUP(AA640, 'Agency List'!A$2:A$145, 'Agency List'!C$2:C$145, "Not Found")</f>
        <v>0</v>
      </c>
      <c r="AD640" s="8">
        <f>_xlfn.XLOOKUP(AA640, 'Agency List'!A$2:A$145, 'Agency List'!D$2:D$145, "Not Found")</f>
        <v>0</v>
      </c>
      <c r="AE640" s="7"/>
      <c r="AF640" s="5"/>
      <c r="AG640" s="5" t="str">
        <f t="shared" si="124"/>
        <v>Bandhkam</v>
      </c>
      <c r="AH640" s="55"/>
      <c r="AI640" s="49"/>
      <c r="AJ640" s="20"/>
      <c r="AL640" s="16"/>
      <c r="AM640" s="12">
        <f t="shared" si="125"/>
        <v>0</v>
      </c>
      <c r="AN640" s="7">
        <f t="shared" si="126"/>
        <v>450</v>
      </c>
      <c r="AO640" s="12">
        <f t="shared" si="127"/>
        <v>0</v>
      </c>
      <c r="AP640" s="12">
        <f t="shared" si="128"/>
        <v>0</v>
      </c>
      <c r="AQ640" s="15">
        <f t="shared" si="129"/>
        <v>35</v>
      </c>
      <c r="AR640" s="7">
        <f t="shared" si="130"/>
        <v>390</v>
      </c>
      <c r="AS640" s="5"/>
      <c r="AU640" s="5"/>
      <c r="AV640" s="17"/>
      <c r="AW640" s="17"/>
      <c r="AX640" s="5"/>
      <c r="AY640" s="5"/>
      <c r="AZ640" s="13"/>
      <c r="BA640" s="12"/>
      <c r="BB640" s="7"/>
      <c r="BC640" s="14"/>
      <c r="BD640" s="14"/>
      <c r="BF640" s="12"/>
      <c r="BG640" s="14"/>
      <c r="BH640" s="19"/>
      <c r="BI640" s="5"/>
      <c r="BM640" s="18"/>
      <c r="BN640" s="18"/>
      <c r="BO640" s="18"/>
      <c r="BP640" s="18"/>
      <c r="BQ640" s="5"/>
      <c r="BR640" s="18"/>
      <c r="BS640" s="18"/>
      <c r="BT640" s="35">
        <f t="shared" si="133"/>
        <v>-1</v>
      </c>
    </row>
    <row r="641" spans="1:72" x14ac:dyDescent="0.35">
      <c r="A641" s="5"/>
      <c r="B641" s="5"/>
      <c r="C641" s="5"/>
      <c r="D641" s="5"/>
      <c r="E641" s="5"/>
      <c r="F641" s="8"/>
      <c r="G641" s="8"/>
      <c r="H641" s="5"/>
      <c r="I641" s="5" t="e" cm="1">
        <f t="array" ref="I641">_xlfn.IFS(
  H641="Mahuva", "Mahuva",
  H641="Jesar", "Mahuva",
  H641="Palitana", "Palitana",
  H641="Gariyadhar", "Palitana",
  H641="Talaja", "Talaja",
  H641="Vallabhipur", "Vallabhipur",
  H641="Umrala", "Vallabhipur",
  H641="Shihor", "Shihor",
  H641="Ghogha", "Bhavnagar",
  H641="Bhavnagar", "Bhavnagar"
)</f>
        <v>#N/A</v>
      </c>
      <c r="J641" s="5"/>
      <c r="K641" s="5"/>
      <c r="M641" s="5"/>
      <c r="Q641" s="7">
        <f t="shared" si="121"/>
        <v>120</v>
      </c>
      <c r="S641" s="33"/>
      <c r="U641" s="10"/>
      <c r="V641" s="10" t="str">
        <f t="shared" si="122"/>
        <v>Equals</v>
      </c>
      <c r="W641" s="11" t="str" cm="1">
        <f t="array" ref="W641">NumberToWords(T641)</f>
        <v>Zero Rupees Only</v>
      </c>
      <c r="X641" s="10" t="str">
        <f t="shared" si="131"/>
        <v>Division</v>
      </c>
      <c r="Z641" s="9">
        <f t="shared" si="123"/>
        <v>0</v>
      </c>
      <c r="AB641" s="8">
        <f>_xlfn.XLOOKUP(AA641, 'Agency List'!A$2:A$145, 'Agency List'!B$2:B$145, "Not Found")</f>
        <v>0</v>
      </c>
      <c r="AC641" s="8">
        <f>_xlfn.XLOOKUP(AA641, 'Agency List'!A$2:A$145, 'Agency List'!C$2:C$145, "Not Found")</f>
        <v>0</v>
      </c>
      <c r="AD641" s="8">
        <f>_xlfn.XLOOKUP(AA641, 'Agency List'!A$2:A$145, 'Agency List'!D$2:D$145, "Not Found")</f>
        <v>0</v>
      </c>
      <c r="AE641" s="7"/>
      <c r="AF641" s="5"/>
      <c r="AG641" s="5" t="str">
        <f t="shared" si="124"/>
        <v>Bandhkam</v>
      </c>
      <c r="AH641" s="55"/>
      <c r="AI641" s="49"/>
      <c r="AJ641" s="20"/>
      <c r="AL641" s="16"/>
      <c r="AM641" s="12">
        <f t="shared" si="125"/>
        <v>0</v>
      </c>
      <c r="AN641" s="7">
        <f t="shared" si="126"/>
        <v>450</v>
      </c>
      <c r="AO641" s="12">
        <f t="shared" si="127"/>
        <v>0</v>
      </c>
      <c r="AP641" s="12">
        <f t="shared" si="128"/>
        <v>0</v>
      </c>
      <c r="AQ641" s="15">
        <f t="shared" si="129"/>
        <v>35</v>
      </c>
      <c r="AR641" s="7">
        <f t="shared" si="130"/>
        <v>390</v>
      </c>
      <c r="AS641" s="5"/>
      <c r="AU641" s="5"/>
      <c r="AV641" s="17"/>
      <c r="AW641" s="17"/>
      <c r="AX641" s="5"/>
      <c r="AY641" s="5"/>
      <c r="AZ641" s="13"/>
      <c r="BA641" s="12"/>
      <c r="BB641" s="7"/>
      <c r="BC641" s="14"/>
      <c r="BD641" s="14"/>
      <c r="BF641" s="12"/>
      <c r="BG641" s="14"/>
      <c r="BH641" s="19"/>
      <c r="BI641" s="5"/>
      <c r="BM641" s="18"/>
      <c r="BN641" s="18"/>
      <c r="BO641" s="18"/>
      <c r="BP641" s="18"/>
      <c r="BQ641" s="5"/>
      <c r="BR641" s="18"/>
      <c r="BS641" s="18"/>
      <c r="BT641" s="35">
        <f t="shared" si="133"/>
        <v>-1</v>
      </c>
    </row>
    <row r="642" spans="1:72" x14ac:dyDescent="0.35">
      <c r="A642" s="5"/>
      <c r="B642" s="5"/>
      <c r="C642" s="5"/>
      <c r="D642" s="5"/>
      <c r="E642" s="5"/>
      <c r="F642" s="8"/>
      <c r="G642" s="8"/>
      <c r="H642" s="5"/>
      <c r="I642" s="5" t="e" cm="1">
        <f t="array" ref="I642">_xlfn.IFS(
  H642="Mahuva", "Mahuva",
  H642="Jesar", "Mahuva",
  H642="Palitana", "Palitana",
  H642="Gariyadhar", "Palitana",
  H642="Talaja", "Talaja",
  H642="Vallabhipur", "Vallabhipur",
  H642="Umrala", "Vallabhipur",
  H642="Shihor", "Shihor",
  H642="Ghogha", "Bhavnagar",
  H642="Bhavnagar", "Bhavnagar"
)</f>
        <v>#N/A</v>
      </c>
      <c r="J642" s="5"/>
      <c r="K642" s="5"/>
      <c r="M642" s="5"/>
      <c r="Q642" s="7">
        <f t="shared" ref="Q642:Q657" si="134">O642+120</f>
        <v>120</v>
      </c>
      <c r="S642" s="33"/>
      <c r="U642" s="10"/>
      <c r="V642" s="10" t="str">
        <f t="shared" ref="V642:V657" si="135">IF(U642&lt;0,"Below",IF(U642&gt;0,"Above","Equals"))</f>
        <v>Equals</v>
      </c>
      <c r="W642" s="11" t="str" cm="1">
        <f t="array" ref="W642">NumberToWords(T642)</f>
        <v>Zero Rupees Only</v>
      </c>
      <c r="X642" s="10" t="str">
        <f t="shared" si="131"/>
        <v>Division</v>
      </c>
      <c r="Z642" s="9">
        <f t="shared" ref="Z642:Z657" si="136">T642+Y642</f>
        <v>0</v>
      </c>
      <c r="AB642" s="8">
        <f>_xlfn.XLOOKUP(AA642, 'Agency List'!A$2:A$145, 'Agency List'!B$2:B$145, "Not Found")</f>
        <v>0</v>
      </c>
      <c r="AC642" s="8">
        <f>_xlfn.XLOOKUP(AA642, 'Agency List'!A$2:A$145, 'Agency List'!C$2:C$145, "Not Found")</f>
        <v>0</v>
      </c>
      <c r="AD642" s="8">
        <f>_xlfn.XLOOKUP(AA642, 'Agency List'!A$2:A$145, 'Agency List'!D$2:D$145, "Not Found")</f>
        <v>0</v>
      </c>
      <c r="AE642" s="7"/>
      <c r="AF642" s="5"/>
      <c r="AG642" s="5" t="str">
        <f t="shared" ref="AG642:AG657" si="137">IF(AND(
   AF642&lt;&gt;"5054 MMGSY NORMAL",
   AF642&lt;&gt;"3054 MMGSY NORMAL",
   AF642&lt;&gt;"5054 MMGSY SCSP",
   AF642&lt;&gt;"5054 Suvidhapath"
),
   IF(T642&gt;2500000,"Karobari","Bandhkam"),
   "NA"
)</f>
        <v>Bandhkam</v>
      </c>
      <c r="AH642" s="55"/>
      <c r="AI642" s="49"/>
      <c r="AJ642" s="20"/>
      <c r="AL642" s="16"/>
      <c r="AM642" s="12">
        <f t="shared" ref="AM642:AM657" si="138">CEILING(T642*5/100, 1000)</f>
        <v>0</v>
      </c>
      <c r="AN642" s="7">
        <f t="shared" ref="AN642:AN657" si="139">AR642+60</f>
        <v>450</v>
      </c>
      <c r="AO642" s="12">
        <f t="shared" ref="AO642:AO657" si="140">CEILING(((AM642+AP642)*4.9/100),100)</f>
        <v>0</v>
      </c>
      <c r="AP642" s="12">
        <f t="shared" ref="AP642:AP657" si="141">IF(U642&lt;-20,(CEILING(((R642*90/100)-T642)*30/100, 1000)),IF(U642&lt;-10,(CEILING(((R642*90/100)-T642)*20/100, 1000)),0))</f>
        <v>0</v>
      </c>
      <c r="AQ642" s="15">
        <f t="shared" ref="AQ642:AQ657" si="142">BH642+AL642*30+35</f>
        <v>35</v>
      </c>
      <c r="AR642" s="7">
        <f t="shared" ref="AR642:AR657" si="143" xml:space="preserve">   IF(R642&gt;10000000,
      BH642 + AL642*30 + 36*30 + 30,
      BH642 + AL642*30 + 12*30 + 30
   )</f>
        <v>390</v>
      </c>
      <c r="AS642" s="5"/>
      <c r="AU642" s="5"/>
      <c r="AV642" s="17"/>
      <c r="AW642" s="17"/>
      <c r="AX642" s="5"/>
      <c r="AY642" s="5"/>
      <c r="AZ642" s="13"/>
      <c r="BA642" s="12"/>
      <c r="BB642" s="7"/>
      <c r="BC642" s="14"/>
      <c r="BD642" s="14"/>
      <c r="BF642" s="12"/>
      <c r="BG642" s="14"/>
      <c r="BH642" s="19"/>
      <c r="BI642" s="5"/>
      <c r="BM642" s="18"/>
      <c r="BN642" s="18"/>
      <c r="BO642" s="18"/>
      <c r="BP642" s="18"/>
      <c r="BQ642" s="5"/>
      <c r="BR642" s="18"/>
      <c r="BS642" s="18"/>
      <c r="BT642" s="35">
        <f t="shared" si="133"/>
        <v>-1</v>
      </c>
    </row>
    <row r="643" spans="1:72" x14ac:dyDescent="0.35">
      <c r="A643" s="5"/>
      <c r="B643" s="5"/>
      <c r="C643" s="5"/>
      <c r="D643" s="5"/>
      <c r="E643" s="5"/>
      <c r="F643" s="8"/>
      <c r="G643" s="8"/>
      <c r="H643" s="5"/>
      <c r="I643" s="5" t="e" cm="1">
        <f t="array" ref="I643">_xlfn.IFS(
  H643="Mahuva", "Mahuva",
  H643="Jesar", "Mahuva",
  H643="Palitana", "Palitana",
  H643="Gariyadhar", "Palitana",
  H643="Talaja", "Talaja",
  H643="Vallabhipur", "Vallabhipur",
  H643="Umrala", "Vallabhipur",
  H643="Shihor", "Shihor",
  H643="Ghogha", "Bhavnagar",
  H643="Bhavnagar", "Bhavnagar"
)</f>
        <v>#N/A</v>
      </c>
      <c r="J643" s="5"/>
      <c r="K643" s="5"/>
      <c r="M643" s="5"/>
      <c r="Q643" s="7">
        <f t="shared" si="134"/>
        <v>120</v>
      </c>
      <c r="S643" s="33"/>
      <c r="U643" s="10"/>
      <c r="V643" s="10" t="str">
        <f t="shared" si="135"/>
        <v>Equals</v>
      </c>
      <c r="W643" s="11" t="str" cm="1">
        <f t="array" ref="W643">NumberToWords(T643)</f>
        <v>Zero Rupees Only</v>
      </c>
      <c r="X643" s="10" t="str">
        <f t="shared" si="131"/>
        <v>Division</v>
      </c>
      <c r="Z643" s="9">
        <f t="shared" si="136"/>
        <v>0</v>
      </c>
      <c r="AB643" s="8">
        <f>_xlfn.XLOOKUP(AA643, 'Agency List'!A$2:A$145, 'Agency List'!B$2:B$145, "Not Found")</f>
        <v>0</v>
      </c>
      <c r="AC643" s="8">
        <f>_xlfn.XLOOKUP(AA643, 'Agency List'!A$2:A$145, 'Agency List'!C$2:C$145, "Not Found")</f>
        <v>0</v>
      </c>
      <c r="AD643" s="8">
        <f>_xlfn.XLOOKUP(AA643, 'Agency List'!A$2:A$145, 'Agency List'!D$2:D$145, "Not Found")</f>
        <v>0</v>
      </c>
      <c r="AE643" s="7"/>
      <c r="AF643" s="5"/>
      <c r="AG643" s="5" t="str">
        <f t="shared" si="137"/>
        <v>Bandhkam</v>
      </c>
      <c r="AH643" s="55"/>
      <c r="AI643" s="49"/>
      <c r="AJ643" s="20"/>
      <c r="AL643" s="16"/>
      <c r="AM643" s="12">
        <f t="shared" si="138"/>
        <v>0</v>
      </c>
      <c r="AN643" s="7">
        <f t="shared" si="139"/>
        <v>450</v>
      </c>
      <c r="AO643" s="12">
        <f t="shared" si="140"/>
        <v>0</v>
      </c>
      <c r="AP643" s="12">
        <f t="shared" si="141"/>
        <v>0</v>
      </c>
      <c r="AQ643" s="15">
        <f t="shared" si="142"/>
        <v>35</v>
      </c>
      <c r="AR643" s="7">
        <f t="shared" si="143"/>
        <v>390</v>
      </c>
      <c r="AS643" s="5"/>
      <c r="AU643" s="5"/>
      <c r="AV643" s="17"/>
      <c r="AW643" s="17"/>
      <c r="AX643" s="5"/>
      <c r="AY643" s="5"/>
      <c r="AZ643" s="13"/>
      <c r="BA643" s="12"/>
      <c r="BB643" s="7"/>
      <c r="BC643" s="14"/>
      <c r="BD643" s="14"/>
      <c r="BF643" s="12"/>
      <c r="BG643" s="14"/>
      <c r="BH643" s="19"/>
      <c r="BI643" s="5"/>
      <c r="BM643" s="18"/>
      <c r="BN643" s="18"/>
      <c r="BO643" s="18"/>
      <c r="BP643" s="18"/>
      <c r="BQ643" s="5"/>
      <c r="BR643" s="18"/>
      <c r="BS643" s="18"/>
      <c r="BT643" s="35">
        <f t="shared" si="133"/>
        <v>-1</v>
      </c>
    </row>
    <row r="644" spans="1:72" x14ac:dyDescent="0.35">
      <c r="A644" s="5"/>
      <c r="B644" s="5"/>
      <c r="C644" s="5"/>
      <c r="D644" s="5"/>
      <c r="E644" s="5"/>
      <c r="F644" s="8"/>
      <c r="G644" s="8"/>
      <c r="H644" s="5"/>
      <c r="I644" s="5" t="e" cm="1">
        <f t="array" ref="I644">_xlfn.IFS(
  H644="Mahuva", "Mahuva",
  H644="Jesar", "Mahuva",
  H644="Palitana", "Palitana",
  H644="Gariyadhar", "Palitana",
  H644="Talaja", "Talaja",
  H644="Vallabhipur", "Vallabhipur",
  H644="Umrala", "Vallabhipur",
  H644="Shihor", "Shihor",
  H644="Ghogha", "Bhavnagar",
  H644="Bhavnagar", "Bhavnagar"
)</f>
        <v>#N/A</v>
      </c>
      <c r="J644" s="5"/>
      <c r="K644" s="5"/>
      <c r="M644" s="5"/>
      <c r="Q644" s="7">
        <f t="shared" si="134"/>
        <v>120</v>
      </c>
      <c r="S644" s="33"/>
      <c r="U644" s="10"/>
      <c r="V644" s="10" t="str">
        <f t="shared" si="135"/>
        <v>Equals</v>
      </c>
      <c r="W644" s="11" t="str" cm="1">
        <f t="array" ref="W644">NumberToWords(T644)</f>
        <v>Zero Rupees Only</v>
      </c>
      <c r="X644" s="10" t="str">
        <f t="shared" si="131"/>
        <v>Division</v>
      </c>
      <c r="Z644" s="9">
        <f t="shared" si="136"/>
        <v>0</v>
      </c>
      <c r="AB644" s="8">
        <f>_xlfn.XLOOKUP(AA644, 'Agency List'!A$2:A$145, 'Agency List'!B$2:B$145, "Not Found")</f>
        <v>0</v>
      </c>
      <c r="AC644" s="8">
        <f>_xlfn.XLOOKUP(AA644, 'Agency List'!A$2:A$145, 'Agency List'!C$2:C$145, "Not Found")</f>
        <v>0</v>
      </c>
      <c r="AD644" s="8">
        <f>_xlfn.XLOOKUP(AA644, 'Agency List'!A$2:A$145, 'Agency List'!D$2:D$145, "Not Found")</f>
        <v>0</v>
      </c>
      <c r="AE644" s="7"/>
      <c r="AF644" s="5"/>
      <c r="AG644" s="5" t="str">
        <f t="shared" si="137"/>
        <v>Bandhkam</v>
      </c>
      <c r="AH644" s="55"/>
      <c r="AI644" s="49"/>
      <c r="AJ644" s="20"/>
      <c r="AL644" s="16"/>
      <c r="AM644" s="12">
        <f t="shared" si="138"/>
        <v>0</v>
      </c>
      <c r="AN644" s="7">
        <f t="shared" si="139"/>
        <v>450</v>
      </c>
      <c r="AO644" s="12">
        <f t="shared" si="140"/>
        <v>0</v>
      </c>
      <c r="AP644" s="12">
        <f t="shared" si="141"/>
        <v>0</v>
      </c>
      <c r="AQ644" s="15">
        <f t="shared" si="142"/>
        <v>35</v>
      </c>
      <c r="AR644" s="7">
        <f t="shared" si="143"/>
        <v>390</v>
      </c>
      <c r="AS644" s="5"/>
      <c r="AU644" s="5"/>
      <c r="AV644" s="17"/>
      <c r="AW644" s="17"/>
      <c r="AX644" s="5"/>
      <c r="AY644" s="5"/>
      <c r="AZ644" s="13"/>
      <c r="BA644" s="12"/>
      <c r="BB644" s="7"/>
      <c r="BC644" s="14"/>
      <c r="BD644" s="14"/>
      <c r="BF644" s="12"/>
      <c r="BG644" s="14"/>
      <c r="BH644" s="19"/>
      <c r="BI644" s="5"/>
      <c r="BM644" s="18"/>
      <c r="BN644" s="18"/>
      <c r="BO644" s="18"/>
      <c r="BP644" s="18"/>
      <c r="BQ644" s="5"/>
      <c r="BR644" s="18"/>
      <c r="BS644" s="18"/>
      <c r="BT644" s="35">
        <f t="shared" si="133"/>
        <v>-1</v>
      </c>
    </row>
    <row r="645" spans="1:72" x14ac:dyDescent="0.35">
      <c r="A645" s="5"/>
      <c r="B645" s="5"/>
      <c r="C645" s="5"/>
      <c r="D645" s="5"/>
      <c r="E645" s="5"/>
      <c r="F645" s="8"/>
      <c r="G645" s="8"/>
      <c r="H645" s="5"/>
      <c r="I645" s="5" t="e" cm="1">
        <f t="array" ref="I645">_xlfn.IFS(
  H645="Mahuva", "Mahuva",
  H645="Jesar", "Mahuva",
  H645="Palitana", "Palitana",
  H645="Gariyadhar", "Palitana",
  H645="Talaja", "Talaja",
  H645="Vallabhipur", "Vallabhipur",
  H645="Umrala", "Vallabhipur",
  H645="Shihor", "Shihor",
  H645="Ghogha", "Bhavnagar",
  H645="Bhavnagar", "Bhavnagar"
)</f>
        <v>#N/A</v>
      </c>
      <c r="J645" s="5"/>
      <c r="K645" s="5"/>
      <c r="M645" s="5"/>
      <c r="Q645" s="7">
        <f t="shared" si="134"/>
        <v>120</v>
      </c>
      <c r="S645" s="33"/>
      <c r="U645" s="10"/>
      <c r="V645" s="10" t="str">
        <f t="shared" si="135"/>
        <v>Equals</v>
      </c>
      <c r="W645" s="11" t="str" cm="1">
        <f t="array" ref="W645">NumberToWords(T645)</f>
        <v>Zero Rupees Only</v>
      </c>
      <c r="X645" s="10" t="str">
        <f t="shared" si="131"/>
        <v>Division</v>
      </c>
      <c r="Z645" s="9">
        <f t="shared" si="136"/>
        <v>0</v>
      </c>
      <c r="AB645" s="8">
        <f>_xlfn.XLOOKUP(AA645, 'Agency List'!A$2:A$145, 'Agency List'!B$2:B$145, "Not Found")</f>
        <v>0</v>
      </c>
      <c r="AC645" s="8">
        <f>_xlfn.XLOOKUP(AA645, 'Agency List'!A$2:A$145, 'Agency List'!C$2:C$145, "Not Found")</f>
        <v>0</v>
      </c>
      <c r="AD645" s="8">
        <f>_xlfn.XLOOKUP(AA645, 'Agency List'!A$2:A$145, 'Agency List'!D$2:D$145, "Not Found")</f>
        <v>0</v>
      </c>
      <c r="AE645" s="7"/>
      <c r="AF645" s="5"/>
      <c r="AG645" s="5" t="str">
        <f t="shared" si="137"/>
        <v>Bandhkam</v>
      </c>
      <c r="AH645" s="55"/>
      <c r="AI645" s="49"/>
      <c r="AJ645" s="20"/>
      <c r="AL645" s="16"/>
      <c r="AM645" s="12">
        <f t="shared" si="138"/>
        <v>0</v>
      </c>
      <c r="AN645" s="7">
        <f t="shared" si="139"/>
        <v>450</v>
      </c>
      <c r="AO645" s="12">
        <f t="shared" si="140"/>
        <v>0</v>
      </c>
      <c r="AP645" s="12">
        <f t="shared" si="141"/>
        <v>0</v>
      </c>
      <c r="AQ645" s="15">
        <f t="shared" si="142"/>
        <v>35</v>
      </c>
      <c r="AR645" s="7">
        <f t="shared" si="143"/>
        <v>390</v>
      </c>
      <c r="AS645" s="5"/>
      <c r="AU645" s="5"/>
      <c r="AV645" s="17"/>
      <c r="AW645" s="17"/>
      <c r="AX645" s="5"/>
      <c r="AY645" s="5"/>
      <c r="AZ645" s="13"/>
      <c r="BA645" s="12"/>
      <c r="BB645" s="7"/>
      <c r="BC645" s="14"/>
      <c r="BD645" s="14"/>
      <c r="BF645" s="12"/>
      <c r="BG645" s="14"/>
      <c r="BH645" s="19"/>
      <c r="BI645" s="5"/>
      <c r="BM645" s="18"/>
      <c r="BN645" s="18"/>
      <c r="BO645" s="18"/>
      <c r="BP645" s="18"/>
      <c r="BQ645" s="5"/>
      <c r="BR645" s="18"/>
      <c r="BS645" s="18"/>
      <c r="BT645" s="35">
        <f t="shared" si="133"/>
        <v>-1</v>
      </c>
    </row>
    <row r="646" spans="1:72" x14ac:dyDescent="0.35">
      <c r="A646" s="5"/>
      <c r="B646" s="5"/>
      <c r="C646" s="5"/>
      <c r="D646" s="5"/>
      <c r="E646" s="5"/>
      <c r="F646" s="8"/>
      <c r="G646" s="8"/>
      <c r="H646" s="5"/>
      <c r="I646" s="5" t="e" cm="1">
        <f t="array" ref="I646">_xlfn.IFS(
  H646="Mahuva", "Mahuva",
  H646="Jesar", "Mahuva",
  H646="Palitana", "Palitana",
  H646="Gariyadhar", "Palitana",
  H646="Talaja", "Talaja",
  H646="Vallabhipur", "Vallabhipur",
  H646="Umrala", "Vallabhipur",
  H646="Shihor", "Shihor",
  H646="Ghogha", "Bhavnagar",
  H646="Bhavnagar", "Bhavnagar"
)</f>
        <v>#N/A</v>
      </c>
      <c r="J646" s="5"/>
      <c r="K646" s="5"/>
      <c r="M646" s="5"/>
      <c r="Q646" s="7">
        <f t="shared" si="134"/>
        <v>120</v>
      </c>
      <c r="S646" s="33"/>
      <c r="U646" s="10"/>
      <c r="V646" s="10" t="str">
        <f t="shared" si="135"/>
        <v>Equals</v>
      </c>
      <c r="W646" s="11" t="str" cm="1">
        <f t="array" ref="W646">NumberToWords(T646)</f>
        <v>Zero Rupees Only</v>
      </c>
      <c r="X646" s="10" t="str">
        <f t="shared" si="131"/>
        <v>Division</v>
      </c>
      <c r="Z646" s="9">
        <f t="shared" si="136"/>
        <v>0</v>
      </c>
      <c r="AB646" s="8">
        <f>_xlfn.XLOOKUP(AA646, 'Agency List'!A$2:A$145, 'Agency List'!B$2:B$145, "Not Found")</f>
        <v>0</v>
      </c>
      <c r="AC646" s="8">
        <f>_xlfn.XLOOKUP(AA646, 'Agency List'!A$2:A$145, 'Agency List'!C$2:C$145, "Not Found")</f>
        <v>0</v>
      </c>
      <c r="AD646" s="8">
        <f>_xlfn.XLOOKUP(AA646, 'Agency List'!A$2:A$145, 'Agency List'!D$2:D$145, "Not Found")</f>
        <v>0</v>
      </c>
      <c r="AE646" s="7"/>
      <c r="AF646" s="5"/>
      <c r="AG646" s="5" t="str">
        <f t="shared" si="137"/>
        <v>Bandhkam</v>
      </c>
      <c r="AH646" s="55"/>
      <c r="AI646" s="49"/>
      <c r="AJ646" s="20"/>
      <c r="AL646" s="16"/>
      <c r="AM646" s="12">
        <f t="shared" si="138"/>
        <v>0</v>
      </c>
      <c r="AN646" s="7">
        <f t="shared" si="139"/>
        <v>450</v>
      </c>
      <c r="AO646" s="12">
        <f t="shared" si="140"/>
        <v>0</v>
      </c>
      <c r="AP646" s="12">
        <f t="shared" si="141"/>
        <v>0</v>
      </c>
      <c r="AQ646" s="15">
        <f t="shared" si="142"/>
        <v>35</v>
      </c>
      <c r="AR646" s="7">
        <f t="shared" si="143"/>
        <v>390</v>
      </c>
      <c r="AS646" s="5"/>
      <c r="AU646" s="5"/>
      <c r="AV646" s="17"/>
      <c r="AW646" s="17"/>
      <c r="AX646" s="5"/>
      <c r="AY646" s="5"/>
      <c r="AZ646" s="13"/>
      <c r="BA646" s="12"/>
      <c r="BB646" s="7"/>
      <c r="BC646" s="14"/>
      <c r="BD646" s="14"/>
      <c r="BF646" s="12"/>
      <c r="BG646" s="14"/>
      <c r="BH646" s="19"/>
      <c r="BI646" s="5"/>
      <c r="BM646" s="18"/>
      <c r="BN646" s="18"/>
      <c r="BO646" s="18"/>
      <c r="BP646" s="18"/>
      <c r="BQ646" s="5"/>
      <c r="BR646" s="18"/>
      <c r="BS646" s="18"/>
      <c r="BT646" s="35">
        <f t="shared" si="133"/>
        <v>-1</v>
      </c>
    </row>
    <row r="647" spans="1:72" x14ac:dyDescent="0.35">
      <c r="A647" s="5"/>
      <c r="B647" s="5"/>
      <c r="C647" s="5"/>
      <c r="D647" s="5"/>
      <c r="E647" s="5"/>
      <c r="F647" s="8"/>
      <c r="G647" s="8"/>
      <c r="H647" s="5"/>
      <c r="I647" s="5" t="e" cm="1">
        <f t="array" ref="I647">_xlfn.IFS(
  H647="Mahuva", "Mahuva",
  H647="Jesar", "Mahuva",
  H647="Palitana", "Palitana",
  H647="Gariyadhar", "Palitana",
  H647="Talaja", "Talaja",
  H647="Vallabhipur", "Vallabhipur",
  H647="Umrala", "Vallabhipur",
  H647="Shihor", "Shihor",
  H647="Ghogha", "Bhavnagar",
  H647="Bhavnagar", "Bhavnagar"
)</f>
        <v>#N/A</v>
      </c>
      <c r="J647" s="5"/>
      <c r="K647" s="5"/>
      <c r="M647" s="5"/>
      <c r="Q647" s="7">
        <f t="shared" si="134"/>
        <v>120</v>
      </c>
      <c r="S647" s="33"/>
      <c r="U647" s="10"/>
      <c r="V647" s="10" t="str">
        <f t="shared" si="135"/>
        <v>Equals</v>
      </c>
      <c r="W647" s="11" t="str" cm="1">
        <f t="array" ref="W647">NumberToWords(T647)</f>
        <v>Zero Rupees Only</v>
      </c>
      <c r="X647" s="10" t="str">
        <f t="shared" si="131"/>
        <v>Division</v>
      </c>
      <c r="Z647" s="9">
        <f t="shared" si="136"/>
        <v>0</v>
      </c>
      <c r="AB647" s="8">
        <f>_xlfn.XLOOKUP(AA647, 'Agency List'!A$2:A$145, 'Agency List'!B$2:B$145, "Not Found")</f>
        <v>0</v>
      </c>
      <c r="AC647" s="8">
        <f>_xlfn.XLOOKUP(AA647, 'Agency List'!A$2:A$145, 'Agency List'!C$2:C$145, "Not Found")</f>
        <v>0</v>
      </c>
      <c r="AD647" s="8">
        <f>_xlfn.XLOOKUP(AA647, 'Agency List'!A$2:A$145, 'Agency List'!D$2:D$145, "Not Found")</f>
        <v>0</v>
      </c>
      <c r="AE647" s="7"/>
      <c r="AF647" s="5"/>
      <c r="AG647" s="5" t="str">
        <f t="shared" si="137"/>
        <v>Bandhkam</v>
      </c>
      <c r="AH647" s="55"/>
      <c r="AI647" s="49"/>
      <c r="AJ647" s="20"/>
      <c r="AL647" s="16"/>
      <c r="AM647" s="12">
        <f t="shared" si="138"/>
        <v>0</v>
      </c>
      <c r="AN647" s="7">
        <f t="shared" si="139"/>
        <v>450</v>
      </c>
      <c r="AO647" s="12">
        <f t="shared" si="140"/>
        <v>0</v>
      </c>
      <c r="AP647" s="12">
        <f t="shared" si="141"/>
        <v>0</v>
      </c>
      <c r="AQ647" s="15">
        <f t="shared" si="142"/>
        <v>35</v>
      </c>
      <c r="AR647" s="7">
        <f t="shared" si="143"/>
        <v>390</v>
      </c>
      <c r="AS647" s="5"/>
      <c r="AU647" s="5"/>
      <c r="AV647" s="17"/>
      <c r="AW647" s="17"/>
      <c r="AX647" s="5"/>
      <c r="AY647" s="5"/>
      <c r="AZ647" s="13"/>
      <c r="BA647" s="12"/>
      <c r="BB647" s="7"/>
      <c r="BC647" s="14"/>
      <c r="BD647" s="14"/>
      <c r="BF647" s="12"/>
      <c r="BG647" s="14"/>
      <c r="BH647" s="19"/>
      <c r="BI647" s="5"/>
      <c r="BM647" s="18"/>
      <c r="BN647" s="18"/>
      <c r="BO647" s="18"/>
      <c r="BP647" s="18"/>
      <c r="BQ647" s="5"/>
      <c r="BR647" s="18"/>
      <c r="BS647" s="18"/>
      <c r="BT647" s="35">
        <f t="shared" si="133"/>
        <v>-1</v>
      </c>
    </row>
    <row r="648" spans="1:72" x14ac:dyDescent="0.35">
      <c r="A648" s="5"/>
      <c r="B648" s="5"/>
      <c r="C648" s="5"/>
      <c r="D648" s="5"/>
      <c r="E648" s="5"/>
      <c r="F648" s="8"/>
      <c r="G648" s="8"/>
      <c r="H648" s="5"/>
      <c r="I648" s="5" t="e" cm="1">
        <f t="array" ref="I648">_xlfn.IFS(
  H648="Mahuva", "Mahuva",
  H648="Jesar", "Mahuva",
  H648="Palitana", "Palitana",
  H648="Gariyadhar", "Palitana",
  H648="Talaja", "Talaja",
  H648="Vallabhipur", "Vallabhipur",
  H648="Umrala", "Vallabhipur",
  H648="Shihor", "Shihor",
  H648="Ghogha", "Bhavnagar",
  H648="Bhavnagar", "Bhavnagar"
)</f>
        <v>#N/A</v>
      </c>
      <c r="J648" s="5"/>
      <c r="K648" s="5"/>
      <c r="M648" s="5"/>
      <c r="Q648" s="7">
        <f t="shared" si="134"/>
        <v>120</v>
      </c>
      <c r="S648" s="33"/>
      <c r="U648" s="10"/>
      <c r="V648" s="10" t="str">
        <f t="shared" si="135"/>
        <v>Equals</v>
      </c>
      <c r="W648" s="11" t="str" cm="1">
        <f t="array" ref="W648">NumberToWords(T648)</f>
        <v>Zero Rupees Only</v>
      </c>
      <c r="X648" s="10" t="str">
        <f t="shared" si="131"/>
        <v>Division</v>
      </c>
      <c r="Z648" s="9">
        <f t="shared" si="136"/>
        <v>0</v>
      </c>
      <c r="AB648" s="8">
        <f>_xlfn.XLOOKUP(AA648, 'Agency List'!A$2:A$145, 'Agency List'!B$2:B$145, "Not Found")</f>
        <v>0</v>
      </c>
      <c r="AC648" s="8">
        <f>_xlfn.XLOOKUP(AA648, 'Agency List'!A$2:A$145, 'Agency List'!C$2:C$145, "Not Found")</f>
        <v>0</v>
      </c>
      <c r="AD648" s="8">
        <f>_xlfn.XLOOKUP(AA648, 'Agency List'!A$2:A$145, 'Agency List'!D$2:D$145, "Not Found")</f>
        <v>0</v>
      </c>
      <c r="AE648" s="7"/>
      <c r="AF648" s="5"/>
      <c r="AG648" s="5" t="str">
        <f t="shared" si="137"/>
        <v>Bandhkam</v>
      </c>
      <c r="AH648" s="55"/>
      <c r="AI648" s="49"/>
      <c r="AJ648" s="20"/>
      <c r="AL648" s="16"/>
      <c r="AM648" s="12">
        <f t="shared" si="138"/>
        <v>0</v>
      </c>
      <c r="AN648" s="7">
        <f t="shared" si="139"/>
        <v>450</v>
      </c>
      <c r="AO648" s="12">
        <f t="shared" si="140"/>
        <v>0</v>
      </c>
      <c r="AP648" s="12">
        <f t="shared" si="141"/>
        <v>0</v>
      </c>
      <c r="AQ648" s="15">
        <f t="shared" si="142"/>
        <v>35</v>
      </c>
      <c r="AR648" s="7">
        <f t="shared" si="143"/>
        <v>390</v>
      </c>
      <c r="AS648" s="5"/>
      <c r="AU648" s="5"/>
      <c r="AV648" s="17"/>
      <c r="AW648" s="17"/>
      <c r="AX648" s="5"/>
      <c r="AY648" s="5"/>
      <c r="AZ648" s="13"/>
      <c r="BA648" s="12"/>
      <c r="BB648" s="7"/>
      <c r="BC648" s="14"/>
      <c r="BD648" s="14"/>
      <c r="BF648" s="12"/>
      <c r="BG648" s="14"/>
      <c r="BH648" s="19"/>
      <c r="BI648" s="5"/>
      <c r="BM648" s="18"/>
      <c r="BN648" s="18"/>
      <c r="BO648" s="18"/>
      <c r="BP648" s="18"/>
      <c r="BQ648" s="5"/>
      <c r="BR648" s="18"/>
      <c r="BS648" s="18"/>
      <c r="BT648" s="35">
        <f t="shared" si="133"/>
        <v>-1</v>
      </c>
    </row>
    <row r="649" spans="1:72" x14ac:dyDescent="0.35">
      <c r="A649" s="5"/>
      <c r="B649" s="5"/>
      <c r="C649" s="5"/>
      <c r="D649" s="5"/>
      <c r="E649" s="5"/>
      <c r="F649" s="8"/>
      <c r="G649" s="8"/>
      <c r="H649" s="5"/>
      <c r="I649" s="5" t="e" cm="1">
        <f t="array" ref="I649">_xlfn.IFS(
  H649="Mahuva", "Mahuva",
  H649="Jesar", "Mahuva",
  H649="Palitana", "Palitana",
  H649="Gariyadhar", "Palitana",
  H649="Talaja", "Talaja",
  H649="Vallabhipur", "Vallabhipur",
  H649="Umrala", "Vallabhipur",
  H649="Shihor", "Shihor",
  H649="Ghogha", "Bhavnagar",
  H649="Bhavnagar", "Bhavnagar"
)</f>
        <v>#N/A</v>
      </c>
      <c r="J649" s="5"/>
      <c r="K649" s="5"/>
      <c r="M649" s="5"/>
      <c r="Q649" s="7">
        <f t="shared" si="134"/>
        <v>120</v>
      </c>
      <c r="S649" s="33"/>
      <c r="U649" s="10"/>
      <c r="V649" s="10" t="str">
        <f t="shared" si="135"/>
        <v>Equals</v>
      </c>
      <c r="W649" s="11" t="str" cm="1">
        <f t="array" ref="W649">NumberToWords(T649)</f>
        <v>Zero Rupees Only</v>
      </c>
      <c r="X649" s="10" t="str">
        <f t="shared" si="131"/>
        <v>Division</v>
      </c>
      <c r="Z649" s="9">
        <f t="shared" si="136"/>
        <v>0</v>
      </c>
      <c r="AB649" s="8">
        <f>_xlfn.XLOOKUP(AA649, 'Agency List'!A$2:A$145, 'Agency List'!B$2:B$145, "Not Found")</f>
        <v>0</v>
      </c>
      <c r="AC649" s="8">
        <f>_xlfn.XLOOKUP(AA649, 'Agency List'!A$2:A$145, 'Agency List'!C$2:C$145, "Not Found")</f>
        <v>0</v>
      </c>
      <c r="AD649" s="8">
        <f>_xlfn.XLOOKUP(AA649, 'Agency List'!A$2:A$145, 'Agency List'!D$2:D$145, "Not Found")</f>
        <v>0</v>
      </c>
      <c r="AE649" s="7"/>
      <c r="AF649" s="5"/>
      <c r="AG649" s="5" t="str">
        <f t="shared" si="137"/>
        <v>Bandhkam</v>
      </c>
      <c r="AH649" s="55"/>
      <c r="AI649" s="49"/>
      <c r="AJ649" s="20"/>
      <c r="AL649" s="16"/>
      <c r="AM649" s="12">
        <f t="shared" si="138"/>
        <v>0</v>
      </c>
      <c r="AN649" s="7">
        <f t="shared" si="139"/>
        <v>450</v>
      </c>
      <c r="AO649" s="12">
        <f t="shared" si="140"/>
        <v>0</v>
      </c>
      <c r="AP649" s="12">
        <f t="shared" si="141"/>
        <v>0</v>
      </c>
      <c r="AQ649" s="15">
        <f t="shared" si="142"/>
        <v>35</v>
      </c>
      <c r="AR649" s="7">
        <f t="shared" si="143"/>
        <v>390</v>
      </c>
      <c r="AS649" s="5"/>
      <c r="AU649" s="5"/>
      <c r="AV649" s="17"/>
      <c r="AW649" s="17"/>
      <c r="AX649" s="5"/>
      <c r="AY649" s="5"/>
      <c r="AZ649" s="13"/>
      <c r="BA649" s="12"/>
      <c r="BB649" s="7"/>
      <c r="BC649" s="14"/>
      <c r="BD649" s="14"/>
      <c r="BF649" s="12"/>
      <c r="BG649" s="14"/>
      <c r="BH649" s="19"/>
      <c r="BI649" s="5"/>
      <c r="BM649" s="18"/>
      <c r="BN649" s="18"/>
      <c r="BO649" s="18"/>
      <c r="BP649" s="18"/>
      <c r="BQ649" s="5"/>
      <c r="BR649" s="18"/>
      <c r="BS649" s="18"/>
      <c r="BT649" s="35">
        <f t="shared" si="133"/>
        <v>-1</v>
      </c>
    </row>
    <row r="650" spans="1:72" x14ac:dyDescent="0.35">
      <c r="A650" s="5"/>
      <c r="B650" s="5"/>
      <c r="C650" s="5"/>
      <c r="D650" s="5"/>
      <c r="E650" s="5"/>
      <c r="F650" s="8"/>
      <c r="G650" s="8"/>
      <c r="H650" s="5"/>
      <c r="I650" s="5" t="e" cm="1">
        <f t="array" ref="I650">_xlfn.IFS(
  H650="Mahuva", "Mahuva",
  H650="Jesar", "Mahuva",
  H650="Palitana", "Palitana",
  H650="Gariyadhar", "Palitana",
  H650="Talaja", "Talaja",
  H650="Vallabhipur", "Vallabhipur",
  H650="Umrala", "Vallabhipur",
  H650="Shihor", "Shihor",
  H650="Ghogha", "Bhavnagar",
  H650="Bhavnagar", "Bhavnagar"
)</f>
        <v>#N/A</v>
      </c>
      <c r="J650" s="5"/>
      <c r="K650" s="5"/>
      <c r="M650" s="5"/>
      <c r="Q650" s="7">
        <f t="shared" si="134"/>
        <v>120</v>
      </c>
      <c r="S650" s="33"/>
      <c r="U650" s="10"/>
      <c r="V650" s="10" t="str">
        <f t="shared" si="135"/>
        <v>Equals</v>
      </c>
      <c r="W650" s="11" t="str" cm="1">
        <f t="array" ref="W650">NumberToWords(T650)</f>
        <v>Zero Rupees Only</v>
      </c>
      <c r="X650" s="10" t="str">
        <f t="shared" si="131"/>
        <v>Division</v>
      </c>
      <c r="Z650" s="9">
        <f t="shared" si="136"/>
        <v>0</v>
      </c>
      <c r="AB650" s="8">
        <f>_xlfn.XLOOKUP(AA650, 'Agency List'!A$2:A$145, 'Agency List'!B$2:B$145, "Not Found")</f>
        <v>0</v>
      </c>
      <c r="AC650" s="8">
        <f>_xlfn.XLOOKUP(AA650, 'Agency List'!A$2:A$145, 'Agency List'!C$2:C$145, "Not Found")</f>
        <v>0</v>
      </c>
      <c r="AD650" s="8">
        <f>_xlfn.XLOOKUP(AA650, 'Agency List'!A$2:A$145, 'Agency List'!D$2:D$145, "Not Found")</f>
        <v>0</v>
      </c>
      <c r="AE650" s="7"/>
      <c r="AF650" s="5"/>
      <c r="AG650" s="5" t="str">
        <f t="shared" si="137"/>
        <v>Bandhkam</v>
      </c>
      <c r="AH650" s="55"/>
      <c r="AI650" s="49"/>
      <c r="AJ650" s="20"/>
      <c r="AL650" s="16"/>
      <c r="AM650" s="12">
        <f t="shared" si="138"/>
        <v>0</v>
      </c>
      <c r="AN650" s="7">
        <f t="shared" si="139"/>
        <v>450</v>
      </c>
      <c r="AO650" s="12">
        <f t="shared" si="140"/>
        <v>0</v>
      </c>
      <c r="AP650" s="12">
        <f t="shared" si="141"/>
        <v>0</v>
      </c>
      <c r="AQ650" s="15">
        <f t="shared" si="142"/>
        <v>35</v>
      </c>
      <c r="AR650" s="7">
        <f t="shared" si="143"/>
        <v>390</v>
      </c>
      <c r="AS650" s="5"/>
      <c r="AU650" s="5"/>
      <c r="AV650" s="17"/>
      <c r="AW650" s="17"/>
      <c r="AX650" s="5"/>
      <c r="AY650" s="5"/>
      <c r="AZ650" s="13"/>
      <c r="BA650" s="12"/>
      <c r="BB650" s="7"/>
      <c r="BC650" s="14"/>
      <c r="BD650" s="14"/>
      <c r="BF650" s="12"/>
      <c r="BG650" s="14"/>
      <c r="BH650" s="19"/>
      <c r="BI650" s="5"/>
      <c r="BM650" s="18"/>
      <c r="BN650" s="18"/>
      <c r="BO650" s="18"/>
      <c r="BP650" s="18"/>
      <c r="BQ650" s="5"/>
      <c r="BR650" s="18"/>
      <c r="BS650" s="18"/>
      <c r="BT650" s="35">
        <f t="shared" si="133"/>
        <v>-1</v>
      </c>
    </row>
    <row r="651" spans="1:72" x14ac:dyDescent="0.35">
      <c r="A651" s="5"/>
      <c r="B651" s="5"/>
      <c r="C651" s="5"/>
      <c r="D651" s="5"/>
      <c r="E651" s="5"/>
      <c r="F651" s="8"/>
      <c r="G651" s="8"/>
      <c r="H651" s="5"/>
      <c r="I651" s="5" t="e" cm="1">
        <f t="array" ref="I651">_xlfn.IFS(
  H651="Mahuva", "Mahuva",
  H651="Jesar", "Mahuva",
  H651="Palitana", "Palitana",
  H651="Gariyadhar", "Palitana",
  H651="Talaja", "Talaja",
  H651="Vallabhipur", "Vallabhipur",
  H651="Umrala", "Vallabhipur",
  H651="Shihor", "Shihor",
  H651="Ghogha", "Bhavnagar",
  H651="Bhavnagar", "Bhavnagar"
)</f>
        <v>#N/A</v>
      </c>
      <c r="J651" s="5"/>
      <c r="K651" s="5"/>
      <c r="M651" s="5"/>
      <c r="Q651" s="7">
        <f t="shared" si="134"/>
        <v>120</v>
      </c>
      <c r="S651" s="33"/>
      <c r="U651" s="10"/>
      <c r="V651" s="10" t="str">
        <f t="shared" si="135"/>
        <v>Equals</v>
      </c>
      <c r="W651" s="11" t="str" cm="1">
        <f t="array" ref="W651">NumberToWords(T651)</f>
        <v>Zero Rupees Only</v>
      </c>
      <c r="X651" s="10" t="str">
        <f t="shared" si="131"/>
        <v>Division</v>
      </c>
      <c r="Z651" s="9">
        <f t="shared" si="136"/>
        <v>0</v>
      </c>
      <c r="AB651" s="8">
        <f>_xlfn.XLOOKUP(AA651, 'Agency List'!A$2:A$145, 'Agency List'!B$2:B$145, "Not Found")</f>
        <v>0</v>
      </c>
      <c r="AC651" s="8">
        <f>_xlfn.XLOOKUP(AA651, 'Agency List'!A$2:A$145, 'Agency List'!C$2:C$145, "Not Found")</f>
        <v>0</v>
      </c>
      <c r="AD651" s="8">
        <f>_xlfn.XLOOKUP(AA651, 'Agency List'!A$2:A$145, 'Agency List'!D$2:D$145, "Not Found")</f>
        <v>0</v>
      </c>
      <c r="AE651" s="7"/>
      <c r="AF651" s="5"/>
      <c r="AG651" s="5" t="str">
        <f t="shared" si="137"/>
        <v>Bandhkam</v>
      </c>
      <c r="AH651" s="55"/>
      <c r="AI651" s="49"/>
      <c r="AJ651" s="20"/>
      <c r="AL651" s="16"/>
      <c r="AM651" s="12">
        <f t="shared" si="138"/>
        <v>0</v>
      </c>
      <c r="AN651" s="7">
        <f t="shared" si="139"/>
        <v>450</v>
      </c>
      <c r="AO651" s="12">
        <f t="shared" si="140"/>
        <v>0</v>
      </c>
      <c r="AP651" s="12">
        <f t="shared" si="141"/>
        <v>0</v>
      </c>
      <c r="AQ651" s="15">
        <f t="shared" si="142"/>
        <v>35</v>
      </c>
      <c r="AR651" s="7">
        <f t="shared" si="143"/>
        <v>390</v>
      </c>
      <c r="AS651" s="5"/>
      <c r="AU651" s="5"/>
      <c r="AV651" s="17"/>
      <c r="AW651" s="17"/>
      <c r="AX651" s="5"/>
      <c r="AY651" s="5"/>
      <c r="AZ651" s="13"/>
      <c r="BA651" s="12"/>
      <c r="BB651" s="7"/>
      <c r="BC651" s="14"/>
      <c r="BD651" s="14"/>
      <c r="BF651" s="12"/>
      <c r="BG651" s="14"/>
      <c r="BH651" s="19"/>
      <c r="BI651" s="5"/>
      <c r="BM651" s="18"/>
      <c r="BN651" s="18"/>
      <c r="BO651" s="18"/>
      <c r="BP651" s="18"/>
      <c r="BQ651" s="5"/>
      <c r="BR651" s="18"/>
      <c r="BS651" s="18"/>
      <c r="BT651" s="35">
        <f t="shared" si="133"/>
        <v>-1</v>
      </c>
    </row>
    <row r="652" spans="1:72" x14ac:dyDescent="0.35">
      <c r="A652" s="5"/>
      <c r="B652" s="5"/>
      <c r="C652" s="5"/>
      <c r="D652" s="5"/>
      <c r="E652" s="5"/>
      <c r="F652" s="8"/>
      <c r="G652" s="8"/>
      <c r="H652" s="5"/>
      <c r="I652" s="5" t="e" cm="1">
        <f t="array" ref="I652">_xlfn.IFS(
  H652="Mahuva", "Mahuva",
  H652="Jesar", "Mahuva",
  H652="Palitana", "Palitana",
  H652="Gariyadhar", "Palitana",
  H652="Talaja", "Talaja",
  H652="Vallabhipur", "Vallabhipur",
  H652="Umrala", "Vallabhipur",
  H652="Shihor", "Shihor",
  H652="Ghogha", "Bhavnagar",
  H652="Bhavnagar", "Bhavnagar"
)</f>
        <v>#N/A</v>
      </c>
      <c r="J652" s="5"/>
      <c r="K652" s="5"/>
      <c r="M652" s="5"/>
      <c r="Q652" s="7">
        <f t="shared" si="134"/>
        <v>120</v>
      </c>
      <c r="S652" s="33"/>
      <c r="U652" s="10"/>
      <c r="V652" s="10" t="str">
        <f t="shared" si="135"/>
        <v>Equals</v>
      </c>
      <c r="W652" s="11" t="str" cm="1">
        <f t="array" ref="W652">NumberToWords(T652)</f>
        <v>Zero Rupees Only</v>
      </c>
      <c r="X652" s="10" t="str">
        <f t="shared" si="131"/>
        <v>Division</v>
      </c>
      <c r="Z652" s="9">
        <f t="shared" si="136"/>
        <v>0</v>
      </c>
      <c r="AB652" s="8">
        <f>_xlfn.XLOOKUP(AA652, 'Agency List'!A$2:A$145, 'Agency List'!B$2:B$145, "Not Found")</f>
        <v>0</v>
      </c>
      <c r="AC652" s="8">
        <f>_xlfn.XLOOKUP(AA652, 'Agency List'!A$2:A$145, 'Agency List'!C$2:C$145, "Not Found")</f>
        <v>0</v>
      </c>
      <c r="AD652" s="8">
        <f>_xlfn.XLOOKUP(AA652, 'Agency List'!A$2:A$145, 'Agency List'!D$2:D$145, "Not Found")</f>
        <v>0</v>
      </c>
      <c r="AE652" s="7"/>
      <c r="AF652" s="5"/>
      <c r="AG652" s="5" t="str">
        <f t="shared" si="137"/>
        <v>Bandhkam</v>
      </c>
      <c r="AH652" s="55"/>
      <c r="AI652" s="49"/>
      <c r="AJ652" s="20"/>
      <c r="AL652" s="16"/>
      <c r="AM652" s="12">
        <f t="shared" si="138"/>
        <v>0</v>
      </c>
      <c r="AN652" s="7">
        <f t="shared" si="139"/>
        <v>450</v>
      </c>
      <c r="AO652" s="12">
        <f t="shared" si="140"/>
        <v>0</v>
      </c>
      <c r="AP652" s="12">
        <f t="shared" si="141"/>
        <v>0</v>
      </c>
      <c r="AQ652" s="15">
        <f t="shared" si="142"/>
        <v>35</v>
      </c>
      <c r="AR652" s="7">
        <f t="shared" si="143"/>
        <v>390</v>
      </c>
      <c r="AS652" s="5"/>
      <c r="AU652" s="5"/>
      <c r="AV652" s="17"/>
      <c r="AW652" s="17"/>
      <c r="AX652" s="5"/>
      <c r="AY652" s="5"/>
      <c r="AZ652" s="13"/>
      <c r="BA652" s="12"/>
      <c r="BB652" s="7"/>
      <c r="BC652" s="14"/>
      <c r="BD652" s="14"/>
      <c r="BF652" s="12"/>
      <c r="BG652" s="14"/>
      <c r="BH652" s="19"/>
      <c r="BI652" s="5"/>
      <c r="BM652" s="18"/>
      <c r="BN652" s="18"/>
      <c r="BO652" s="18"/>
      <c r="BP652" s="18"/>
      <c r="BQ652" s="5"/>
      <c r="BR652" s="18"/>
      <c r="BS652" s="18"/>
      <c r="BT652" s="35">
        <f t="shared" si="133"/>
        <v>-1</v>
      </c>
    </row>
    <row r="653" spans="1:72" x14ac:dyDescent="0.35">
      <c r="A653" s="5"/>
      <c r="B653" s="5"/>
      <c r="C653" s="5"/>
      <c r="D653" s="5"/>
      <c r="E653" s="5"/>
      <c r="F653" s="8"/>
      <c r="G653" s="8"/>
      <c r="H653" s="5"/>
      <c r="I653" s="5" t="e" cm="1">
        <f t="array" ref="I653">_xlfn.IFS(
  H653="Mahuva", "Mahuva",
  H653="Jesar", "Mahuva",
  H653="Palitana", "Palitana",
  H653="Gariyadhar", "Palitana",
  H653="Talaja", "Talaja",
  H653="Vallabhipur", "Vallabhipur",
  H653="Umrala", "Vallabhipur",
  H653="Shihor", "Shihor",
  H653="Ghogha", "Bhavnagar",
  H653="Bhavnagar", "Bhavnagar"
)</f>
        <v>#N/A</v>
      </c>
      <c r="J653" s="5"/>
      <c r="K653" s="5"/>
      <c r="M653" s="5"/>
      <c r="Q653" s="7">
        <f t="shared" si="134"/>
        <v>120</v>
      </c>
      <c r="S653" s="33"/>
      <c r="U653" s="10"/>
      <c r="V653" s="10" t="str">
        <f t="shared" si="135"/>
        <v>Equals</v>
      </c>
      <c r="W653" s="11" t="str" cm="1">
        <f t="array" ref="W653">NumberToWords(T653)</f>
        <v>Zero Rupees Only</v>
      </c>
      <c r="X653" s="10" t="str">
        <f t="shared" si="131"/>
        <v>Division</v>
      </c>
      <c r="Z653" s="9">
        <f t="shared" si="136"/>
        <v>0</v>
      </c>
      <c r="AB653" s="8">
        <f>_xlfn.XLOOKUP(AA653, 'Agency List'!A$2:A$145, 'Agency List'!B$2:B$145, "Not Found")</f>
        <v>0</v>
      </c>
      <c r="AC653" s="8">
        <f>_xlfn.XLOOKUP(AA653, 'Agency List'!A$2:A$145, 'Agency List'!C$2:C$145, "Not Found")</f>
        <v>0</v>
      </c>
      <c r="AD653" s="8">
        <f>_xlfn.XLOOKUP(AA653, 'Agency List'!A$2:A$145, 'Agency List'!D$2:D$145, "Not Found")</f>
        <v>0</v>
      </c>
      <c r="AE653" s="7"/>
      <c r="AF653" s="5"/>
      <c r="AG653" s="5" t="str">
        <f t="shared" si="137"/>
        <v>Bandhkam</v>
      </c>
      <c r="AH653" s="55"/>
      <c r="AI653" s="49"/>
      <c r="AJ653" s="20"/>
      <c r="AL653" s="16"/>
      <c r="AM653" s="12">
        <f t="shared" si="138"/>
        <v>0</v>
      </c>
      <c r="AN653" s="7">
        <f t="shared" si="139"/>
        <v>450</v>
      </c>
      <c r="AO653" s="12">
        <f t="shared" si="140"/>
        <v>0</v>
      </c>
      <c r="AP653" s="12">
        <f t="shared" si="141"/>
        <v>0</v>
      </c>
      <c r="AQ653" s="15">
        <f t="shared" si="142"/>
        <v>35</v>
      </c>
      <c r="AR653" s="7">
        <f t="shared" si="143"/>
        <v>390</v>
      </c>
      <c r="AS653" s="5"/>
      <c r="AU653" s="5"/>
      <c r="AV653" s="17"/>
      <c r="AW653" s="17"/>
      <c r="AX653" s="5"/>
      <c r="AY653" s="5"/>
      <c r="AZ653" s="13"/>
      <c r="BA653" s="12"/>
      <c r="BB653" s="7"/>
      <c r="BC653" s="14"/>
      <c r="BD653" s="14"/>
      <c r="BF653" s="12"/>
      <c r="BG653" s="14"/>
      <c r="BH653" s="19"/>
      <c r="BI653" s="5"/>
      <c r="BM653" s="18"/>
      <c r="BN653" s="18"/>
      <c r="BO653" s="18"/>
      <c r="BP653" s="18"/>
      <c r="BQ653" s="5"/>
      <c r="BR653" s="18"/>
      <c r="BS653" s="18"/>
      <c r="BT653" s="35">
        <f t="shared" si="133"/>
        <v>-1</v>
      </c>
    </row>
    <row r="654" spans="1:72" x14ac:dyDescent="0.35">
      <c r="A654" s="5"/>
      <c r="B654" s="5"/>
      <c r="C654" s="5"/>
      <c r="D654" s="5"/>
      <c r="E654" s="5"/>
      <c r="F654" s="8"/>
      <c r="G654" s="8"/>
      <c r="H654" s="5"/>
      <c r="I654" s="5" t="e" cm="1">
        <f t="array" ref="I654">_xlfn.IFS(
  H654="Mahuva", "Mahuva",
  H654="Jesar", "Mahuva",
  H654="Palitana", "Palitana",
  H654="Gariyadhar", "Palitana",
  H654="Talaja", "Talaja",
  H654="Vallabhipur", "Vallabhipur",
  H654="Umrala", "Vallabhipur",
  H654="Shihor", "Shihor",
  H654="Ghogha", "Bhavnagar",
  H654="Bhavnagar", "Bhavnagar"
)</f>
        <v>#N/A</v>
      </c>
      <c r="J654" s="5"/>
      <c r="K654" s="5"/>
      <c r="M654" s="5"/>
      <c r="Q654" s="7">
        <f t="shared" si="134"/>
        <v>120</v>
      </c>
      <c r="S654" s="33"/>
      <c r="U654" s="10"/>
      <c r="V654" s="10" t="str">
        <f t="shared" si="135"/>
        <v>Equals</v>
      </c>
      <c r="W654" s="11" t="str" cm="1">
        <f t="array" ref="W654">NumberToWords(T654)</f>
        <v>Zero Rupees Only</v>
      </c>
      <c r="X654" s="10" t="str">
        <f t="shared" si="131"/>
        <v>Division</v>
      </c>
      <c r="Z654" s="9">
        <f t="shared" si="136"/>
        <v>0</v>
      </c>
      <c r="AB654" s="8">
        <f>_xlfn.XLOOKUP(AA654, 'Agency List'!A$2:A$145, 'Agency List'!B$2:B$145, "Not Found")</f>
        <v>0</v>
      </c>
      <c r="AC654" s="8">
        <f>_xlfn.XLOOKUP(AA654, 'Agency List'!A$2:A$145, 'Agency List'!C$2:C$145, "Not Found")</f>
        <v>0</v>
      </c>
      <c r="AD654" s="8">
        <f>_xlfn.XLOOKUP(AA654, 'Agency List'!A$2:A$145, 'Agency List'!D$2:D$145, "Not Found")</f>
        <v>0</v>
      </c>
      <c r="AE654" s="7"/>
      <c r="AF654" s="5"/>
      <c r="AG654" s="5" t="str">
        <f t="shared" si="137"/>
        <v>Bandhkam</v>
      </c>
      <c r="AH654" s="55"/>
      <c r="AI654" s="49"/>
      <c r="AJ654" s="20"/>
      <c r="AL654" s="16"/>
      <c r="AM654" s="12">
        <f t="shared" si="138"/>
        <v>0</v>
      </c>
      <c r="AN654" s="7">
        <f t="shared" si="139"/>
        <v>450</v>
      </c>
      <c r="AO654" s="12">
        <f t="shared" si="140"/>
        <v>0</v>
      </c>
      <c r="AP654" s="12">
        <f t="shared" si="141"/>
        <v>0</v>
      </c>
      <c r="AQ654" s="15">
        <f t="shared" si="142"/>
        <v>35</v>
      </c>
      <c r="AR654" s="7">
        <f t="shared" si="143"/>
        <v>390</v>
      </c>
      <c r="AS654" s="5"/>
      <c r="AU654" s="5"/>
      <c r="AV654" s="17"/>
      <c r="AW654" s="17"/>
      <c r="AX654" s="5"/>
      <c r="AY654" s="5"/>
      <c r="AZ654" s="13"/>
      <c r="BA654" s="12"/>
      <c r="BB654" s="7"/>
      <c r="BC654" s="14"/>
      <c r="BD654" s="14"/>
      <c r="BF654" s="12"/>
      <c r="BG654" s="14"/>
      <c r="BH654" s="19"/>
      <c r="BI654" s="5"/>
      <c r="BM654" s="18"/>
      <c r="BN654" s="18"/>
      <c r="BO654" s="18"/>
      <c r="BP654" s="18"/>
      <c r="BQ654" s="5"/>
      <c r="BR654" s="18"/>
      <c r="BS654" s="18"/>
      <c r="BT654" s="35">
        <f t="shared" si="133"/>
        <v>-1</v>
      </c>
    </row>
    <row r="655" spans="1:72" x14ac:dyDescent="0.35">
      <c r="A655" s="5"/>
      <c r="B655" s="5"/>
      <c r="C655" s="5"/>
      <c r="D655" s="5"/>
      <c r="E655" s="5"/>
      <c r="F655" s="8"/>
      <c r="G655" s="8"/>
      <c r="H655" s="5"/>
      <c r="I655" s="5" t="e" cm="1">
        <f t="array" ref="I655">_xlfn.IFS(
  H655="Mahuva", "Mahuva",
  H655="Jesar", "Mahuva",
  H655="Palitana", "Palitana",
  H655="Gariyadhar", "Palitana",
  H655="Talaja", "Talaja",
  H655="Vallabhipur", "Vallabhipur",
  H655="Umrala", "Vallabhipur",
  H655="Shihor", "Shihor",
  H655="Ghogha", "Bhavnagar",
  H655="Bhavnagar", "Bhavnagar"
)</f>
        <v>#N/A</v>
      </c>
      <c r="J655" s="5"/>
      <c r="K655" s="5"/>
      <c r="M655" s="5"/>
      <c r="Q655" s="7">
        <f t="shared" si="134"/>
        <v>120</v>
      </c>
      <c r="S655" s="33"/>
      <c r="U655" s="10"/>
      <c r="V655" s="10" t="str">
        <f t="shared" si="135"/>
        <v>Equals</v>
      </c>
      <c r="W655" s="11" t="str" cm="1">
        <f t="array" ref="W655">NumberToWords(T655)</f>
        <v>Zero Rupees Only</v>
      </c>
      <c r="X655" s="10" t="str">
        <f t="shared" si="131"/>
        <v>Division</v>
      </c>
      <c r="Z655" s="9">
        <f t="shared" si="136"/>
        <v>0</v>
      </c>
      <c r="AB655" s="8">
        <f>_xlfn.XLOOKUP(AA655, 'Agency List'!A$2:A$145, 'Agency List'!B$2:B$145, "Not Found")</f>
        <v>0</v>
      </c>
      <c r="AC655" s="8">
        <f>_xlfn.XLOOKUP(AA655, 'Agency List'!A$2:A$145, 'Agency List'!C$2:C$145, "Not Found")</f>
        <v>0</v>
      </c>
      <c r="AD655" s="8">
        <f>_xlfn.XLOOKUP(AA655, 'Agency List'!A$2:A$145, 'Agency List'!D$2:D$145, "Not Found")</f>
        <v>0</v>
      </c>
      <c r="AE655" s="7"/>
      <c r="AF655" s="5"/>
      <c r="AG655" s="5" t="str">
        <f t="shared" si="137"/>
        <v>Bandhkam</v>
      </c>
      <c r="AH655" s="55"/>
      <c r="AI655" s="49"/>
      <c r="AJ655" s="20"/>
      <c r="AL655" s="16"/>
      <c r="AM655" s="12">
        <f t="shared" si="138"/>
        <v>0</v>
      </c>
      <c r="AN655" s="7">
        <f t="shared" si="139"/>
        <v>450</v>
      </c>
      <c r="AO655" s="12">
        <f t="shared" si="140"/>
        <v>0</v>
      </c>
      <c r="AP655" s="12">
        <f t="shared" si="141"/>
        <v>0</v>
      </c>
      <c r="AQ655" s="15">
        <f t="shared" si="142"/>
        <v>35</v>
      </c>
      <c r="AR655" s="7">
        <f t="shared" si="143"/>
        <v>390</v>
      </c>
      <c r="AS655" s="5"/>
      <c r="AU655" s="5"/>
      <c r="AV655" s="17"/>
      <c r="AW655" s="17"/>
      <c r="AX655" s="5"/>
      <c r="AY655" s="5"/>
      <c r="AZ655" s="13"/>
      <c r="BA655" s="12"/>
      <c r="BB655" s="7"/>
      <c r="BC655" s="14"/>
      <c r="BD655" s="14"/>
      <c r="BF655" s="12"/>
      <c r="BG655" s="14"/>
      <c r="BH655" s="19"/>
      <c r="BI655" s="5"/>
      <c r="BM655" s="18"/>
      <c r="BN655" s="18"/>
      <c r="BO655" s="18"/>
      <c r="BP655" s="18"/>
      <c r="BQ655" s="5"/>
      <c r="BR655" s="18"/>
      <c r="BS655" s="18"/>
      <c r="BT655" s="35">
        <f t="shared" si="133"/>
        <v>-1</v>
      </c>
    </row>
    <row r="656" spans="1:72" x14ac:dyDescent="0.35">
      <c r="A656" s="5"/>
      <c r="B656" s="5"/>
      <c r="C656" s="5"/>
      <c r="D656" s="5"/>
      <c r="E656" s="5"/>
      <c r="F656" s="8"/>
      <c r="G656" s="8"/>
      <c r="H656" s="5"/>
      <c r="I656" s="5" t="e" cm="1">
        <f t="array" ref="I656">_xlfn.IFS(
  H656="Mahuva", "Mahuva",
  H656="Jesar", "Mahuva",
  H656="Palitana", "Palitana",
  H656="Gariyadhar", "Palitana",
  H656="Talaja", "Talaja",
  H656="Vallabhipur", "Vallabhipur",
  H656="Umrala", "Vallabhipur",
  H656="Shihor", "Shihor",
  H656="Ghogha", "Bhavnagar",
  H656="Bhavnagar", "Bhavnagar"
)</f>
        <v>#N/A</v>
      </c>
      <c r="J656" s="5"/>
      <c r="K656" s="5"/>
      <c r="M656" s="5"/>
      <c r="Q656" s="7">
        <f t="shared" si="134"/>
        <v>120</v>
      </c>
      <c r="S656" s="33"/>
      <c r="U656" s="10"/>
      <c r="V656" s="10" t="str">
        <f t="shared" si="135"/>
        <v>Equals</v>
      </c>
      <c r="W656" s="11" t="str" cm="1">
        <f t="array" ref="W656">NumberToWords(T656)</f>
        <v>Zero Rupees Only</v>
      </c>
      <c r="X656" s="10" t="str">
        <f t="shared" si="131"/>
        <v>Division</v>
      </c>
      <c r="Z656" s="9">
        <f t="shared" si="136"/>
        <v>0</v>
      </c>
      <c r="AB656" s="8">
        <f>_xlfn.XLOOKUP(AA656, 'Agency List'!A$2:A$145, 'Agency List'!B$2:B$145, "Not Found")</f>
        <v>0</v>
      </c>
      <c r="AC656" s="8">
        <f>_xlfn.XLOOKUP(AA656, 'Agency List'!A$2:A$145, 'Agency List'!C$2:C$145, "Not Found")</f>
        <v>0</v>
      </c>
      <c r="AD656" s="8">
        <f>_xlfn.XLOOKUP(AA656, 'Agency List'!A$2:A$145, 'Agency List'!D$2:D$145, "Not Found")</f>
        <v>0</v>
      </c>
      <c r="AE656" s="7"/>
      <c r="AF656" s="5"/>
      <c r="AG656" s="5" t="str">
        <f t="shared" si="137"/>
        <v>Bandhkam</v>
      </c>
      <c r="AH656" s="55"/>
      <c r="AI656" s="49"/>
      <c r="AJ656" s="20"/>
      <c r="AL656" s="16"/>
      <c r="AM656" s="12">
        <f t="shared" si="138"/>
        <v>0</v>
      </c>
      <c r="AN656" s="7">
        <f t="shared" si="139"/>
        <v>450</v>
      </c>
      <c r="AO656" s="12">
        <f t="shared" si="140"/>
        <v>0</v>
      </c>
      <c r="AP656" s="12">
        <f t="shared" si="141"/>
        <v>0</v>
      </c>
      <c r="AQ656" s="15">
        <f t="shared" si="142"/>
        <v>35</v>
      </c>
      <c r="AR656" s="7">
        <f t="shared" si="143"/>
        <v>390</v>
      </c>
      <c r="AS656" s="5"/>
      <c r="AU656" s="5"/>
      <c r="AV656" s="17"/>
      <c r="AW656" s="17"/>
      <c r="AX656" s="5"/>
      <c r="AY656" s="5"/>
      <c r="AZ656" s="13"/>
      <c r="BA656" s="12"/>
      <c r="BB656" s="7"/>
      <c r="BC656" s="14"/>
      <c r="BD656" s="14"/>
      <c r="BF656" s="12"/>
      <c r="BG656" s="14"/>
      <c r="BH656" s="19"/>
      <c r="BI656" s="5"/>
      <c r="BM656" s="18"/>
      <c r="BN656" s="18"/>
      <c r="BO656" s="18"/>
      <c r="BP656" s="18"/>
      <c r="BQ656" s="5"/>
      <c r="BR656" s="18"/>
      <c r="BS656" s="18"/>
      <c r="BT656" s="35">
        <f t="shared" si="133"/>
        <v>-1</v>
      </c>
    </row>
    <row r="657" spans="1:72" x14ac:dyDescent="0.35">
      <c r="A657" s="5"/>
      <c r="B657" s="5"/>
      <c r="C657" s="5"/>
      <c r="D657" s="5"/>
      <c r="E657" s="5"/>
      <c r="F657" s="8"/>
      <c r="G657" s="8"/>
      <c r="H657" s="5"/>
      <c r="I657" s="5" t="e" cm="1">
        <f t="array" ref="I657">_xlfn.IFS(
  H657="Mahuva", "Mahuva",
  H657="Jesar", "Mahuva",
  H657="Palitana", "Palitana",
  H657="Gariyadhar", "Palitana",
  H657="Talaja", "Talaja",
  H657="Vallabhipur", "Vallabhipur",
  H657="Umrala", "Vallabhipur",
  H657="Shihor", "Shihor",
  H657="Ghogha", "Bhavnagar",
  H657="Bhavnagar", "Bhavnagar"
)</f>
        <v>#N/A</v>
      </c>
      <c r="J657" s="5"/>
      <c r="K657" s="5"/>
      <c r="M657" s="5"/>
      <c r="Q657" s="7">
        <f t="shared" si="134"/>
        <v>120</v>
      </c>
      <c r="S657" s="33"/>
      <c r="U657" s="10"/>
      <c r="V657" s="10" t="str">
        <f t="shared" si="135"/>
        <v>Equals</v>
      </c>
      <c r="W657" s="11" t="str" cm="1">
        <f t="array" ref="W657">NumberToWords(T657)</f>
        <v>Zero Rupees Only</v>
      </c>
      <c r="X657" s="10" t="str">
        <f t="shared" si="131"/>
        <v>Division</v>
      </c>
      <c r="Z657" s="9">
        <f t="shared" si="136"/>
        <v>0</v>
      </c>
      <c r="AB657" s="8">
        <f>_xlfn.XLOOKUP(AA657, 'Agency List'!A$2:A$145, 'Agency List'!B$2:B$145, "Not Found")</f>
        <v>0</v>
      </c>
      <c r="AC657" s="8">
        <f>_xlfn.XLOOKUP(AA657, 'Agency List'!A$2:A$145, 'Agency List'!C$2:C$145, "Not Found")</f>
        <v>0</v>
      </c>
      <c r="AD657" s="8">
        <f>_xlfn.XLOOKUP(AA657, 'Agency List'!A$2:A$145, 'Agency List'!D$2:D$145, "Not Found")</f>
        <v>0</v>
      </c>
      <c r="AE657" s="7"/>
      <c r="AF657" s="5"/>
      <c r="AG657" s="5" t="str">
        <f t="shared" si="137"/>
        <v>Bandhkam</v>
      </c>
      <c r="AH657" s="55"/>
      <c r="AI657" s="49"/>
      <c r="AJ657" s="20"/>
      <c r="AL657" s="16"/>
      <c r="AM657" s="12">
        <f t="shared" si="138"/>
        <v>0</v>
      </c>
      <c r="AN657" s="7">
        <f t="shared" si="139"/>
        <v>450</v>
      </c>
      <c r="AO657" s="12">
        <f t="shared" si="140"/>
        <v>0</v>
      </c>
      <c r="AP657" s="12">
        <f t="shared" si="141"/>
        <v>0</v>
      </c>
      <c r="AQ657" s="15">
        <f t="shared" si="142"/>
        <v>35</v>
      </c>
      <c r="AR657" s="7">
        <f t="shared" si="143"/>
        <v>390</v>
      </c>
      <c r="AS657" s="5"/>
      <c r="AU657" s="5"/>
      <c r="AV657" s="17"/>
      <c r="AW657" s="17"/>
      <c r="AX657" s="5"/>
      <c r="AY657" s="5"/>
      <c r="AZ657" s="13"/>
      <c r="BA657" s="12"/>
      <c r="BB657" s="7"/>
      <c r="BC657" s="14"/>
      <c r="BD657" s="14"/>
      <c r="BF657" s="12"/>
      <c r="BG657" s="14"/>
      <c r="BH657" s="19"/>
      <c r="BI657" s="5"/>
      <c r="BM657" s="18"/>
      <c r="BN657" s="18"/>
      <c r="BO657" s="18"/>
      <c r="BP657" s="18"/>
      <c r="BQ657" s="5"/>
      <c r="BR657" s="18"/>
      <c r="BS657" s="18"/>
      <c r="BT657" s="35"/>
    </row>
  </sheetData>
  <autoFilter ref="A1:BU657" xr:uid="{DE7627A7-C3E0-4ABD-8411-C9A63B3AA281}"/>
  <sortState xmlns:xlrd2="http://schemas.microsoft.com/office/spreadsheetml/2017/richdata2" ref="A2:BQ657">
    <sortCondition ref="C2:C657"/>
    <sortCondition ref="D2:D657"/>
    <sortCondition ref="E2:E657"/>
  </sortState>
  <dataConsolidate/>
  <pageMargins left="0.70866141732283472" right="0.70866141732283472" top="0.74803149606299213" bottom="0.74803149606299213" header="0.31496062992125984" footer="0.31496062992125984"/>
  <pageSetup paperSize="9" scale="17"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0B9D3-838F-47CA-991A-B38EADBFAF83}">
  <dimension ref="A1:K20"/>
  <sheetViews>
    <sheetView zoomScale="85" zoomScaleNormal="85" workbookViewId="0">
      <pane ySplit="1" topLeftCell="A2" activePane="bottomLeft" state="frozen"/>
      <selection pane="bottomLeft" activeCell="A7" sqref="A2:A19"/>
      <pivotSelection pane="topRight" showHeader="1" axis="axisRow" activeRow="6" previousRow="6" click="1" r:id="rId1">
        <pivotArea dataOnly="0" labelOnly="1" fieldPosition="0">
          <references count="1">
            <reference field="3" count="0"/>
          </references>
        </pivotArea>
      </pivotSelection>
    </sheetView>
  </sheetViews>
  <sheetFormatPr defaultRowHeight="14.5" x14ac:dyDescent="0.35"/>
  <cols>
    <col min="1" max="1" width="24.81640625" bestFit="1" customWidth="1"/>
    <col min="2" max="2" width="8.90625" bestFit="1" customWidth="1"/>
    <col min="3" max="3" width="7" bestFit="1" customWidth="1"/>
    <col min="4" max="4" width="10.6328125" bestFit="1" customWidth="1"/>
    <col min="5" max="5" width="10.26953125" bestFit="1" customWidth="1"/>
    <col min="6" max="6" width="19.54296875" bestFit="1" customWidth="1"/>
    <col min="7" max="7" width="10.26953125" bestFit="1" customWidth="1"/>
    <col min="8" max="8" width="20.26953125" bestFit="1" customWidth="1"/>
    <col min="9" max="10" width="20.26953125" customWidth="1"/>
    <col min="11" max="11" width="9.90625" customWidth="1"/>
  </cols>
  <sheetData>
    <row r="1" spans="1:11" s="28" customFormat="1" ht="37" x14ac:dyDescent="0.45">
      <c r="A1" s="26" t="s">
        <v>28</v>
      </c>
      <c r="B1" s="27" t="s">
        <v>110</v>
      </c>
      <c r="C1" s="27" t="s">
        <v>119</v>
      </c>
      <c r="D1" s="27" t="s">
        <v>105</v>
      </c>
      <c r="E1" s="27" t="s">
        <v>106</v>
      </c>
      <c r="F1" s="27" t="s">
        <v>107</v>
      </c>
      <c r="G1" s="27" t="s">
        <v>108</v>
      </c>
      <c r="H1" s="27" t="s">
        <v>109</v>
      </c>
      <c r="I1" s="47" t="s">
        <v>837</v>
      </c>
      <c r="J1" s="47" t="s">
        <v>836</v>
      </c>
      <c r="K1" s="47" t="s">
        <v>704</v>
      </c>
    </row>
    <row r="2" spans="1:11" s="25" customFormat="1" ht="15.5" x14ac:dyDescent="0.35">
      <c r="A2" s="34">
        <v>1</v>
      </c>
      <c r="B2" s="24">
        <v>22</v>
      </c>
      <c r="C2" s="24">
        <v>3</v>
      </c>
      <c r="D2" s="24">
        <v>20</v>
      </c>
      <c r="E2" s="24">
        <v>20</v>
      </c>
      <c r="F2" s="24">
        <v>20</v>
      </c>
      <c r="G2" s="24">
        <v>19</v>
      </c>
      <c r="H2" s="24">
        <v>11</v>
      </c>
      <c r="I2" s="24">
        <f>GETPIVOTDATA("Proposal Sent",$A$1,"Tender Notice No.",1)-GETPIVOTDATA("Tender Approved",$A$1,"Tender Notice No.",1)</f>
        <v>0</v>
      </c>
      <c r="J2" s="24"/>
      <c r="K2" s="24">
        <f>GETPIVOTDATA("LoA Sent",$A$1,"Tender Notice No.",1)-GETPIVOTDATA("Work Order Given",$A$1,"Tender Notice No.",1)</f>
        <v>8</v>
      </c>
    </row>
    <row r="3" spans="1:11" s="25" customFormat="1" ht="15.5" x14ac:dyDescent="0.35">
      <c r="A3" s="34">
        <v>2</v>
      </c>
      <c r="B3" s="24">
        <v>20</v>
      </c>
      <c r="C3" s="24">
        <v>2</v>
      </c>
      <c r="D3" s="24">
        <v>18</v>
      </c>
      <c r="E3" s="24">
        <v>18</v>
      </c>
      <c r="F3" s="24">
        <v>18</v>
      </c>
      <c r="G3" s="24">
        <v>18</v>
      </c>
      <c r="H3" s="24">
        <v>8</v>
      </c>
      <c r="I3" s="24">
        <f>GETPIVOTDATA("Proposal Sent",$A$1,"Tender Notice No.",2)-GETPIVOTDATA("Tender Approved",$A$1,"Tender Notice No.",2)</f>
        <v>0</v>
      </c>
      <c r="J3" s="24"/>
      <c r="K3" s="24">
        <f>GETPIVOTDATA("LoA Sent",$A$1,"Tender Notice No.",2)-GETPIVOTDATA("Work Order Given",$A$1,"Tender Notice No.",2)</f>
        <v>10</v>
      </c>
    </row>
    <row r="4" spans="1:11" s="25" customFormat="1" ht="15.5" x14ac:dyDescent="0.35">
      <c r="A4" s="34">
        <v>3</v>
      </c>
      <c r="B4" s="24">
        <v>19</v>
      </c>
      <c r="C4" s="24">
        <v>14</v>
      </c>
      <c r="D4" s="24">
        <v>5</v>
      </c>
      <c r="E4" s="24"/>
      <c r="F4" s="24"/>
      <c r="G4" s="24">
        <v>5</v>
      </c>
      <c r="H4" s="24">
        <v>5</v>
      </c>
      <c r="I4" s="24">
        <f>GETPIVOTDATA("Proposal Sent",$A$1,"Tender Notice No.",3)-GETPIVOTDATA("Tender Approved",$A$1,"Tender Notice No.",3)</f>
        <v>0</v>
      </c>
      <c r="J4" s="24"/>
      <c r="K4" s="24">
        <f>GETPIVOTDATA("LoA Sent",$A$1,"Tender Notice No.",3)-GETPIVOTDATA("Work Order Given",$A$1,"Tender Notice No.",3)</f>
        <v>0</v>
      </c>
    </row>
    <row r="5" spans="1:11" s="25" customFormat="1" ht="15.5" x14ac:dyDescent="0.35">
      <c r="A5" s="34">
        <v>4</v>
      </c>
      <c r="B5" s="24">
        <v>42</v>
      </c>
      <c r="C5" s="24">
        <v>24</v>
      </c>
      <c r="D5" s="24">
        <v>18</v>
      </c>
      <c r="E5" s="24"/>
      <c r="F5" s="24"/>
      <c r="G5" s="24">
        <v>18</v>
      </c>
      <c r="H5" s="24">
        <v>12</v>
      </c>
      <c r="I5" s="24">
        <f>GETPIVOTDATA("Proposal Sent",$A$1,"Tender Notice No.",4)-GETPIVOTDATA("Tender Approved",$A$1,"Tender Notice No.",4)</f>
        <v>0</v>
      </c>
      <c r="J5" s="24"/>
      <c r="K5" s="24">
        <f>GETPIVOTDATA("LoA Sent",$A$1,"Tender Notice No.",4)-GETPIVOTDATA("Work Order Given",$A$1,"Tender Notice No.",4)</f>
        <v>6</v>
      </c>
    </row>
    <row r="6" spans="1:11" ht="15.5" x14ac:dyDescent="0.35">
      <c r="A6" s="34">
        <v>5</v>
      </c>
      <c r="B6" s="24">
        <v>1</v>
      </c>
      <c r="C6" s="24">
        <v>1</v>
      </c>
      <c r="D6" s="24"/>
      <c r="E6" s="24"/>
      <c r="F6" s="24"/>
      <c r="G6" s="24"/>
      <c r="H6" s="24"/>
      <c r="I6" s="24">
        <f t="shared" ref="I6:I20" si="0">GETPIVOTDATA("Proposal Sent",$A$1,"Tender Notice No.",3)-GETPIVOTDATA("Tender Approved",$A$1,"Tender Notice No.",3)</f>
        <v>0</v>
      </c>
      <c r="J6" s="24"/>
      <c r="K6" s="24"/>
    </row>
    <row r="7" spans="1:11" ht="15.5" x14ac:dyDescent="0.35">
      <c r="A7" s="34">
        <v>6</v>
      </c>
      <c r="B7" s="24">
        <v>1</v>
      </c>
      <c r="C7" s="24"/>
      <c r="D7" s="24"/>
      <c r="E7" s="24"/>
      <c r="F7" s="24"/>
      <c r="G7" s="24"/>
      <c r="H7" s="24">
        <v>1</v>
      </c>
      <c r="I7" s="24">
        <f t="shared" si="0"/>
        <v>0</v>
      </c>
      <c r="J7" s="24"/>
      <c r="K7" s="24"/>
    </row>
    <row r="8" spans="1:11" ht="15.5" x14ac:dyDescent="0.35">
      <c r="A8" s="34">
        <v>7</v>
      </c>
      <c r="B8" s="24">
        <v>1</v>
      </c>
      <c r="C8" s="24"/>
      <c r="D8" s="24"/>
      <c r="E8" s="24">
        <v>1</v>
      </c>
      <c r="F8" s="24"/>
      <c r="G8" s="24"/>
      <c r="H8" s="24"/>
      <c r="I8" s="24">
        <f t="shared" si="0"/>
        <v>0</v>
      </c>
      <c r="J8" s="24"/>
      <c r="K8" s="24"/>
    </row>
    <row r="9" spans="1:11" ht="15.5" x14ac:dyDescent="0.35">
      <c r="A9" s="34">
        <v>8</v>
      </c>
      <c r="B9" s="24">
        <v>141</v>
      </c>
      <c r="C9" s="24">
        <v>43</v>
      </c>
      <c r="D9" s="24">
        <v>98</v>
      </c>
      <c r="E9" s="24"/>
      <c r="F9" s="24"/>
      <c r="G9" s="24">
        <v>98</v>
      </c>
      <c r="H9" s="24">
        <v>76</v>
      </c>
      <c r="I9" s="24">
        <f t="shared" si="0"/>
        <v>0</v>
      </c>
      <c r="J9" s="24"/>
      <c r="K9" s="24">
        <f>GETPIVOTDATA("LoA Sent",$A$1,"Tender Notice No.",8)-GETPIVOTDATA("Work Order Given",$A$1,"Tender Notice No.",8)</f>
        <v>22</v>
      </c>
    </row>
    <row r="10" spans="1:11" ht="15.5" x14ac:dyDescent="0.35">
      <c r="A10" s="34">
        <v>9</v>
      </c>
      <c r="B10" s="24">
        <v>15</v>
      </c>
      <c r="C10" s="24">
        <v>3</v>
      </c>
      <c r="D10" s="24">
        <v>12</v>
      </c>
      <c r="E10" s="24">
        <v>12</v>
      </c>
      <c r="F10" s="24">
        <v>12</v>
      </c>
      <c r="G10" s="24">
        <v>12</v>
      </c>
      <c r="H10" s="24">
        <v>2</v>
      </c>
      <c r="I10" s="24">
        <f t="shared" si="0"/>
        <v>0</v>
      </c>
      <c r="J10" s="24"/>
      <c r="K10" s="24">
        <f>GETPIVOTDATA("LoA Sent",$A$1,"Tender Notice No.",9)-GETPIVOTDATA("Work Order Given",$A$1,"Tender Notice No.",9)</f>
        <v>10</v>
      </c>
    </row>
    <row r="11" spans="1:11" ht="15.5" x14ac:dyDescent="0.35">
      <c r="A11" s="34">
        <v>10</v>
      </c>
      <c r="B11" s="24">
        <v>2</v>
      </c>
      <c r="C11" s="24">
        <v>2</v>
      </c>
      <c r="D11" s="24"/>
      <c r="E11" s="24"/>
      <c r="F11" s="24"/>
      <c r="G11" s="24"/>
      <c r="H11" s="24"/>
      <c r="I11" s="24">
        <f t="shared" si="0"/>
        <v>0</v>
      </c>
      <c r="J11" s="24"/>
      <c r="K11" s="24"/>
    </row>
    <row r="12" spans="1:11" ht="15.5" x14ac:dyDescent="0.35">
      <c r="A12" s="34">
        <v>11</v>
      </c>
      <c r="B12" s="24">
        <v>14</v>
      </c>
      <c r="C12" s="24">
        <v>12</v>
      </c>
      <c r="D12" s="24">
        <v>2</v>
      </c>
      <c r="E12" s="24"/>
      <c r="F12" s="24"/>
      <c r="G12" s="24">
        <v>2</v>
      </c>
      <c r="H12" s="24">
        <v>1</v>
      </c>
      <c r="I12" s="24">
        <f t="shared" si="0"/>
        <v>0</v>
      </c>
      <c r="J12" s="24"/>
      <c r="K12" s="24">
        <f>GETPIVOTDATA("LoA Sent",$A$1,"Tender Notice No.",11)-GETPIVOTDATA("Work Order Given",$A$1,"Tender Notice No.",11)</f>
        <v>1</v>
      </c>
    </row>
    <row r="13" spans="1:11" ht="15.5" x14ac:dyDescent="0.35">
      <c r="A13" s="34">
        <v>12</v>
      </c>
      <c r="B13" s="24">
        <v>2</v>
      </c>
      <c r="C13" s="24"/>
      <c r="D13" s="24">
        <v>2</v>
      </c>
      <c r="E13" s="24">
        <v>2</v>
      </c>
      <c r="F13" s="24">
        <v>2</v>
      </c>
      <c r="G13" s="24">
        <v>1</v>
      </c>
      <c r="H13" s="24"/>
      <c r="I13" s="24">
        <f t="shared" si="0"/>
        <v>0</v>
      </c>
      <c r="J13" s="24"/>
      <c r="K13" s="24"/>
    </row>
    <row r="14" spans="1:11" ht="15.5" x14ac:dyDescent="0.35">
      <c r="A14" s="34">
        <v>13</v>
      </c>
      <c r="B14" s="24">
        <v>1</v>
      </c>
      <c r="C14" s="24">
        <v>1</v>
      </c>
      <c r="D14" s="24"/>
      <c r="E14" s="24"/>
      <c r="F14" s="24"/>
      <c r="G14" s="24"/>
      <c r="H14" s="24"/>
      <c r="I14" s="24">
        <f t="shared" si="0"/>
        <v>0</v>
      </c>
      <c r="J14" s="24"/>
      <c r="K14" s="24"/>
    </row>
    <row r="15" spans="1:11" ht="15.5" x14ac:dyDescent="0.35">
      <c r="A15" s="34">
        <v>14</v>
      </c>
      <c r="B15" s="24">
        <v>55</v>
      </c>
      <c r="C15" s="24">
        <v>8</v>
      </c>
      <c r="D15" s="24">
        <v>47</v>
      </c>
      <c r="E15" s="24"/>
      <c r="F15" s="24"/>
      <c r="G15" s="24">
        <v>47</v>
      </c>
      <c r="H15" s="24">
        <v>19</v>
      </c>
      <c r="I15" s="24">
        <f t="shared" si="0"/>
        <v>0</v>
      </c>
      <c r="J15" s="24"/>
      <c r="K15" s="24">
        <f>GETPIVOTDATA("LoA Sent",$A$1,"Tender Notice No.",14)-GETPIVOTDATA("Work Order Given",$A$1,"Tender Notice No.",14)</f>
        <v>28</v>
      </c>
    </row>
    <row r="16" spans="1:11" ht="15.5" x14ac:dyDescent="0.35">
      <c r="A16" s="34">
        <v>15</v>
      </c>
      <c r="B16" s="24">
        <v>14</v>
      </c>
      <c r="C16" s="24">
        <v>1</v>
      </c>
      <c r="D16" s="24">
        <v>13</v>
      </c>
      <c r="E16" s="24"/>
      <c r="F16" s="24">
        <v>1</v>
      </c>
      <c r="G16" s="24">
        <v>11</v>
      </c>
      <c r="H16" s="24">
        <v>5</v>
      </c>
      <c r="I16" s="24">
        <f t="shared" si="0"/>
        <v>0</v>
      </c>
      <c r="J16" s="24"/>
      <c r="K16" s="24">
        <f>GETPIVOTDATA("LoA Sent",$A$1,"Tender Notice No.",15)-GETPIVOTDATA("Work Order Given",$A$1,"Tender Notice No.",15)</f>
        <v>6</v>
      </c>
    </row>
    <row r="17" spans="1:11" ht="15.5" x14ac:dyDescent="0.35">
      <c r="A17" s="34">
        <v>16</v>
      </c>
      <c r="B17" s="24">
        <v>1</v>
      </c>
      <c r="C17" s="24"/>
      <c r="D17" s="24"/>
      <c r="E17" s="24"/>
      <c r="F17" s="24"/>
      <c r="G17" s="24"/>
      <c r="H17" s="24"/>
      <c r="I17" s="24">
        <f t="shared" si="0"/>
        <v>0</v>
      </c>
      <c r="J17" s="24"/>
      <c r="K17" s="24"/>
    </row>
    <row r="18" spans="1:11" ht="15.5" x14ac:dyDescent="0.35">
      <c r="A18" s="34">
        <v>17</v>
      </c>
      <c r="B18" s="24">
        <v>26</v>
      </c>
      <c r="C18" s="24"/>
      <c r="D18" s="24">
        <v>16</v>
      </c>
      <c r="E18" s="24">
        <v>8</v>
      </c>
      <c r="F18" s="24">
        <v>9</v>
      </c>
      <c r="G18" s="24">
        <v>13</v>
      </c>
      <c r="H18" s="24"/>
      <c r="I18" s="24">
        <f t="shared" si="0"/>
        <v>0</v>
      </c>
      <c r="J18" s="24"/>
      <c r="K18" s="24"/>
    </row>
    <row r="19" spans="1:11" ht="15.5" x14ac:dyDescent="0.35">
      <c r="A19" s="34" t="s">
        <v>104</v>
      </c>
      <c r="B19" s="24"/>
      <c r="C19" s="24"/>
      <c r="D19" s="24"/>
      <c r="E19" s="24"/>
      <c r="F19" s="24"/>
      <c r="G19" s="24"/>
      <c r="H19" s="24"/>
      <c r="I19" s="24">
        <f t="shared" si="0"/>
        <v>0</v>
      </c>
      <c r="J19" s="24"/>
      <c r="K19" s="24"/>
    </row>
    <row r="20" spans="1:11" ht="15.5" x14ac:dyDescent="0.35">
      <c r="A20" s="24" t="s">
        <v>62</v>
      </c>
      <c r="B20" s="24">
        <v>377</v>
      </c>
      <c r="C20" s="24">
        <v>114</v>
      </c>
      <c r="D20" s="24">
        <v>251</v>
      </c>
      <c r="E20" s="24">
        <v>61</v>
      </c>
      <c r="F20" s="24">
        <v>62</v>
      </c>
      <c r="G20" s="24">
        <v>244</v>
      </c>
      <c r="H20" s="24">
        <v>140</v>
      </c>
      <c r="I20" s="24">
        <f t="shared" si="0"/>
        <v>0</v>
      </c>
      <c r="J20" s="51"/>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07D21-CB6D-411B-AB55-1B38D4A660F3}">
  <dimension ref="A1:B81"/>
  <sheetViews>
    <sheetView topLeftCell="A10" workbookViewId="0">
      <selection activeCell="B9" sqref="B9"/>
    </sheetView>
  </sheetViews>
  <sheetFormatPr defaultRowHeight="14.5" x14ac:dyDescent="0.35"/>
  <cols>
    <col min="1" max="1" width="40.36328125" bestFit="1" customWidth="1"/>
    <col min="2" max="2" width="19.08984375" style="52" bestFit="1" customWidth="1"/>
    <col min="3" max="3" width="26.81640625" bestFit="1" customWidth="1"/>
  </cols>
  <sheetData>
    <row r="1" spans="1:2" x14ac:dyDescent="0.35">
      <c r="A1" s="30" t="s">
        <v>228</v>
      </c>
      <c r="B1" s="52" t="s">
        <v>229</v>
      </c>
    </row>
    <row r="2" spans="1:2" x14ac:dyDescent="0.35">
      <c r="A2" s="31" t="s">
        <v>643</v>
      </c>
      <c r="B2" s="52">
        <v>399401139.09999996</v>
      </c>
    </row>
    <row r="3" spans="1:2" x14ac:dyDescent="0.35">
      <c r="A3" s="31" t="s">
        <v>80</v>
      </c>
      <c r="B3" s="52">
        <v>300812719.50999999</v>
      </c>
    </row>
    <row r="4" spans="1:2" x14ac:dyDescent="0.35">
      <c r="A4" s="31" t="s">
        <v>14</v>
      </c>
      <c r="B4" s="52">
        <v>275270382.50999999</v>
      </c>
    </row>
    <row r="5" spans="1:2" x14ac:dyDescent="0.35">
      <c r="A5" s="31" t="s">
        <v>642</v>
      </c>
      <c r="B5" s="52">
        <v>258992401.19</v>
      </c>
    </row>
    <row r="6" spans="1:2" x14ac:dyDescent="0.35">
      <c r="A6" s="31" t="s">
        <v>15</v>
      </c>
      <c r="B6" s="52">
        <v>138371370.30000001</v>
      </c>
    </row>
    <row r="7" spans="1:2" x14ac:dyDescent="0.35">
      <c r="A7" s="31" t="s">
        <v>219</v>
      </c>
      <c r="B7" s="52">
        <v>129293749.28</v>
      </c>
    </row>
    <row r="8" spans="1:2" x14ac:dyDescent="0.35">
      <c r="A8" s="31" t="s">
        <v>223</v>
      </c>
      <c r="B8" s="52">
        <v>102621860.94999999</v>
      </c>
    </row>
    <row r="9" spans="1:2" x14ac:dyDescent="0.35">
      <c r="A9" s="31" t="s">
        <v>183</v>
      </c>
      <c r="B9" s="52">
        <v>94929218.709999993</v>
      </c>
    </row>
    <row r="10" spans="1:2" x14ac:dyDescent="0.35">
      <c r="A10" s="31" t="s">
        <v>18</v>
      </c>
      <c r="B10" s="52">
        <v>79640192.829999983</v>
      </c>
    </row>
    <row r="11" spans="1:2" x14ac:dyDescent="0.35">
      <c r="A11" s="31" t="s">
        <v>238</v>
      </c>
      <c r="B11" s="52">
        <v>79281566.710000008</v>
      </c>
    </row>
    <row r="12" spans="1:2" x14ac:dyDescent="0.35">
      <c r="A12" s="31" t="s">
        <v>225</v>
      </c>
      <c r="B12" s="52">
        <v>38842311.780000001</v>
      </c>
    </row>
    <row r="13" spans="1:2" x14ac:dyDescent="0.35">
      <c r="A13" s="31" t="s">
        <v>749</v>
      </c>
      <c r="B13" s="52">
        <v>34873347.799999997</v>
      </c>
    </row>
    <row r="14" spans="1:2" x14ac:dyDescent="0.35">
      <c r="A14" s="31" t="s">
        <v>155</v>
      </c>
      <c r="B14" s="52">
        <v>25288695.289999999</v>
      </c>
    </row>
    <row r="15" spans="1:2" x14ac:dyDescent="0.35">
      <c r="A15" s="31" t="s">
        <v>751</v>
      </c>
      <c r="B15" s="52">
        <v>24866109.82</v>
      </c>
    </row>
    <row r="16" spans="1:2" x14ac:dyDescent="0.35">
      <c r="A16" s="31" t="s">
        <v>281</v>
      </c>
      <c r="B16" s="52">
        <v>22975873.989999998</v>
      </c>
    </row>
    <row r="17" spans="1:2" x14ac:dyDescent="0.35">
      <c r="A17" s="31" t="s">
        <v>17</v>
      </c>
      <c r="B17" s="52">
        <v>22036708.380000003</v>
      </c>
    </row>
    <row r="18" spans="1:2" x14ac:dyDescent="0.35">
      <c r="A18" s="31" t="s">
        <v>382</v>
      </c>
      <c r="B18" s="52">
        <v>21884441.09</v>
      </c>
    </row>
    <row r="19" spans="1:2" x14ac:dyDescent="0.35">
      <c r="A19" s="31" t="s">
        <v>400</v>
      </c>
      <c r="B19" s="52">
        <v>20681736.219999999</v>
      </c>
    </row>
    <row r="20" spans="1:2" x14ac:dyDescent="0.35">
      <c r="A20" s="31" t="s">
        <v>633</v>
      </c>
      <c r="B20" s="52">
        <v>19821781.309999999</v>
      </c>
    </row>
    <row r="21" spans="1:2" x14ac:dyDescent="0.35">
      <c r="A21" s="31" t="s">
        <v>81</v>
      </c>
      <c r="B21" s="52">
        <v>18793306.579999998</v>
      </c>
    </row>
    <row r="22" spans="1:2" x14ac:dyDescent="0.35">
      <c r="A22" s="31" t="s">
        <v>279</v>
      </c>
      <c r="B22" s="52">
        <v>18669377.57</v>
      </c>
    </row>
    <row r="23" spans="1:2" x14ac:dyDescent="0.35">
      <c r="A23" s="31" t="s">
        <v>222</v>
      </c>
      <c r="B23" s="52">
        <v>18437865.030000001</v>
      </c>
    </row>
    <row r="24" spans="1:2" x14ac:dyDescent="0.35">
      <c r="A24" s="31" t="s">
        <v>374</v>
      </c>
      <c r="B24" s="52">
        <v>18116222.609999999</v>
      </c>
    </row>
    <row r="25" spans="1:2" x14ac:dyDescent="0.35">
      <c r="A25" s="31" t="s">
        <v>227</v>
      </c>
      <c r="B25" s="52">
        <v>16899339.219999999</v>
      </c>
    </row>
    <row r="26" spans="1:2" x14ac:dyDescent="0.35">
      <c r="A26" s="31" t="s">
        <v>750</v>
      </c>
      <c r="B26" s="52">
        <v>12333302.049999999</v>
      </c>
    </row>
    <row r="27" spans="1:2" x14ac:dyDescent="0.35">
      <c r="A27" s="31" t="s">
        <v>298</v>
      </c>
      <c r="B27" s="52">
        <v>12229626.18</v>
      </c>
    </row>
    <row r="28" spans="1:2" x14ac:dyDescent="0.35">
      <c r="A28" s="31" t="s">
        <v>634</v>
      </c>
      <c r="B28" s="52">
        <v>11667294.23</v>
      </c>
    </row>
    <row r="29" spans="1:2" x14ac:dyDescent="0.35">
      <c r="A29" s="31" t="s">
        <v>396</v>
      </c>
      <c r="B29" s="52">
        <v>11172724.310000001</v>
      </c>
    </row>
    <row r="30" spans="1:2" x14ac:dyDescent="0.35">
      <c r="A30" s="31" t="s">
        <v>226</v>
      </c>
      <c r="B30" s="52">
        <v>10662788.140000001</v>
      </c>
    </row>
    <row r="31" spans="1:2" x14ac:dyDescent="0.35">
      <c r="A31" s="31" t="s">
        <v>178</v>
      </c>
      <c r="B31" s="52">
        <v>9938740.0899999999</v>
      </c>
    </row>
    <row r="32" spans="1:2" x14ac:dyDescent="0.35">
      <c r="A32" s="31" t="s">
        <v>287</v>
      </c>
      <c r="B32" s="52">
        <v>9713504.8300000001</v>
      </c>
    </row>
    <row r="33" spans="1:2" x14ac:dyDescent="0.35">
      <c r="A33" s="31" t="s">
        <v>411</v>
      </c>
      <c r="B33" s="52">
        <v>9102003.9000000004</v>
      </c>
    </row>
    <row r="34" spans="1:2" x14ac:dyDescent="0.35">
      <c r="A34" s="31" t="s">
        <v>5</v>
      </c>
      <c r="B34" s="52">
        <v>8795331.3300000001</v>
      </c>
    </row>
    <row r="35" spans="1:2" x14ac:dyDescent="0.35">
      <c r="A35" s="31" t="s">
        <v>399</v>
      </c>
      <c r="B35" s="52">
        <v>8698883.6499999985</v>
      </c>
    </row>
    <row r="36" spans="1:2" x14ac:dyDescent="0.35">
      <c r="A36" s="31" t="s">
        <v>71</v>
      </c>
      <c r="B36" s="52">
        <v>8032501.29</v>
      </c>
    </row>
    <row r="37" spans="1:2" x14ac:dyDescent="0.35">
      <c r="A37" s="31" t="s">
        <v>401</v>
      </c>
      <c r="B37" s="52">
        <v>8011285.9500000002</v>
      </c>
    </row>
    <row r="38" spans="1:2" x14ac:dyDescent="0.35">
      <c r="A38" s="31" t="s">
        <v>394</v>
      </c>
      <c r="B38" s="52">
        <v>7808088.8200000003</v>
      </c>
    </row>
    <row r="39" spans="1:2" x14ac:dyDescent="0.35">
      <c r="A39" s="31" t="s">
        <v>392</v>
      </c>
      <c r="B39" s="52">
        <v>7663104.8100000005</v>
      </c>
    </row>
    <row r="40" spans="1:2" x14ac:dyDescent="0.35">
      <c r="A40" s="31" t="s">
        <v>404</v>
      </c>
      <c r="B40" s="52">
        <v>6814714.7400000002</v>
      </c>
    </row>
    <row r="41" spans="1:2" x14ac:dyDescent="0.35">
      <c r="A41" s="31" t="s">
        <v>173</v>
      </c>
      <c r="B41" s="52">
        <v>6525068.7599999998</v>
      </c>
    </row>
    <row r="42" spans="1:2" x14ac:dyDescent="0.35">
      <c r="A42" s="31" t="s">
        <v>292</v>
      </c>
      <c r="B42" s="52">
        <v>5908055.5999999996</v>
      </c>
    </row>
    <row r="43" spans="1:2" x14ac:dyDescent="0.35">
      <c r="A43" s="31" t="s">
        <v>294</v>
      </c>
      <c r="B43" s="52">
        <v>5870124.4000000004</v>
      </c>
    </row>
    <row r="44" spans="1:2" x14ac:dyDescent="0.35">
      <c r="A44" s="31" t="s">
        <v>384</v>
      </c>
      <c r="B44" s="52">
        <v>5811855.0099999998</v>
      </c>
    </row>
    <row r="45" spans="1:2" x14ac:dyDescent="0.35">
      <c r="A45" s="31" t="s">
        <v>630</v>
      </c>
      <c r="B45" s="52">
        <v>5806346.7699999996</v>
      </c>
    </row>
    <row r="46" spans="1:2" x14ac:dyDescent="0.35">
      <c r="A46" s="31" t="s">
        <v>618</v>
      </c>
      <c r="B46" s="52">
        <v>4734103.3900000006</v>
      </c>
    </row>
    <row r="47" spans="1:2" x14ac:dyDescent="0.35">
      <c r="A47" s="31" t="s">
        <v>395</v>
      </c>
      <c r="B47" s="52">
        <v>4540017.7</v>
      </c>
    </row>
    <row r="48" spans="1:2" x14ac:dyDescent="0.35">
      <c r="A48" s="31" t="s">
        <v>403</v>
      </c>
      <c r="B48" s="52">
        <v>4492107.6500000004</v>
      </c>
    </row>
    <row r="49" spans="1:2" x14ac:dyDescent="0.35">
      <c r="A49" s="31" t="s">
        <v>397</v>
      </c>
      <c r="B49" s="52">
        <v>4155710.28</v>
      </c>
    </row>
    <row r="50" spans="1:2" x14ac:dyDescent="0.35">
      <c r="A50" s="31" t="s">
        <v>408</v>
      </c>
      <c r="B50" s="52">
        <v>4013026.74</v>
      </c>
    </row>
    <row r="51" spans="1:2" x14ac:dyDescent="0.35">
      <c r="A51" s="31" t="s">
        <v>407</v>
      </c>
      <c r="B51" s="52">
        <v>3934613.1900000004</v>
      </c>
    </row>
    <row r="52" spans="1:2" x14ac:dyDescent="0.35">
      <c r="A52" s="31" t="s">
        <v>393</v>
      </c>
      <c r="B52" s="52">
        <v>3878870.93</v>
      </c>
    </row>
    <row r="53" spans="1:2" x14ac:dyDescent="0.35">
      <c r="A53" s="31" t="s">
        <v>406</v>
      </c>
      <c r="B53" s="52">
        <v>3870967.1799999997</v>
      </c>
    </row>
    <row r="54" spans="1:2" x14ac:dyDescent="0.35">
      <c r="A54" s="31" t="s">
        <v>410</v>
      </c>
      <c r="B54" s="52">
        <v>3854119.7</v>
      </c>
    </row>
    <row r="55" spans="1:2" x14ac:dyDescent="0.35">
      <c r="A55" s="31" t="s">
        <v>702</v>
      </c>
      <c r="B55" s="52">
        <v>3832072.4</v>
      </c>
    </row>
    <row r="56" spans="1:2" x14ac:dyDescent="0.35">
      <c r="A56" s="31" t="s">
        <v>402</v>
      </c>
      <c r="B56" s="52">
        <v>3804201.27</v>
      </c>
    </row>
    <row r="57" spans="1:2" x14ac:dyDescent="0.35">
      <c r="A57" s="31" t="s">
        <v>414</v>
      </c>
      <c r="B57" s="52">
        <v>3428644.63</v>
      </c>
    </row>
    <row r="58" spans="1:2" x14ac:dyDescent="0.35">
      <c r="A58" s="31" t="s">
        <v>168</v>
      </c>
      <c r="B58" s="52">
        <v>3005249.79</v>
      </c>
    </row>
    <row r="59" spans="1:2" x14ac:dyDescent="0.35">
      <c r="A59" s="31" t="s">
        <v>412</v>
      </c>
      <c r="B59" s="52">
        <v>2880130.57</v>
      </c>
    </row>
    <row r="60" spans="1:2" x14ac:dyDescent="0.35">
      <c r="A60" s="31" t="s">
        <v>413</v>
      </c>
      <c r="B60" s="52">
        <v>2715753.83</v>
      </c>
    </row>
    <row r="61" spans="1:2" x14ac:dyDescent="0.35">
      <c r="A61" s="31" t="s">
        <v>636</v>
      </c>
      <c r="B61" s="52">
        <v>2400346.15</v>
      </c>
    </row>
    <row r="62" spans="1:2" x14ac:dyDescent="0.35">
      <c r="A62" s="31" t="s">
        <v>165</v>
      </c>
      <c r="B62" s="52">
        <v>2222960.92</v>
      </c>
    </row>
    <row r="63" spans="1:2" x14ac:dyDescent="0.35">
      <c r="A63" s="31" t="s">
        <v>629</v>
      </c>
      <c r="B63" s="52">
        <v>2079935.08</v>
      </c>
    </row>
    <row r="64" spans="1:2" x14ac:dyDescent="0.35">
      <c r="A64" s="31" t="s">
        <v>145</v>
      </c>
      <c r="B64" s="52">
        <v>2063483.55</v>
      </c>
    </row>
    <row r="65" spans="1:2" x14ac:dyDescent="0.35">
      <c r="A65" s="31" t="s">
        <v>632</v>
      </c>
      <c r="B65" s="52">
        <v>2015249.1</v>
      </c>
    </row>
    <row r="66" spans="1:2" x14ac:dyDescent="0.35">
      <c r="A66" s="31" t="s">
        <v>262</v>
      </c>
      <c r="B66" s="52">
        <v>2013544</v>
      </c>
    </row>
    <row r="67" spans="1:2" x14ac:dyDescent="0.35">
      <c r="A67" s="31" t="s">
        <v>753</v>
      </c>
      <c r="B67" s="52">
        <v>1979682.21</v>
      </c>
    </row>
    <row r="68" spans="1:2" x14ac:dyDescent="0.35">
      <c r="A68" s="31" t="s">
        <v>635</v>
      </c>
      <c r="B68" s="52">
        <v>1954514.99</v>
      </c>
    </row>
    <row r="69" spans="1:2" x14ac:dyDescent="0.35">
      <c r="A69" s="31" t="s">
        <v>409</v>
      </c>
      <c r="B69" s="52">
        <v>1934339.62</v>
      </c>
    </row>
    <row r="70" spans="1:2" x14ac:dyDescent="0.35">
      <c r="A70" s="31" t="s">
        <v>602</v>
      </c>
      <c r="B70" s="52">
        <v>1897940.76</v>
      </c>
    </row>
    <row r="71" spans="1:2" x14ac:dyDescent="0.35">
      <c r="A71" s="31" t="s">
        <v>405</v>
      </c>
      <c r="B71" s="52">
        <v>1869237.66</v>
      </c>
    </row>
    <row r="72" spans="1:2" x14ac:dyDescent="0.35">
      <c r="A72" s="31" t="s">
        <v>398</v>
      </c>
      <c r="B72" s="52">
        <v>1864689.36</v>
      </c>
    </row>
    <row r="73" spans="1:2" x14ac:dyDescent="0.35">
      <c r="A73" s="31" t="s">
        <v>637</v>
      </c>
      <c r="B73" s="52">
        <v>1768459.02</v>
      </c>
    </row>
    <row r="74" spans="1:2" x14ac:dyDescent="0.35">
      <c r="A74" s="31" t="s">
        <v>431</v>
      </c>
      <c r="B74" s="52">
        <v>1547490.62</v>
      </c>
    </row>
    <row r="75" spans="1:2" x14ac:dyDescent="0.35">
      <c r="A75" s="31" t="s">
        <v>174</v>
      </c>
      <c r="B75" s="52">
        <v>1542064.85</v>
      </c>
    </row>
    <row r="76" spans="1:2" x14ac:dyDescent="0.35">
      <c r="A76" s="31" t="s">
        <v>754</v>
      </c>
      <c r="B76" s="52">
        <v>1458103.8</v>
      </c>
    </row>
    <row r="77" spans="1:2" x14ac:dyDescent="0.35">
      <c r="A77" s="31" t="s">
        <v>415</v>
      </c>
      <c r="B77" s="52">
        <v>1446921.49</v>
      </c>
    </row>
    <row r="78" spans="1:2" x14ac:dyDescent="0.35">
      <c r="A78" s="31" t="s">
        <v>638</v>
      </c>
      <c r="B78" s="52">
        <v>843400.87</v>
      </c>
    </row>
    <row r="79" spans="1:2" x14ac:dyDescent="0.35">
      <c r="A79" s="31" t="s">
        <v>164</v>
      </c>
      <c r="B79" s="52">
        <v>659085.79</v>
      </c>
    </row>
    <row r="80" spans="1:2" x14ac:dyDescent="0.35">
      <c r="A80" s="31" t="s">
        <v>104</v>
      </c>
    </row>
    <row r="81" spans="1:2" x14ac:dyDescent="0.35">
      <c r="A81" s="31" t="s">
        <v>62</v>
      </c>
      <c r="B81" s="52">
        <v>2444068101.73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D3D7A-55C1-45A8-8E9A-7A52941A35AB}">
  <dimension ref="A1:B10"/>
  <sheetViews>
    <sheetView workbookViewId="0">
      <selection activeCell="B5" sqref="B5"/>
    </sheetView>
  </sheetViews>
  <sheetFormatPr defaultRowHeight="14.5" x14ac:dyDescent="0.35"/>
  <cols>
    <col min="1" max="1" width="12.36328125" bestFit="1" customWidth="1"/>
    <col min="2" max="2" width="19.08984375" bestFit="1" customWidth="1"/>
  </cols>
  <sheetData>
    <row r="1" spans="1:2" x14ac:dyDescent="0.35">
      <c r="A1" s="30" t="s">
        <v>228</v>
      </c>
      <c r="B1" t="s">
        <v>229</v>
      </c>
    </row>
    <row r="2" spans="1:2" x14ac:dyDescent="0.35">
      <c r="A2" s="31" t="s">
        <v>1</v>
      </c>
      <c r="B2" s="52">
        <v>845778302.27999997</v>
      </c>
    </row>
    <row r="3" spans="1:2" x14ac:dyDescent="0.35">
      <c r="A3" s="31" t="s">
        <v>12</v>
      </c>
      <c r="B3" s="52">
        <v>715019152.9400003</v>
      </c>
    </row>
    <row r="4" spans="1:2" x14ac:dyDescent="0.35">
      <c r="A4" s="31" t="s">
        <v>13</v>
      </c>
      <c r="B4" s="52">
        <v>293227898.65999997</v>
      </c>
    </row>
    <row r="5" spans="1:2" x14ac:dyDescent="0.35">
      <c r="A5" s="31" t="s">
        <v>3</v>
      </c>
      <c r="B5" s="52">
        <v>279199539.73999989</v>
      </c>
    </row>
    <row r="6" spans="1:2" x14ac:dyDescent="0.35">
      <c r="A6" s="31" t="s">
        <v>11</v>
      </c>
      <c r="B6" s="52">
        <v>228614203.05999994</v>
      </c>
    </row>
    <row r="7" spans="1:2" x14ac:dyDescent="0.35">
      <c r="A7" s="31" t="s">
        <v>4</v>
      </c>
      <c r="B7" s="52">
        <v>150772811.80999997</v>
      </c>
    </row>
    <row r="8" spans="1:2" x14ac:dyDescent="0.35">
      <c r="A8" s="31" t="s">
        <v>904</v>
      </c>
      <c r="B8" s="52">
        <v>1458103.8</v>
      </c>
    </row>
    <row r="9" spans="1:2" x14ac:dyDescent="0.35">
      <c r="A9" s="31" t="s">
        <v>104</v>
      </c>
      <c r="B9" s="52"/>
    </row>
    <row r="10" spans="1:2" x14ac:dyDescent="0.35">
      <c r="A10" s="31" t="s">
        <v>62</v>
      </c>
      <c r="B10" s="52">
        <v>2514070012.29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Agency List</vt:lpstr>
      <vt:lpstr>Tender</vt:lpstr>
      <vt:lpstr>Notice wise</vt:lpstr>
      <vt:lpstr>Agency wise</vt:lpstr>
      <vt:lpstr>Sub Division wise</vt:lpstr>
      <vt:lpstr>Tender!Print_Area</vt:lpstr>
      <vt:lpstr>Tender!Print_Titles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SITARAM</dc:creator>
  <cp:lastModifiedBy>Ravi Kunvariya</cp:lastModifiedBy>
  <cp:lastPrinted>2025-12-24T05:26:58Z</cp:lastPrinted>
  <dcterms:created xsi:type="dcterms:W3CDTF">2015-06-05T18:17:20Z</dcterms:created>
  <dcterms:modified xsi:type="dcterms:W3CDTF">2026-01-31T06:56:29Z</dcterms:modified>
</cp:coreProperties>
</file>